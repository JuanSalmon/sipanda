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cuments\LATSAR CPNS 2026\LAPAK NANA\"/>
    </mc:Choice>
  </mc:AlternateContent>
  <xr:revisionPtr revIDLastSave="0" documentId="13_ncr:1_{6915CDE9-D9A1-457D-B11A-5333E9B70E48}" xr6:coauthVersionLast="43" xr6:coauthVersionMax="43" xr10:uidLastSave="{00000000-0000-0000-0000-000000000000}"/>
  <bookViews>
    <workbookView xWindow="-110" yWindow="-110" windowWidth="19420" windowHeight="10300" firstSheet="4" activeTab="9" xr2:uid="{00000000-000D-0000-FFFF-FFFF00000000}"/>
  </bookViews>
  <sheets>
    <sheet name="Capaian Skrining PTM Per Bulan" sheetId="4" r:id="rId1"/>
    <sheet name="TW 2 SPM" sheetId="3" r:id="rId2"/>
    <sheet name="Semester 1 (PTM)" sheetId="8" r:id="rId3"/>
    <sheet name="HPV DNA " sheetId="9" r:id="rId4"/>
    <sheet name="HPV DNA 2" sheetId="10" r:id="rId5"/>
    <sheet name="HPV DNA 3" sheetId="11" r:id="rId6"/>
    <sheet name="MASTER_PUSKESMAS" sheetId="13" r:id="rId7"/>
    <sheet name="MASTER_INDIKATOR" sheetId="14" r:id="rId8"/>
    <sheet name="TARGET" sheetId="15" r:id="rId9"/>
    <sheet name="REALISASI" sheetId="12" r:id="rId10"/>
    <sheet name="Tarikan ASIK" sheetId="7" state="hidden" r:id="rId11"/>
  </sheets>
  <definedNames>
    <definedName name="_xlnm.Print_Area" localSheetId="0">'Capaian Skrining PTM Per Bulan'!$A$1:$Z$38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50" i="15" l="1"/>
  <c r="E46" i="15"/>
  <c r="E42" i="15"/>
  <c r="E38" i="15"/>
  <c r="E34" i="15"/>
  <c r="E30" i="15"/>
  <c r="E26" i="15"/>
  <c r="E22" i="15"/>
  <c r="E18" i="15"/>
  <c r="E14" i="15"/>
  <c r="E10" i="15"/>
  <c r="E6" i="15"/>
  <c r="E49" i="15"/>
  <c r="E45" i="15"/>
  <c r="E41" i="15"/>
  <c r="E37" i="15"/>
  <c r="E33" i="15"/>
  <c r="E29" i="15"/>
  <c r="E25" i="15"/>
  <c r="E21" i="15"/>
  <c r="E17" i="15"/>
  <c r="E13" i="15"/>
  <c r="E9" i="15"/>
  <c r="E5" i="15"/>
  <c r="E48" i="15"/>
  <c r="E44" i="15"/>
  <c r="E40" i="15"/>
  <c r="E36" i="15"/>
  <c r="E32" i="15"/>
  <c r="E28" i="15"/>
  <c r="E24" i="15"/>
  <c r="E20" i="15"/>
  <c r="E16" i="15"/>
  <c r="E12" i="15"/>
  <c r="E8" i="15"/>
  <c r="E4" i="15"/>
  <c r="E47" i="15"/>
  <c r="E43" i="15"/>
  <c r="E39" i="15"/>
  <c r="E35" i="15"/>
  <c r="E31" i="15"/>
  <c r="E27" i="15"/>
  <c r="E23" i="15"/>
  <c r="E19" i="15"/>
  <c r="E15" i="15"/>
  <c r="E11" i="15"/>
  <c r="E7" i="15"/>
  <c r="E3" i="15"/>
  <c r="Q22" i="11" l="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N22" i="10" l="1"/>
  <c r="M22" i="10"/>
  <c r="L22" i="10"/>
  <c r="J22" i="10"/>
  <c r="K22" i="10" s="1"/>
  <c r="H22" i="10"/>
  <c r="I22" i="10" s="1"/>
  <c r="G22" i="10"/>
  <c r="F22" i="10"/>
  <c r="E22" i="10"/>
  <c r="D22" i="10"/>
  <c r="K21" i="10"/>
  <c r="I21" i="10"/>
  <c r="G21" i="10"/>
  <c r="K20" i="10"/>
  <c r="I20" i="10"/>
  <c r="G20" i="10"/>
  <c r="K19" i="10"/>
  <c r="I19" i="10"/>
  <c r="G19" i="10"/>
  <c r="K18" i="10"/>
  <c r="I18" i="10"/>
  <c r="G18" i="10"/>
  <c r="K17" i="10"/>
  <c r="I17" i="10"/>
  <c r="G17" i="10"/>
  <c r="K16" i="10"/>
  <c r="I16" i="10"/>
  <c r="G16" i="10"/>
  <c r="K15" i="10"/>
  <c r="I15" i="10"/>
  <c r="G15" i="10"/>
  <c r="K14" i="10"/>
  <c r="I14" i="10"/>
  <c r="G14" i="10"/>
  <c r="K13" i="10"/>
  <c r="I13" i="10"/>
  <c r="G13" i="10"/>
  <c r="K12" i="10"/>
  <c r="I12" i="10"/>
  <c r="G12" i="10"/>
  <c r="K11" i="10"/>
  <c r="I11" i="10"/>
  <c r="G11" i="10"/>
  <c r="K10" i="10"/>
  <c r="I10" i="10"/>
  <c r="G10" i="10"/>
  <c r="F52" i="8" l="1"/>
  <c r="F51" i="8"/>
  <c r="F50" i="8"/>
  <c r="F49" i="8"/>
  <c r="F48" i="8"/>
  <c r="F47" i="8"/>
  <c r="F46" i="8"/>
  <c r="F45" i="8"/>
  <c r="F44" i="8"/>
  <c r="F43" i="8"/>
  <c r="F42" i="8"/>
  <c r="F41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18" i="8"/>
  <c r="F17" i="8"/>
  <c r="F16" i="8"/>
  <c r="F15" i="8"/>
  <c r="F14" i="8"/>
  <c r="F13" i="8"/>
  <c r="F12" i="8"/>
  <c r="F11" i="8"/>
  <c r="F10" i="8"/>
  <c r="F9" i="8"/>
  <c r="F8" i="8"/>
  <c r="F7" i="8"/>
  <c r="E53" i="8"/>
  <c r="F53" i="8" s="1"/>
  <c r="E36" i="8"/>
  <c r="E19" i="8"/>
  <c r="F19" i="8" s="1"/>
  <c r="D53" i="8"/>
  <c r="D36" i="8"/>
  <c r="D19" i="8"/>
  <c r="I7" i="3" l="1"/>
  <c r="J44" i="3" l="1"/>
  <c r="J45" i="3"/>
  <c r="J46" i="3"/>
  <c r="J47" i="3"/>
  <c r="J48" i="3"/>
  <c r="J52" i="3"/>
  <c r="J41" i="3"/>
  <c r="I42" i="3"/>
  <c r="J42" i="3" s="1"/>
  <c r="I43" i="3"/>
  <c r="J43" i="3" s="1"/>
  <c r="I44" i="3"/>
  <c r="I45" i="3"/>
  <c r="I46" i="3"/>
  <c r="I47" i="3"/>
  <c r="I48" i="3"/>
  <c r="I49" i="3"/>
  <c r="J49" i="3" s="1"/>
  <c r="I50" i="3"/>
  <c r="J50" i="3" s="1"/>
  <c r="I51" i="3"/>
  <c r="J51" i="3" s="1"/>
  <c r="I52" i="3"/>
  <c r="I41" i="3"/>
  <c r="J25" i="3"/>
  <c r="J26" i="3"/>
  <c r="J27" i="3"/>
  <c r="J28" i="3"/>
  <c r="J29" i="3"/>
  <c r="J33" i="3"/>
  <c r="J34" i="3"/>
  <c r="J35" i="3"/>
  <c r="J24" i="3"/>
  <c r="I25" i="3"/>
  <c r="I26" i="3"/>
  <c r="I27" i="3"/>
  <c r="I28" i="3"/>
  <c r="I29" i="3"/>
  <c r="I30" i="3"/>
  <c r="J30" i="3" s="1"/>
  <c r="I31" i="3"/>
  <c r="J31" i="3" s="1"/>
  <c r="I32" i="3"/>
  <c r="J32" i="3" s="1"/>
  <c r="I33" i="3"/>
  <c r="I34" i="3"/>
  <c r="I35" i="3"/>
  <c r="I24" i="3"/>
  <c r="F7" i="3"/>
  <c r="H7" i="3"/>
  <c r="J7" i="3"/>
  <c r="F8" i="3"/>
  <c r="H8" i="3"/>
  <c r="I8" i="3"/>
  <c r="J8" i="3"/>
  <c r="F9" i="3"/>
  <c r="H9" i="3"/>
  <c r="I9" i="3"/>
  <c r="J9" i="3" s="1"/>
  <c r="F10" i="3"/>
  <c r="H10" i="3"/>
  <c r="I10" i="3"/>
  <c r="J10" i="3"/>
  <c r="F11" i="3"/>
  <c r="H11" i="3"/>
  <c r="I11" i="3"/>
  <c r="J11" i="3" s="1"/>
  <c r="F12" i="3"/>
  <c r="H12" i="3"/>
  <c r="I12" i="3"/>
  <c r="J12" i="3" s="1"/>
  <c r="F13" i="3"/>
  <c r="H13" i="3"/>
  <c r="I13" i="3"/>
  <c r="J13" i="3" s="1"/>
  <c r="F14" i="3"/>
  <c r="H14" i="3"/>
  <c r="I14" i="3"/>
  <c r="J14" i="3"/>
  <c r="F15" i="3"/>
  <c r="H15" i="3"/>
  <c r="I15" i="3"/>
  <c r="J15" i="3" s="1"/>
  <c r="F16" i="3"/>
  <c r="H16" i="3"/>
  <c r="I16" i="3"/>
  <c r="J16" i="3"/>
  <c r="F17" i="3"/>
  <c r="H17" i="3"/>
  <c r="I17" i="3"/>
  <c r="J17" i="3" s="1"/>
  <c r="F18" i="3"/>
  <c r="H18" i="3"/>
  <c r="I18" i="3"/>
  <c r="J18" i="3" s="1"/>
  <c r="D19" i="3"/>
  <c r="E19" i="3"/>
  <c r="G19" i="3"/>
  <c r="E53" i="3"/>
  <c r="I53" i="3" s="1"/>
  <c r="J53" i="3" s="1"/>
  <c r="D53" i="3"/>
  <c r="H53" i="3" s="1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I19" i="3" l="1"/>
  <c r="J19" i="3" s="1"/>
  <c r="H19" i="3"/>
  <c r="F19" i="3"/>
  <c r="F53" i="3"/>
  <c r="H25" i="3"/>
  <c r="H26" i="3"/>
  <c r="H27" i="3"/>
  <c r="H28" i="3"/>
  <c r="H29" i="3"/>
  <c r="H30" i="3"/>
  <c r="H31" i="3"/>
  <c r="H32" i="3"/>
  <c r="H33" i="3"/>
  <c r="H34" i="3"/>
  <c r="H35" i="3"/>
  <c r="H24" i="3"/>
  <c r="G36" i="3"/>
  <c r="C104" i="7"/>
  <c r="I62" i="7"/>
  <c r="E62" i="7"/>
  <c r="A62" i="7"/>
  <c r="D57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H48" i="7"/>
  <c r="G48" i="7"/>
  <c r="F48" i="7"/>
  <c r="D48" i="7"/>
  <c r="E24" i="7"/>
  <c r="E16" i="7"/>
  <c r="H37" i="4"/>
  <c r="G37" i="4"/>
  <c r="F37" i="4"/>
  <c r="E37" i="4"/>
  <c r="D37" i="4"/>
  <c r="C37" i="4"/>
  <c r="W18" i="4"/>
  <c r="V18" i="4"/>
  <c r="U18" i="4"/>
  <c r="T18" i="4"/>
  <c r="Z18" i="4" s="1"/>
  <c r="S18" i="4"/>
  <c r="R18" i="4"/>
  <c r="Q18" i="4"/>
  <c r="P18" i="4"/>
  <c r="O18" i="4"/>
  <c r="X18" i="4" s="1"/>
  <c r="K18" i="4"/>
  <c r="J18" i="4"/>
  <c r="I18" i="4"/>
  <c r="H18" i="4"/>
  <c r="G18" i="4"/>
  <c r="F18" i="4"/>
  <c r="E18" i="4"/>
  <c r="N18" i="4" s="1"/>
  <c r="D18" i="4"/>
  <c r="C18" i="4"/>
  <c r="Z17" i="4"/>
  <c r="Y17" i="4"/>
  <c r="X17" i="4"/>
  <c r="N17" i="4"/>
  <c r="M17" i="4"/>
  <c r="L17" i="4"/>
  <c r="Z16" i="4"/>
  <c r="Y16" i="4"/>
  <c r="X16" i="4"/>
  <c r="N16" i="4"/>
  <c r="M16" i="4"/>
  <c r="L16" i="4"/>
  <c r="Z15" i="4"/>
  <c r="Y15" i="4"/>
  <c r="X15" i="4"/>
  <c r="N15" i="4"/>
  <c r="M15" i="4"/>
  <c r="L15" i="4"/>
  <c r="Z14" i="4"/>
  <c r="Y14" i="4"/>
  <c r="X14" i="4"/>
  <c r="N14" i="4"/>
  <c r="M14" i="4"/>
  <c r="L14" i="4"/>
  <c r="Z13" i="4"/>
  <c r="Y13" i="4"/>
  <c r="X13" i="4"/>
  <c r="N13" i="4"/>
  <c r="M13" i="4"/>
  <c r="L13" i="4"/>
  <c r="Z12" i="4"/>
  <c r="Y12" i="4"/>
  <c r="X12" i="4"/>
  <c r="N12" i="4"/>
  <c r="M12" i="4"/>
  <c r="L12" i="4"/>
  <c r="Z11" i="4"/>
  <c r="Y11" i="4"/>
  <c r="X11" i="4"/>
  <c r="N11" i="4"/>
  <c r="M11" i="4"/>
  <c r="L11" i="4"/>
  <c r="Z10" i="4"/>
  <c r="Y10" i="4"/>
  <c r="X10" i="4"/>
  <c r="N10" i="4"/>
  <c r="M10" i="4"/>
  <c r="L10" i="4"/>
  <c r="Z9" i="4"/>
  <c r="Y9" i="4"/>
  <c r="X9" i="4"/>
  <c r="N9" i="4"/>
  <c r="M9" i="4"/>
  <c r="L9" i="4"/>
  <c r="Z8" i="4"/>
  <c r="Y8" i="4"/>
  <c r="X8" i="4"/>
  <c r="N8" i="4"/>
  <c r="M8" i="4"/>
  <c r="L8" i="4"/>
  <c r="Z7" i="4"/>
  <c r="Y7" i="4"/>
  <c r="X7" i="4"/>
  <c r="N7" i="4"/>
  <c r="M7" i="4"/>
  <c r="L7" i="4"/>
  <c r="Z6" i="4"/>
  <c r="Y6" i="4"/>
  <c r="X6" i="4"/>
  <c r="N6" i="4"/>
  <c r="M6" i="4"/>
  <c r="L6" i="4"/>
  <c r="E36" i="3"/>
  <c r="D36" i="3"/>
  <c r="F35" i="3"/>
  <c r="F34" i="3"/>
  <c r="F33" i="3"/>
  <c r="F32" i="3"/>
  <c r="F31" i="3"/>
  <c r="F30" i="3"/>
  <c r="F29" i="3"/>
  <c r="F28" i="3"/>
  <c r="F27" i="3"/>
  <c r="F26" i="3"/>
  <c r="F25" i="3"/>
  <c r="F24" i="3"/>
  <c r="M18" i="4" l="1"/>
  <c r="L18" i="4"/>
  <c r="Y18" i="4"/>
  <c r="I36" i="3"/>
  <c r="J36" i="3" s="1"/>
  <c r="H36" i="3"/>
  <c r="F36" i="3"/>
</calcChain>
</file>

<file path=xl/sharedStrings.xml><?xml version="1.0" encoding="utf-8"?>
<sst xmlns="http://schemas.openxmlformats.org/spreadsheetml/2006/main" count="1573" uniqueCount="326">
  <si>
    <t>Januari</t>
  </si>
  <si>
    <t>Februari</t>
  </si>
  <si>
    <t>Maret</t>
  </si>
  <si>
    <t>April</t>
  </si>
  <si>
    <t>Mei</t>
  </si>
  <si>
    <t>Juni</t>
  </si>
  <si>
    <t>Jumlah</t>
  </si>
  <si>
    <t>No</t>
  </si>
  <si>
    <t>Puskesmas</t>
  </si>
  <si>
    <t>Obesitas</t>
  </si>
  <si>
    <t>PPOK</t>
  </si>
  <si>
    <t>Batutua</t>
  </si>
  <si>
    <t>Busalangga</t>
  </si>
  <si>
    <t>Baa</t>
  </si>
  <si>
    <t>Feapopi</t>
  </si>
  <si>
    <t>Korbafo</t>
  </si>
  <si>
    <t>Sonimanu</t>
  </si>
  <si>
    <t>Eahun</t>
  </si>
  <si>
    <t>Delha</t>
  </si>
  <si>
    <t>Oele</t>
  </si>
  <si>
    <t>Ndao</t>
  </si>
  <si>
    <t>Sotimori</t>
  </si>
  <si>
    <t>Oelaba</t>
  </si>
  <si>
    <t>CAPAIAN SKRINING PTM TW II</t>
  </si>
  <si>
    <t>TAHUN 2026</t>
  </si>
  <si>
    <t>NO</t>
  </si>
  <si>
    <t>PUSKESMAS</t>
  </si>
  <si>
    <t>USIA PRODUKTIF</t>
  </si>
  <si>
    <t>HIPERTENSI</t>
  </si>
  <si>
    <t>DIABETES MELLITUS</t>
  </si>
  <si>
    <t>TARGET TAHUNAN</t>
  </si>
  <si>
    <t>CAPAIAN TW I</t>
  </si>
  <si>
    <t xml:space="preserve">% </t>
  </si>
  <si>
    <t>CAPAIAN TW II</t>
  </si>
  <si>
    <t>%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</si>
  <si>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</si>
  <si>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</si>
  <si>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</si>
  <si>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</si>
  <si>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</si>
  <si>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</si>
  <si>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</si>
  <si>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</si>
  <si>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</si>
  <si>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</si>
  <si>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</si>
  <si>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</si>
  <si>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JUMLAH</t>
  </si>
  <si>
    <t>Puskemas</t>
  </si>
  <si>
    <t>TW I</t>
  </si>
  <si>
    <t>TW II</t>
  </si>
  <si>
    <t>Uspro</t>
  </si>
  <si>
    <t>HT</t>
  </si>
  <si>
    <t>DM</t>
  </si>
  <si>
    <t>Rekapan Capaian Skrining PTM tahun 2026</t>
  </si>
  <si>
    <t>USPRO</t>
  </si>
  <si>
    <t>ASIK DAN RME (JIKA HANYA ADA DARI RME MAKA BISA DITERIMA)</t>
  </si>
  <si>
    <t>HT DAN DM</t>
  </si>
  <si>
    <t>HANYA AMBIL DARI RME</t>
  </si>
  <si>
    <t>SOP e-SPM</t>
  </si>
  <si>
    <t>PMK No. 6 Tahun 2024</t>
  </si>
  <si>
    <t>KMK No HK.01.07/MENKES/4634/2021 ttg PNPK Tatalaksana HT Dewasa</t>
  </si>
  <si>
    <t>PNPK 2021 Tatalaksana HT pada Anak</t>
  </si>
  <si>
    <t>Keputusan Menteri Kesehatan RI Nomor HK.01.07/MENKES/603/2020 tentang Pedoman Nasional Tata Laksana Diabetes Mellitus Tipe 2 Dewasa</t>
  </si>
  <si>
    <t>Keputusan Menteri Kesehatan Nomor HK.01.07/MENKES/2009/2024 tentang Pedoman Nasional Pelayanan Klinis Tata Laksana Diabetes Mellitus pada Anak</t>
  </si>
  <si>
    <t>Total</t>
  </si>
  <si>
    <t>Tarikan data ASIK CKG</t>
  </si>
  <si>
    <t>Tanggal 1 Januari s/d 16 Juni 2026</t>
  </si>
  <si>
    <t xml:space="preserve">Pendaftar berdasarkan Klaster Usia </t>
  </si>
  <si>
    <t>Klaster Usia</t>
  </si>
  <si>
    <t>Jumlah Pendaftar (Orang)</t>
  </si>
  <si>
    <t xml:space="preserve">Bayi Baru Lahir &lt; 1 tahun </t>
  </si>
  <si>
    <t xml:space="preserve">Anak 1 - 6 tahun </t>
  </si>
  <si>
    <t xml:space="preserve">Usia sekolah 7 - 12 tahun </t>
  </si>
  <si>
    <t>Usia sekolah 13 - 15 tahun</t>
  </si>
  <si>
    <t xml:space="preserve">Usia sekolah 16 s.d &lt;18 tahun </t>
  </si>
  <si>
    <t xml:space="preserve">Dewasa 18 - 29 tahun </t>
  </si>
  <si>
    <t xml:space="preserve">Dewasa 30 - 39 tahun </t>
  </si>
  <si>
    <t xml:space="preserve">Dewasa 40 - 59 tahun </t>
  </si>
  <si>
    <t xml:space="preserve">Lansia &gt;= 60 tahun </t>
  </si>
  <si>
    <t>Total Pemeriksaan Khusus</t>
  </si>
  <si>
    <t>Jenis Skrining</t>
  </si>
  <si>
    <t>Jumlah Pendaftar</t>
  </si>
  <si>
    <t>Skrining Talasemia dan GDS</t>
  </si>
  <si>
    <t xml:space="preserve">Skrining Anemia </t>
  </si>
  <si>
    <t>Skrining HPV DNA dan Kanker Payudara</t>
  </si>
  <si>
    <t>Skrining Kanker Kolorektar dan Kanker Paru</t>
  </si>
  <si>
    <t>Tabel Agregat</t>
  </si>
  <si>
    <t>Kecamatan</t>
  </si>
  <si>
    <t>Total Pendaftar</t>
  </si>
  <si>
    <t>Total Bayi</t>
  </si>
  <si>
    <t>Bayi Perempuan</t>
  </si>
  <si>
    <t>Bayi Laki - Laki</t>
  </si>
  <si>
    <t>Total Anak</t>
  </si>
  <si>
    <t>Anak Perempuan</t>
  </si>
  <si>
    <t>Anak Laki2</t>
  </si>
  <si>
    <t>Total SD</t>
  </si>
  <si>
    <t>SD Perempuan</t>
  </si>
  <si>
    <t>SD Laki - Laki</t>
  </si>
  <si>
    <t>Total SMP</t>
  </si>
  <si>
    <t>SMP Perempuan</t>
  </si>
  <si>
    <t>SMP Laki - Laki</t>
  </si>
  <si>
    <t>Total SMA</t>
  </si>
  <si>
    <t>SMA Perempuan</t>
  </si>
  <si>
    <t>SMA Laki - Laki</t>
  </si>
  <si>
    <t>Total Dewasa I</t>
  </si>
  <si>
    <t>Dewasa I Perempuan</t>
  </si>
  <si>
    <t>Dewasa I Laki - Laki</t>
  </si>
  <si>
    <t>Total Dewasa II</t>
  </si>
  <si>
    <t>Dewasa II Perempuan</t>
  </si>
  <si>
    <t>Dewasa II Laki - Laki</t>
  </si>
  <si>
    <t>Total Dewasa III</t>
  </si>
  <si>
    <t>Dewasa III Perempuan</t>
  </si>
  <si>
    <t>Dewasa III Laki - Laki</t>
  </si>
  <si>
    <t>Total Lansia</t>
  </si>
  <si>
    <t>Lansia Perempuan</t>
  </si>
  <si>
    <t>Lansia Laki - Laki</t>
  </si>
  <si>
    <t>Lobalain</t>
  </si>
  <si>
    <t>Pantai Baru</t>
  </si>
  <si>
    <t>Rote Barat</t>
  </si>
  <si>
    <t>Ndao Nuse</t>
  </si>
  <si>
    <t>Rote Barat Daya</t>
  </si>
  <si>
    <t>Loaholu</t>
  </si>
  <si>
    <t>Rote Barat Laut</t>
  </si>
  <si>
    <t>Rote Selatan</t>
  </si>
  <si>
    <t>Rote Tengah</t>
  </si>
  <si>
    <t>Landu Leko</t>
  </si>
  <si>
    <t>Rote Timur</t>
  </si>
  <si>
    <t xml:space="preserve">Total </t>
  </si>
  <si>
    <t xml:space="preserve">Tarikan data ASIK PTM Klaster 3 </t>
  </si>
  <si>
    <t>Dashboard Peserta</t>
  </si>
  <si>
    <t>Menu : Deteksi Dini Overview</t>
  </si>
  <si>
    <t>L</t>
  </si>
  <si>
    <t>P</t>
  </si>
  <si>
    <t>Diagnosis</t>
  </si>
  <si>
    <t>Tekanan Darah</t>
  </si>
  <si>
    <t>Gula Darah</t>
  </si>
  <si>
    <t>IMT</t>
  </si>
  <si>
    <t>Jumlah Peserta</t>
  </si>
  <si>
    <t>Normal</t>
  </si>
  <si>
    <t>Pre-Hipertensi</t>
  </si>
  <si>
    <t>Hipertensi</t>
  </si>
  <si>
    <t>Jlh peserta</t>
  </si>
  <si>
    <t>Pre-Diabetes</t>
  </si>
  <si>
    <t>Diabetes</t>
  </si>
  <si>
    <t>Underweight</t>
  </si>
  <si>
    <t>Overweight</t>
  </si>
  <si>
    <t>Lingkar Perut</t>
  </si>
  <si>
    <t>EKG</t>
  </si>
  <si>
    <t>Jlh Peserta</t>
  </si>
  <si>
    <t xml:space="preserve">Obesitas Sentral </t>
  </si>
  <si>
    <t>Abnormal</t>
  </si>
  <si>
    <t>Jlh peserta -Penyandang DM/HT</t>
  </si>
  <si>
    <t>Abnormal - Penyandang DM/HT</t>
  </si>
  <si>
    <t>Normal - Penyandang DM/HT</t>
  </si>
  <si>
    <t>Jlh peserta - Penyandang DM</t>
  </si>
  <si>
    <t>Abnormal - Penyandang DM</t>
  </si>
  <si>
    <t>Normal - Penyandang DM</t>
  </si>
  <si>
    <t>Jlh Peserta - Penyandang HT</t>
  </si>
  <si>
    <t>Abnormal - Penyandang HT</t>
  </si>
  <si>
    <t>Normal - Penyandang HT</t>
  </si>
  <si>
    <t>Lemak Darah</t>
  </si>
  <si>
    <t>Tidak Normal</t>
  </si>
  <si>
    <t>Jlh peserta - Penyandang HT/DM</t>
  </si>
  <si>
    <t>Normal-Penyandang HT/DM</t>
  </si>
  <si>
    <t>Tidak Normal-Penyandang HT/DM</t>
  </si>
  <si>
    <t>Jlh peserta -Penyandang HT</t>
  </si>
  <si>
    <t>Tidak Normal-Penyandang HT</t>
  </si>
  <si>
    <t>Jlh Peserta - Penyandang DM</t>
  </si>
  <si>
    <t>Tidak normal - penyandang DM</t>
  </si>
  <si>
    <t>Ca Mamae - Sadanis</t>
  </si>
  <si>
    <t>Ca Mamae  USG</t>
  </si>
  <si>
    <t xml:space="preserve">Normal </t>
  </si>
  <si>
    <t>Curiga Kanker</t>
  </si>
  <si>
    <t>Benjolan</t>
  </si>
  <si>
    <t>Simple Cyst</t>
  </si>
  <si>
    <t>Non Simple cyst</t>
  </si>
  <si>
    <t>Ca Kolorektal - Kuesioner</t>
  </si>
  <si>
    <t>Ca Kolorektal - Risiko Tinggi</t>
  </si>
  <si>
    <t>Risiko rendah</t>
  </si>
  <si>
    <t>Risiko Sedang</t>
  </si>
  <si>
    <t>Risiko Tinggi</t>
  </si>
  <si>
    <t>Tidak curiga Kanker</t>
  </si>
  <si>
    <t>Curiga tumor jinak</t>
  </si>
  <si>
    <t>Curiga kanker kolorektal</t>
  </si>
  <si>
    <t>Curiga kanker</t>
  </si>
  <si>
    <t>Ca Paru - Kuesioner</t>
  </si>
  <si>
    <t>Ca Paru - Kuesioner (Umur 45 - 70 thn)</t>
  </si>
  <si>
    <t>Risiko sedang</t>
  </si>
  <si>
    <t>Risiko tinggi</t>
  </si>
  <si>
    <t>Thalassemia</t>
  </si>
  <si>
    <t>Tidak curiga</t>
  </si>
  <si>
    <t>Curiga</t>
  </si>
  <si>
    <t>Tajam penglihatan</t>
  </si>
  <si>
    <t>Katarak</t>
  </si>
  <si>
    <t>Gangguan ringan</t>
  </si>
  <si>
    <t>Gangguan sedang</t>
  </si>
  <si>
    <t>Gangguan berat</t>
  </si>
  <si>
    <t>Bukan katarak</t>
  </si>
  <si>
    <t>Curiga katarak</t>
  </si>
  <si>
    <t>Tajam pendengaran</t>
  </si>
  <si>
    <t>Congek OMSK</t>
  </si>
  <si>
    <t xml:space="preserve">Gangguan </t>
  </si>
  <si>
    <t>Gangguan</t>
  </si>
  <si>
    <t>Menu : Diagnosis Overview</t>
  </si>
  <si>
    <t>Penyandang Penyakit Jantung</t>
  </si>
  <si>
    <t>Umum</t>
  </si>
  <si>
    <t>Jtg koroner</t>
  </si>
  <si>
    <t>Gagal jtg</t>
  </si>
  <si>
    <t>Kongenital</t>
  </si>
  <si>
    <t>lainnya</t>
  </si>
  <si>
    <t>Penyandang HT</t>
  </si>
  <si>
    <t>Penyandang DM</t>
  </si>
  <si>
    <t>Penyandang Obes</t>
  </si>
  <si>
    <t>Penderita Stroke</t>
  </si>
  <si>
    <t>Penyandang Ca Mamae</t>
  </si>
  <si>
    <t>Penyandang Ca Serviks</t>
  </si>
  <si>
    <t>Penyandang Thalassemia</t>
  </si>
  <si>
    <t>Penyandang Gangguan Pendengaran</t>
  </si>
  <si>
    <t>Serumen Prop</t>
  </si>
  <si>
    <t>Otitis (OMSK)</t>
  </si>
  <si>
    <t>Presbikusis</t>
  </si>
  <si>
    <t>Penyandang Gangguan Penglihatan</t>
  </si>
  <si>
    <t>Refraksi</t>
  </si>
  <si>
    <t>Miopia</t>
  </si>
  <si>
    <t>umum</t>
  </si>
  <si>
    <t>stabil</t>
  </si>
  <si>
    <t>Akserbasi</t>
  </si>
  <si>
    <t>% s.d TW II</t>
  </si>
  <si>
    <t>Total Capaian s/d TW II</t>
  </si>
  <si>
    <t>Total Capaian  s/d TW II</t>
  </si>
  <si>
    <t>CAPAIAN SEMESTER 1</t>
  </si>
  <si>
    <t>PERSENTASE</t>
  </si>
  <si>
    <t>CAPAIAN SKRINING PTM SEMESTER 1</t>
  </si>
  <si>
    <t>PELAYANAN KESEHATAN USIA PRODUKTIF</t>
  </si>
  <si>
    <t>PELAYANAN KESEHATAN PENDERITA HIPERTENSI</t>
  </si>
  <si>
    <t>PELAYANAN KESEHATAN PENDERITA DIABETES MELLITUS</t>
  </si>
  <si>
    <t>Jan</t>
  </si>
  <si>
    <t>Feb</t>
  </si>
  <si>
    <t>Apr</t>
  </si>
  <si>
    <t>Juli</t>
  </si>
  <si>
    <t>Agt</t>
  </si>
  <si>
    <t>Sep</t>
  </si>
  <si>
    <t>Okt</t>
  </si>
  <si>
    <t>Nov</t>
  </si>
  <si>
    <t>Des</t>
  </si>
  <si>
    <t>Jlh spesimen  HPV DNA</t>
  </si>
  <si>
    <t>CAPAIAN PEMERIKSAAN DETEKSI DINI KANKER SERVIKS MELALUI METODE IVA DAN HPV DNA</t>
  </si>
  <si>
    <t xml:space="preserve"> SERTA DETEKSI DINI KANKER PAYUDARA MELALUI SADANIS TINGKAT KABUPATEN ROTE NDAO TAHUN 2026</t>
  </si>
  <si>
    <t xml:space="preserve">PUSKESMAS </t>
  </si>
  <si>
    <t>TARGET IVA/SADANIS</t>
  </si>
  <si>
    <t>TARGET PEMERIKSAAN HPV DNA</t>
  </si>
  <si>
    <t>CAPAIAN PEMERIKSAAN</t>
  </si>
  <si>
    <t>HASIL PEMERIKSAAN</t>
  </si>
  <si>
    <t>WUS (30-50 TAHUN)</t>
  </si>
  <si>
    <t>WUS (30-69 TAHUN)</t>
  </si>
  <si>
    <t>IVA</t>
  </si>
  <si>
    <t>SADANIS</t>
  </si>
  <si>
    <t>HPV DNA</t>
  </si>
  <si>
    <t>POSITIF IVA</t>
  </si>
  <si>
    <t>ADA TUMOR/ BENJOLAN</t>
  </si>
  <si>
    <t>POSITIF HPV DNA</t>
  </si>
  <si>
    <t>KETERANGAN</t>
  </si>
  <si>
    <t>Hasil Lab belum keluar</t>
  </si>
  <si>
    <t>REKAPAN DETEKSI DINI KANKER SERVIKS DENGAN METODE HPV DNA &amp; IVA TES</t>
  </si>
  <si>
    <t>KABUPATEN ROTE NDAO TAHUN 2026</t>
  </si>
  <si>
    <t>update data per 23 Juli 2026</t>
  </si>
  <si>
    <t>JUMLAH SPESIMEN</t>
  </si>
  <si>
    <t>HASIL LABORATORIUM BELUM KELUAR</t>
  </si>
  <si>
    <t>HASIL PEMERIKSAAN HPV DNA</t>
  </si>
  <si>
    <t>HASIL IVA</t>
  </si>
  <si>
    <t>IVA + DAN DNA HPV +</t>
  </si>
  <si>
    <t>IVA - DAN DNA HPV +</t>
  </si>
  <si>
    <t>IVA + DAN DNA HPV -</t>
  </si>
  <si>
    <t>IVA - DAN DNA HPV -</t>
  </si>
  <si>
    <t>NEGATIF</t>
  </si>
  <si>
    <t>SUB TIPE 16</t>
  </si>
  <si>
    <t>SUB TIPE 18</t>
  </si>
  <si>
    <t>SUB TIPE 52</t>
  </si>
  <si>
    <t>SUB TIPE LAINNYA</t>
  </si>
  <si>
    <t>POSITIF</t>
  </si>
  <si>
    <t>CURIGA KANKER</t>
  </si>
  <si>
    <t>Bulan</t>
  </si>
  <si>
    <t>Tahun</t>
  </si>
  <si>
    <t>Indikator</t>
  </si>
  <si>
    <t>Status</t>
  </si>
  <si>
    <t xml:space="preserve">TARGET TAHUNAN </t>
  </si>
  <si>
    <t>Pkm/Bln</t>
  </si>
  <si>
    <t>Kode PKM</t>
  </si>
  <si>
    <t>Nama Puskesmas</t>
  </si>
  <si>
    <t>PKM01</t>
  </si>
  <si>
    <t>PKM02</t>
  </si>
  <si>
    <t>PKM03</t>
  </si>
  <si>
    <t>PKM04</t>
  </si>
  <si>
    <t>PKM05</t>
  </si>
  <si>
    <t>PKM06</t>
  </si>
  <si>
    <t>PKM07</t>
  </si>
  <si>
    <t>PKM08</t>
  </si>
  <si>
    <t>PKM09</t>
  </si>
  <si>
    <t>PKM10</t>
  </si>
  <si>
    <t>PKM11</t>
  </si>
  <si>
    <t>PKM12</t>
  </si>
  <si>
    <t>ROTE TIMUR</t>
  </si>
  <si>
    <t>LANDU LEKO</t>
  </si>
  <si>
    <t>PANTAI BARU</t>
  </si>
  <si>
    <t xml:space="preserve">ROTE TENGAH </t>
  </si>
  <si>
    <t>LOBALAIN</t>
  </si>
  <si>
    <t>ROTE SELATAN</t>
  </si>
  <si>
    <t>ROTE BARAT LAUT</t>
  </si>
  <si>
    <t>LOAHOLU</t>
  </si>
  <si>
    <t>ROTE BARAT DAYA</t>
  </si>
  <si>
    <t>ROTE BARAT</t>
  </si>
  <si>
    <t>NDAO NUSE</t>
  </si>
  <si>
    <t>AKTIF</t>
  </si>
  <si>
    <t>Kode</t>
  </si>
  <si>
    <t>Nama Indikator</t>
  </si>
  <si>
    <t>Satuan</t>
  </si>
  <si>
    <t>UP</t>
  </si>
  <si>
    <t>Usia Produktif</t>
  </si>
  <si>
    <t>Orang</t>
  </si>
  <si>
    <t>Diabetes Melitus</t>
  </si>
  <si>
    <t>HPV</t>
  </si>
  <si>
    <t>HPV DNA Co Testing IVA</t>
  </si>
  <si>
    <t>Target Tahunan</t>
  </si>
  <si>
    <t>Target Bulanan</t>
  </si>
  <si>
    <t>CAPAIAN BULANAN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</si>
</sst>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  <scheme val="minor"/>
    </font>
    <font>
      <b/>
      <sz val="14"/>
      <color theme="1"/>
      <name val="Arial"/>
    </font>
    <font>
      <b/>
      <sz val="11"/>
      <color theme="1"/>
      <name val="Arial"/>
    </font>
    <font>
      <b/>
      <sz val="12"/>
      <color theme="1"/>
      <name val="Calibri"/>
    </font>
    <font>
      <b/>
      <sz val="11"/>
      <color theme="1"/>
      <name val="Arial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B6D7A8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rgb="FFD9E2F3"/>
      </bottom>
      <diagonal/>
    </border>
  </borders>
  <cellStyleXfs count="1">
    <xf numFmtId="0" fontId="0" fillId="0" borderId="0"/>
  </cellStyleXfs>
  <cellXfs count="199">
    <xf numFmtId="0" fontId="0" fillId="0" borderId="0" xfId="0" applyFont="1" applyAlignment="1"/>
    <xf numFmtId="0" fontId="2" fillId="0" borderId="0" xfId="0" applyFont="1"/>
    <xf numFmtId="0" fontId="10" fillId="5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8" fillId="0" borderId="0" xfId="0" applyFont="1"/>
    <xf numFmtId="0" fontId="10" fillId="8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2" fillId="0" borderId="0" xfId="0" applyFont="1" applyAlignment="1"/>
    <xf numFmtId="0" fontId="8" fillId="0" borderId="0" xfId="0" applyFont="1" applyAlignment="1"/>
    <xf numFmtId="0" fontId="2" fillId="5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0" fontId="12" fillId="8" borderId="6" xfId="0" applyFont="1" applyFill="1" applyBorder="1" applyAlignment="1">
      <alignment vertical="center"/>
    </xf>
    <xf numFmtId="0" fontId="12" fillId="9" borderId="6" xfId="0" applyFont="1" applyFill="1" applyBorder="1" applyAlignment="1">
      <alignment vertical="center"/>
    </xf>
    <xf numFmtId="0" fontId="2" fillId="0" borderId="0" xfId="0" applyFont="1" applyAlignment="1"/>
    <xf numFmtId="0" fontId="4" fillId="0" borderId="0" xfId="0" applyFont="1" applyAlignment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2" fillId="0" borderId="0" xfId="0" applyFont="1"/>
    <xf numFmtId="0" fontId="1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wrapText="1"/>
    </xf>
    <xf numFmtId="3" fontId="2" fillId="0" borderId="6" xfId="0" applyNumberFormat="1" applyFont="1" applyBorder="1" applyAlignment="1">
      <alignment horizontal="center"/>
    </xf>
    <xf numFmtId="0" fontId="2" fillId="4" borderId="6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center"/>
    </xf>
    <xf numFmtId="3" fontId="2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3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/>
    <xf numFmtId="0" fontId="6" fillId="0" borderId="0" xfId="0" applyFont="1" applyAlignment="1">
      <alignment horizontal="right"/>
    </xf>
    <xf numFmtId="0" fontId="0" fillId="0" borderId="0" xfId="0" applyFont="1" applyAlignment="1"/>
    <xf numFmtId="0" fontId="13" fillId="5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164" fontId="15" fillId="5" borderId="6" xfId="0" applyNumberFormat="1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164" fontId="15" fillId="6" borderId="6" xfId="0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 wrapText="1"/>
    </xf>
    <xf numFmtId="164" fontId="15" fillId="10" borderId="3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164" fontId="13" fillId="5" borderId="6" xfId="0" applyNumberFormat="1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164" fontId="13" fillId="6" borderId="6" xfId="0" applyNumberFormat="1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/>
    </xf>
    <xf numFmtId="164" fontId="13" fillId="10" borderId="1" xfId="0" applyNumberFormat="1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 vertical="center" wrapText="1"/>
    </xf>
    <xf numFmtId="164" fontId="13" fillId="10" borderId="3" xfId="0" applyNumberFormat="1" applyFont="1" applyFill="1" applyBorder="1" applyAlignment="1">
      <alignment horizontal="center"/>
    </xf>
    <xf numFmtId="1" fontId="15" fillId="5" borderId="6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3" fillId="5" borderId="8" xfId="0" applyFont="1" applyFill="1" applyBorder="1" applyAlignment="1">
      <alignment horizontal="center" vertical="center" wrapText="1"/>
    </xf>
    <xf numFmtId="1" fontId="13" fillId="5" borderId="6" xfId="0" applyNumberFormat="1" applyFont="1" applyFill="1" applyBorder="1" applyAlignment="1">
      <alignment horizontal="center" vertical="center"/>
    </xf>
    <xf numFmtId="164" fontId="13" fillId="5" borderId="6" xfId="0" applyNumberFormat="1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 wrapText="1"/>
    </xf>
    <xf numFmtId="164" fontId="15" fillId="12" borderId="6" xfId="0" applyNumberFormat="1" applyFont="1" applyFill="1" applyBorder="1" applyAlignment="1">
      <alignment horizontal="center" vertical="center"/>
    </xf>
    <xf numFmtId="164" fontId="13" fillId="12" borderId="6" xfId="0" applyNumberFormat="1" applyFont="1" applyFill="1" applyBorder="1" applyAlignment="1">
      <alignment horizontal="center"/>
    </xf>
    <xf numFmtId="1" fontId="15" fillId="6" borderId="6" xfId="0" applyNumberFormat="1" applyFont="1" applyFill="1" applyBorder="1" applyAlignment="1">
      <alignment horizontal="center" vertical="center"/>
    </xf>
    <xf numFmtId="1" fontId="13" fillId="6" borderId="6" xfId="0" applyNumberFormat="1" applyFont="1" applyFill="1" applyBorder="1" applyAlignment="1">
      <alignment horizontal="center"/>
    </xf>
    <xf numFmtId="1" fontId="15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/>
    </xf>
    <xf numFmtId="0" fontId="0" fillId="0" borderId="0" xfId="0" applyFont="1" applyFill="1" applyAlignment="1"/>
    <xf numFmtId="0" fontId="13" fillId="0" borderId="5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1" fontId="15" fillId="0" borderId="6" xfId="0" applyNumberFormat="1" applyFont="1" applyFill="1" applyBorder="1" applyAlignment="1">
      <alignment horizontal="center" vertical="center"/>
    </xf>
    <xf numFmtId="164" fontId="15" fillId="0" borderId="6" xfId="0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1" fontId="13" fillId="0" borderId="6" xfId="0" applyNumberFormat="1" applyFont="1" applyFill="1" applyBorder="1" applyAlignment="1">
      <alignment horizontal="center" vertical="center"/>
    </xf>
    <xf numFmtId="164" fontId="13" fillId="0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1" fontId="13" fillId="0" borderId="6" xfId="0" applyNumberFormat="1" applyFont="1" applyFill="1" applyBorder="1" applyAlignment="1">
      <alignment horizontal="center"/>
    </xf>
    <xf numFmtId="1" fontId="15" fillId="0" borderId="3" xfId="0" applyNumberFormat="1" applyFont="1" applyFill="1" applyBorder="1" applyAlignment="1">
      <alignment horizontal="center"/>
    </xf>
    <xf numFmtId="1" fontId="13" fillId="0" borderId="3" xfId="0" applyNumberFormat="1" applyFont="1" applyFill="1" applyBorder="1" applyAlignment="1">
      <alignment horizontal="center"/>
    </xf>
    <xf numFmtId="164" fontId="15" fillId="13" borderId="6" xfId="0" applyNumberFormat="1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1" fontId="15" fillId="13" borderId="6" xfId="0" applyNumberFormat="1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1" fontId="15" fillId="14" borderId="6" xfId="0" applyNumberFormat="1" applyFont="1" applyFill="1" applyBorder="1" applyAlignment="1">
      <alignment horizontal="center" vertical="center"/>
    </xf>
    <xf numFmtId="164" fontId="15" fillId="14" borderId="6" xfId="0" applyNumberFormat="1" applyFont="1" applyFill="1" applyBorder="1" applyAlignment="1">
      <alignment horizontal="center" vertical="center"/>
    </xf>
    <xf numFmtId="1" fontId="15" fillId="13" borderId="3" xfId="0" applyNumberFormat="1" applyFont="1" applyFill="1" applyBorder="1" applyAlignment="1">
      <alignment horizontal="center"/>
    </xf>
    <xf numFmtId="1" fontId="15" fillId="14" borderId="3" xfId="0" applyNumberFormat="1" applyFont="1" applyFill="1" applyBorder="1" applyAlignment="1">
      <alignment horizontal="center"/>
    </xf>
    <xf numFmtId="0" fontId="0" fillId="0" borderId="0" xfId="0"/>
    <xf numFmtId="0" fontId="17" fillId="15" borderId="7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1" fontId="0" fillId="0" borderId="7" xfId="0" applyNumberFormat="1" applyBorder="1"/>
    <xf numFmtId="0" fontId="0" fillId="14" borderId="7" xfId="0" applyFill="1" applyBorder="1" applyAlignment="1">
      <alignment horizontal="center"/>
    </xf>
    <xf numFmtId="0" fontId="0" fillId="14" borderId="7" xfId="0" applyFill="1" applyBorder="1"/>
    <xf numFmtId="164" fontId="0" fillId="14" borderId="7" xfId="0" applyNumberFormat="1" applyFill="1" applyBorder="1"/>
    <xf numFmtId="1" fontId="0" fillId="14" borderId="7" xfId="0" applyNumberFormat="1" applyFill="1" applyBorder="1"/>
    <xf numFmtId="0" fontId="17" fillId="0" borderId="7" xfId="0" applyFont="1" applyBorder="1"/>
    <xf numFmtId="164" fontId="17" fillId="0" borderId="7" xfId="0" applyNumberFormat="1" applyFont="1" applyBorder="1"/>
    <xf numFmtId="0" fontId="17" fillId="15" borderId="7" xfId="0" applyFont="1" applyFill="1" applyBorder="1" applyAlignment="1">
      <alignment vertical="center" wrapText="1"/>
    </xf>
    <xf numFmtId="0" fontId="0" fillId="13" borderId="7" xfId="0" applyFill="1" applyBorder="1" applyAlignment="1">
      <alignment horizontal="center"/>
    </xf>
    <xf numFmtId="0" fontId="0" fillId="13" borderId="7" xfId="0" applyFill="1" applyBorder="1"/>
    <xf numFmtId="0" fontId="17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0" fillId="0" borderId="0" xfId="0" applyFont="1" applyAlignment="1"/>
    <xf numFmtId="0" fontId="10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/>
    <xf numFmtId="0" fontId="10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11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5" xfId="0" applyFont="1" applyBorder="1"/>
    <xf numFmtId="0" fontId="13" fillId="5" borderId="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5" xfId="0" applyFont="1" applyFill="1" applyBorder="1"/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3" fillId="0" borderId="5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15" borderId="7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 wrapText="1"/>
    </xf>
    <xf numFmtId="0" fontId="17" fillId="15" borderId="13" xfId="0" applyFont="1" applyFill="1" applyBorder="1" applyAlignment="1">
      <alignment horizontal="center" vertical="center" wrapText="1"/>
    </xf>
    <xf numFmtId="0" fontId="17" fillId="15" borderId="14" xfId="0" applyFont="1" applyFill="1" applyBorder="1" applyAlignment="1">
      <alignment horizontal="center" vertical="center" wrapText="1"/>
    </xf>
    <xf numFmtId="0" fontId="17" fillId="15" borderId="15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15" borderId="16" xfId="0" applyFont="1" applyFill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center" vertical="center" wrapText="1"/>
    </xf>
    <xf numFmtId="0" fontId="17" fillId="15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8" xfId="0" applyFont="1" applyFill="1" applyBorder="1"/>
    <xf numFmtId="0" fontId="17" fillId="16" borderId="7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0" fillId="16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 wrapText="1"/>
    </xf>
    <xf numFmtId="0" fontId="0" fillId="14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 wrapText="1"/>
    </xf>
    <xf numFmtId="0" fontId="0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 wrapText="1"/>
    </xf>
    <xf numFmtId="0" fontId="0" fillId="18" borderId="0" xfId="0" applyFont="1" applyFill="1" applyAlignment="1">
      <alignment horizontal="center" vertical="center"/>
    </xf>
    <xf numFmtId="1" fontId="1" fillId="16" borderId="0" xfId="0" applyNumberFormat="1" applyFont="1" applyFill="1" applyAlignment="1">
      <alignment horizontal="center" vertical="center" wrapText="1"/>
    </xf>
    <xf numFmtId="1" fontId="1" fillId="14" borderId="0" xfId="0" applyNumberFormat="1" applyFont="1" applyFill="1" applyAlignment="1">
      <alignment horizontal="center" vertical="center" wrapText="1"/>
    </xf>
    <xf numFmtId="1" fontId="1" fillId="17" borderId="0" xfId="0" applyNumberFormat="1" applyFont="1" applyFill="1" applyAlignment="1">
      <alignment horizontal="center" vertical="center" wrapText="1"/>
    </xf>
    <xf numFmtId="1" fontId="0" fillId="18" borderId="0" xfId="0" applyNumberFormat="1" applyFont="1" applyFill="1" applyAlignment="1">
      <alignment horizontal="center" vertical="center"/>
    </xf>
    <xf numFmtId="3" fontId="19" fillId="19" borderId="19" xfId="0" applyNumberFormat="1" applyFont="1" applyFill="1" applyBorder="1" applyAlignment="1">
      <alignment horizontal="center"/>
    </xf>
    <xf numFmtId="3" fontId="19" fillId="0" borderId="19" xfId="0" applyNumberFormat="1" applyFont="1" applyBorder="1" applyAlignment="1">
      <alignment horizontal="center"/>
    </xf>
    <xf numFmtId="3" fontId="19" fillId="0" borderId="2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552450</xdr:colOff>
      <xdr:row>0</xdr:row>
      <xdr:rowOff>0</xdr:rowOff>
    </xdr:from>
    <xdr:ext cx="4762500" cy="20478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10</xdr:row>
      <xdr:rowOff>104775</xdr:rowOff>
    </xdr:from>
    <xdr:ext cx="4876800" cy="1876425"/>
    <xdr:pic>
      <xdr:nvPicPr>
        <xdr:cNvPr id="3" name="image5.png" title="Gambar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21</xdr:row>
      <xdr:rowOff>85725</xdr:rowOff>
    </xdr:from>
    <xdr:ext cx="2143125" cy="2266950"/>
    <xdr:pic>
      <xdr:nvPicPr>
        <xdr:cNvPr id="4" name="image4.png" title="Gambar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647700</xdr:colOff>
      <xdr:row>21</xdr:row>
      <xdr:rowOff>85725</xdr:rowOff>
    </xdr:from>
    <xdr:ext cx="1819275" cy="2266950"/>
    <xdr:pic>
      <xdr:nvPicPr>
        <xdr:cNvPr id="5" name="image3.png" title="Gambar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0</xdr:row>
      <xdr:rowOff>0</xdr:rowOff>
    </xdr:from>
    <xdr:ext cx="4371975" cy="1876425"/>
    <xdr:pic>
      <xdr:nvPicPr>
        <xdr:cNvPr id="6" name="image6.png" title="Gambar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2:Z1000"/>
  <sheetViews>
    <sheetView view="pageBreakPreview" topLeftCell="B1" zoomScale="60" zoomScaleNormal="78" workbookViewId="0">
      <selection activeCell="F8" sqref="F8"/>
    </sheetView>
  </sheetViews>
  <sheetFormatPr defaultColWidth="14.453125" defaultRowHeight="15" customHeight="1"/>
  <cols>
    <col min="1" max="1" width="8.7265625" customWidth="1"/>
    <col min="2" max="2" width="14.08984375" customWidth="1"/>
    <col min="3" max="14" width="8.7265625" customWidth="1"/>
    <col min="15" max="26" width="12" customWidth="1"/>
    <col min="27" max="32" width="8.7265625" customWidth="1"/>
  </cols>
  <sheetData>
    <row r="2" spans="2:26" ht="14.5">
      <c r="B2" s="130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4" spans="2:26" ht="19.5" customHeight="1">
      <c r="B4" s="131" t="s">
        <v>48</v>
      </c>
      <c r="C4" s="133" t="s">
        <v>0</v>
      </c>
      <c r="D4" s="134"/>
      <c r="E4" s="135"/>
      <c r="F4" s="133" t="s">
        <v>1</v>
      </c>
      <c r="G4" s="134"/>
      <c r="H4" s="135"/>
      <c r="I4" s="133" t="s">
        <v>2</v>
      </c>
      <c r="J4" s="134"/>
      <c r="K4" s="135"/>
      <c r="L4" s="136" t="s">
        <v>49</v>
      </c>
      <c r="M4" s="134"/>
      <c r="N4" s="135"/>
      <c r="O4" s="137" t="s">
        <v>3</v>
      </c>
      <c r="P4" s="134"/>
      <c r="Q4" s="135"/>
      <c r="R4" s="137" t="s">
        <v>4</v>
      </c>
      <c r="S4" s="134"/>
      <c r="T4" s="135"/>
      <c r="U4" s="137" t="s">
        <v>5</v>
      </c>
      <c r="V4" s="134"/>
      <c r="W4" s="135"/>
      <c r="X4" s="138" t="s">
        <v>50</v>
      </c>
      <c r="Y4" s="134"/>
      <c r="Z4" s="135"/>
    </row>
    <row r="5" spans="2:26" ht="19.5" customHeight="1">
      <c r="B5" s="132"/>
      <c r="C5" s="5" t="s">
        <v>51</v>
      </c>
      <c r="D5" s="7" t="s">
        <v>52</v>
      </c>
      <c r="E5" s="8" t="s">
        <v>53</v>
      </c>
      <c r="F5" s="5" t="s">
        <v>51</v>
      </c>
      <c r="G5" s="7" t="s">
        <v>52</v>
      </c>
      <c r="H5" s="8" t="s">
        <v>53</v>
      </c>
      <c r="I5" s="5" t="s">
        <v>51</v>
      </c>
      <c r="J5" s="7" t="s">
        <v>52</v>
      </c>
      <c r="K5" s="8" t="s">
        <v>53</v>
      </c>
      <c r="L5" s="5" t="s">
        <v>51</v>
      </c>
      <c r="M5" s="7" t="s">
        <v>52</v>
      </c>
      <c r="N5" s="8" t="s">
        <v>53</v>
      </c>
      <c r="O5" s="5" t="s">
        <v>51</v>
      </c>
      <c r="P5" s="7" t="s">
        <v>52</v>
      </c>
      <c r="Q5" s="8" t="s">
        <v>53</v>
      </c>
      <c r="R5" s="5" t="s">
        <v>51</v>
      </c>
      <c r="S5" s="7" t="s">
        <v>52</v>
      </c>
      <c r="T5" s="8" t="s">
        <v>53</v>
      </c>
      <c r="U5" s="5" t="s">
        <v>51</v>
      </c>
      <c r="V5" s="7" t="s">
        <v>52</v>
      </c>
      <c r="W5" s="8" t="s">
        <v>53</v>
      </c>
      <c r="X5" s="5" t="s">
        <v>51</v>
      </c>
      <c r="Y5" s="7" t="s">
        <v>52</v>
      </c>
      <c r="Z5" s="8" t="s">
        <v>53</v>
      </c>
    </row>
    <row r="6" spans="2:26" ht="16.5" customHeight="1">
      <c r="B6" s="9" t="s">
        <v>17</v>
      </c>
      <c r="C6" s="4">
        <v>15</v>
      </c>
      <c r="D6" s="10">
        <v>0</v>
      </c>
      <c r="E6" s="11">
        <v>1</v>
      </c>
      <c r="F6" s="4">
        <v>58</v>
      </c>
      <c r="G6" s="10">
        <v>0</v>
      </c>
      <c r="H6" s="11">
        <v>0</v>
      </c>
      <c r="I6" s="4">
        <v>46</v>
      </c>
      <c r="J6" s="10">
        <v>1</v>
      </c>
      <c r="K6" s="11">
        <v>0</v>
      </c>
      <c r="L6" s="4">
        <f t="shared" ref="L6:N6" si="0">C6+F6+I6</f>
        <v>119</v>
      </c>
      <c r="M6" s="10">
        <f t="shared" si="0"/>
        <v>1</v>
      </c>
      <c r="N6" s="11">
        <f t="shared" si="0"/>
        <v>1</v>
      </c>
      <c r="O6" s="3">
        <v>222</v>
      </c>
      <c r="P6" s="12">
        <v>21</v>
      </c>
      <c r="Q6" s="13">
        <v>6</v>
      </c>
      <c r="R6" s="3">
        <v>295</v>
      </c>
      <c r="S6" s="12">
        <v>7</v>
      </c>
      <c r="T6" s="13">
        <v>9</v>
      </c>
      <c r="U6" s="3">
        <v>481</v>
      </c>
      <c r="V6" s="12">
        <v>12</v>
      </c>
      <c r="W6" s="13">
        <v>4</v>
      </c>
      <c r="X6" s="4">
        <f t="shared" ref="X6:Z6" si="1">O6+R6+U6</f>
        <v>998</v>
      </c>
      <c r="Y6" s="10">
        <f t="shared" si="1"/>
        <v>40</v>
      </c>
      <c r="Z6" s="11">
        <f t="shared" si="1"/>
        <v>19</v>
      </c>
    </row>
    <row r="7" spans="2:26" ht="16.5" customHeight="1">
      <c r="B7" s="9" t="s">
        <v>21</v>
      </c>
      <c r="C7" s="4">
        <v>112</v>
      </c>
      <c r="D7" s="10">
        <v>26</v>
      </c>
      <c r="E7" s="11">
        <v>6</v>
      </c>
      <c r="F7" s="4">
        <v>244</v>
      </c>
      <c r="G7" s="10">
        <v>16</v>
      </c>
      <c r="H7" s="11">
        <v>8</v>
      </c>
      <c r="I7" s="4">
        <v>120</v>
      </c>
      <c r="J7" s="10">
        <v>36</v>
      </c>
      <c r="K7" s="11">
        <v>2</v>
      </c>
      <c r="L7" s="4">
        <f t="shared" ref="L7:N7" si="2">C7+F7+I7</f>
        <v>476</v>
      </c>
      <c r="M7" s="10">
        <f t="shared" si="2"/>
        <v>78</v>
      </c>
      <c r="N7" s="11">
        <f t="shared" si="2"/>
        <v>16</v>
      </c>
      <c r="O7" s="3">
        <v>133</v>
      </c>
      <c r="P7" s="12">
        <v>13</v>
      </c>
      <c r="Q7" s="13">
        <v>7</v>
      </c>
      <c r="R7" s="3">
        <v>117</v>
      </c>
      <c r="S7" s="12">
        <v>7</v>
      </c>
      <c r="T7" s="13">
        <v>5</v>
      </c>
      <c r="U7" s="3">
        <v>214</v>
      </c>
      <c r="V7" s="12">
        <v>105</v>
      </c>
      <c r="W7" s="13">
        <v>6</v>
      </c>
      <c r="X7" s="4">
        <f t="shared" ref="X7:Z7" si="3">O7+R7+U7</f>
        <v>464</v>
      </c>
      <c r="Y7" s="10">
        <f t="shared" si="3"/>
        <v>125</v>
      </c>
      <c r="Z7" s="11">
        <f t="shared" si="3"/>
        <v>18</v>
      </c>
    </row>
    <row r="8" spans="2:26" ht="16.5" customHeight="1">
      <c r="B8" s="9" t="s">
        <v>15</v>
      </c>
      <c r="C8" s="4">
        <v>107</v>
      </c>
      <c r="D8" s="10">
        <v>0</v>
      </c>
      <c r="E8" s="11">
        <v>1</v>
      </c>
      <c r="F8" s="4">
        <v>105</v>
      </c>
      <c r="G8" s="10">
        <v>0</v>
      </c>
      <c r="H8" s="11">
        <v>0</v>
      </c>
      <c r="I8" s="4">
        <v>86</v>
      </c>
      <c r="J8" s="10">
        <v>6</v>
      </c>
      <c r="K8" s="11">
        <v>0</v>
      </c>
      <c r="L8" s="4">
        <f t="shared" ref="L8:N8" si="4">C8+F8+I8</f>
        <v>298</v>
      </c>
      <c r="M8" s="10">
        <f t="shared" si="4"/>
        <v>6</v>
      </c>
      <c r="N8" s="11">
        <f t="shared" si="4"/>
        <v>1</v>
      </c>
      <c r="O8" s="3">
        <v>129</v>
      </c>
      <c r="P8" s="12">
        <v>6</v>
      </c>
      <c r="Q8" s="13">
        <v>2</v>
      </c>
      <c r="R8" s="3">
        <v>90</v>
      </c>
      <c r="S8" s="12">
        <v>1</v>
      </c>
      <c r="T8" s="13">
        <v>0</v>
      </c>
      <c r="U8" s="3">
        <v>117</v>
      </c>
      <c r="V8" s="12">
        <v>2</v>
      </c>
      <c r="W8" s="13">
        <v>0</v>
      </c>
      <c r="X8" s="4">
        <f t="shared" ref="X8:Z8" si="5">O8+R8+U8</f>
        <v>336</v>
      </c>
      <c r="Y8" s="10">
        <f t="shared" si="5"/>
        <v>9</v>
      </c>
      <c r="Z8" s="11">
        <f t="shared" si="5"/>
        <v>2</v>
      </c>
    </row>
    <row r="9" spans="2:26" ht="16.5" customHeight="1">
      <c r="B9" s="9" t="s">
        <v>16</v>
      </c>
      <c r="C9" s="4">
        <v>14</v>
      </c>
      <c r="D9" s="10">
        <v>1</v>
      </c>
      <c r="E9" s="11">
        <v>0</v>
      </c>
      <c r="F9" s="4">
        <v>42</v>
      </c>
      <c r="G9" s="10">
        <v>0</v>
      </c>
      <c r="H9" s="11">
        <v>1</v>
      </c>
      <c r="I9" s="4">
        <v>16</v>
      </c>
      <c r="J9" s="10">
        <v>1</v>
      </c>
      <c r="K9" s="11">
        <v>2</v>
      </c>
      <c r="L9" s="4">
        <f t="shared" ref="L9:N9" si="6">C9+F9+I9</f>
        <v>72</v>
      </c>
      <c r="M9" s="10">
        <f t="shared" si="6"/>
        <v>2</v>
      </c>
      <c r="N9" s="11">
        <f t="shared" si="6"/>
        <v>3</v>
      </c>
      <c r="O9" s="3">
        <v>148</v>
      </c>
      <c r="P9" s="12">
        <v>2</v>
      </c>
      <c r="Q9" s="13">
        <v>0</v>
      </c>
      <c r="R9" s="3">
        <v>231</v>
      </c>
      <c r="S9" s="12">
        <v>9</v>
      </c>
      <c r="T9" s="13">
        <v>2</v>
      </c>
      <c r="U9" s="3">
        <v>618</v>
      </c>
      <c r="V9" s="12">
        <v>10</v>
      </c>
      <c r="W9" s="13">
        <v>4</v>
      </c>
      <c r="X9" s="4">
        <f t="shared" ref="X9:Z9" si="7">O9+R9+U9</f>
        <v>997</v>
      </c>
      <c r="Y9" s="10">
        <f t="shared" si="7"/>
        <v>21</v>
      </c>
      <c r="Z9" s="11">
        <f t="shared" si="7"/>
        <v>6</v>
      </c>
    </row>
    <row r="10" spans="2:26" ht="16.5" customHeight="1">
      <c r="B10" s="9" t="s">
        <v>14</v>
      </c>
      <c r="C10" s="4">
        <v>475</v>
      </c>
      <c r="D10" s="10">
        <v>21</v>
      </c>
      <c r="E10" s="11">
        <v>8</v>
      </c>
      <c r="F10" s="4">
        <v>198</v>
      </c>
      <c r="G10" s="10">
        <v>23</v>
      </c>
      <c r="H10" s="11">
        <v>10</v>
      </c>
      <c r="I10" s="4">
        <v>139</v>
      </c>
      <c r="J10" s="10">
        <v>8</v>
      </c>
      <c r="K10" s="11">
        <v>7</v>
      </c>
      <c r="L10" s="4">
        <f t="shared" ref="L10:N10" si="8">C10+F10+I10</f>
        <v>812</v>
      </c>
      <c r="M10" s="10">
        <f t="shared" si="8"/>
        <v>52</v>
      </c>
      <c r="N10" s="11">
        <f t="shared" si="8"/>
        <v>25</v>
      </c>
      <c r="O10" s="3">
        <v>228</v>
      </c>
      <c r="P10" s="12">
        <v>29</v>
      </c>
      <c r="Q10" s="13">
        <v>9</v>
      </c>
      <c r="R10" s="3">
        <v>204</v>
      </c>
      <c r="S10" s="12">
        <v>24</v>
      </c>
      <c r="T10" s="13">
        <v>11</v>
      </c>
      <c r="U10" s="3">
        <v>113</v>
      </c>
      <c r="V10" s="12">
        <v>12</v>
      </c>
      <c r="W10" s="13">
        <v>6</v>
      </c>
      <c r="X10" s="4">
        <f t="shared" ref="X10:Z10" si="9">O10+R10+U10</f>
        <v>545</v>
      </c>
      <c r="Y10" s="10">
        <f t="shared" si="9"/>
        <v>65</v>
      </c>
      <c r="Z10" s="11">
        <f t="shared" si="9"/>
        <v>26</v>
      </c>
    </row>
    <row r="11" spans="2:26" ht="16.5" customHeight="1">
      <c r="B11" s="9" t="s">
        <v>13</v>
      </c>
      <c r="C11" s="4">
        <v>1120</v>
      </c>
      <c r="D11" s="10">
        <v>152</v>
      </c>
      <c r="E11" s="11">
        <v>61</v>
      </c>
      <c r="F11" s="4">
        <v>778</v>
      </c>
      <c r="G11" s="10">
        <v>76</v>
      </c>
      <c r="H11" s="11">
        <v>16</v>
      </c>
      <c r="I11" s="4">
        <v>843</v>
      </c>
      <c r="J11" s="10">
        <v>118</v>
      </c>
      <c r="K11" s="11">
        <v>35</v>
      </c>
      <c r="L11" s="4">
        <f t="shared" ref="L11:N11" si="10">C11+F11+I11</f>
        <v>2741</v>
      </c>
      <c r="M11" s="10">
        <f t="shared" si="10"/>
        <v>346</v>
      </c>
      <c r="N11" s="11">
        <f t="shared" si="10"/>
        <v>112</v>
      </c>
      <c r="O11" s="3">
        <v>770</v>
      </c>
      <c r="P11" s="12">
        <v>79</v>
      </c>
      <c r="Q11" s="13">
        <v>23</v>
      </c>
      <c r="R11" s="3">
        <v>535</v>
      </c>
      <c r="S11" s="12">
        <v>70</v>
      </c>
      <c r="T11" s="13">
        <v>14</v>
      </c>
      <c r="U11" s="3">
        <v>943</v>
      </c>
      <c r="V11" s="12">
        <v>100</v>
      </c>
      <c r="W11" s="13">
        <v>21</v>
      </c>
      <c r="X11" s="4">
        <f t="shared" ref="X11:Z11" si="11">O11+R11+U11</f>
        <v>2248</v>
      </c>
      <c r="Y11" s="10">
        <f t="shared" si="11"/>
        <v>249</v>
      </c>
      <c r="Z11" s="11">
        <f t="shared" si="11"/>
        <v>58</v>
      </c>
    </row>
    <row r="12" spans="2:26" ht="16.5" customHeight="1">
      <c r="B12" s="9" t="s">
        <v>19</v>
      </c>
      <c r="C12" s="4">
        <v>48</v>
      </c>
      <c r="D12" s="10">
        <v>22</v>
      </c>
      <c r="E12" s="11">
        <v>0</v>
      </c>
      <c r="F12" s="4">
        <v>70</v>
      </c>
      <c r="G12" s="10">
        <v>23</v>
      </c>
      <c r="H12" s="11">
        <v>0</v>
      </c>
      <c r="I12" s="4">
        <v>231</v>
      </c>
      <c r="J12" s="10">
        <v>11</v>
      </c>
      <c r="K12" s="11">
        <v>8</v>
      </c>
      <c r="L12" s="4">
        <f t="shared" ref="L12:N12" si="12">C12+F12+I12</f>
        <v>349</v>
      </c>
      <c r="M12" s="10">
        <f t="shared" si="12"/>
        <v>56</v>
      </c>
      <c r="N12" s="11">
        <f t="shared" si="12"/>
        <v>8</v>
      </c>
      <c r="O12" s="3">
        <v>257</v>
      </c>
      <c r="P12" s="12">
        <v>1</v>
      </c>
      <c r="Q12" s="13">
        <v>0</v>
      </c>
      <c r="R12" s="3">
        <v>311</v>
      </c>
      <c r="S12" s="12">
        <v>4</v>
      </c>
      <c r="T12" s="13">
        <v>1</v>
      </c>
      <c r="U12" s="3">
        <v>55</v>
      </c>
      <c r="V12" s="12">
        <v>22</v>
      </c>
      <c r="W12" s="13">
        <v>10</v>
      </c>
      <c r="X12" s="4">
        <f t="shared" ref="X12:Z12" si="13">O12+R12+U12</f>
        <v>623</v>
      </c>
      <c r="Y12" s="10">
        <f t="shared" si="13"/>
        <v>27</v>
      </c>
      <c r="Z12" s="11">
        <f t="shared" si="13"/>
        <v>11</v>
      </c>
    </row>
    <row r="13" spans="2:26" ht="16.5" customHeight="1">
      <c r="B13" s="9" t="s">
        <v>12</v>
      </c>
      <c r="C13" s="4">
        <v>114</v>
      </c>
      <c r="D13" s="10">
        <v>8</v>
      </c>
      <c r="E13" s="11">
        <v>1</v>
      </c>
      <c r="F13" s="4">
        <v>106</v>
      </c>
      <c r="G13" s="10">
        <v>11</v>
      </c>
      <c r="H13" s="11">
        <v>1</v>
      </c>
      <c r="I13" s="4">
        <v>148</v>
      </c>
      <c r="J13" s="10">
        <v>23</v>
      </c>
      <c r="K13" s="11">
        <v>0</v>
      </c>
      <c r="L13" s="4">
        <f t="shared" ref="L13:N13" si="14">C13+F13+I13</f>
        <v>368</v>
      </c>
      <c r="M13" s="10">
        <f t="shared" si="14"/>
        <v>42</v>
      </c>
      <c r="N13" s="11">
        <f t="shared" si="14"/>
        <v>2</v>
      </c>
      <c r="O13" s="3">
        <v>941</v>
      </c>
      <c r="P13" s="12">
        <v>6</v>
      </c>
      <c r="Q13" s="13">
        <v>0</v>
      </c>
      <c r="R13" s="3">
        <v>122</v>
      </c>
      <c r="S13" s="12">
        <v>29</v>
      </c>
      <c r="T13" s="13">
        <v>4</v>
      </c>
      <c r="U13" s="3">
        <v>122</v>
      </c>
      <c r="V13" s="12">
        <v>42</v>
      </c>
      <c r="W13" s="13">
        <v>4</v>
      </c>
      <c r="X13" s="4">
        <f t="shared" ref="X13:Z13" si="15">O13+R13+U13</f>
        <v>1185</v>
      </c>
      <c r="Y13" s="10">
        <f t="shared" si="15"/>
        <v>77</v>
      </c>
      <c r="Z13" s="11">
        <f t="shared" si="15"/>
        <v>8</v>
      </c>
    </row>
    <row r="14" spans="2:26" ht="16.5" customHeight="1">
      <c r="B14" s="9" t="s">
        <v>22</v>
      </c>
      <c r="C14" s="4">
        <v>0</v>
      </c>
      <c r="D14" s="10">
        <v>1</v>
      </c>
      <c r="E14" s="11">
        <v>5</v>
      </c>
      <c r="F14" s="4">
        <v>1493</v>
      </c>
      <c r="G14" s="10">
        <v>0</v>
      </c>
      <c r="H14" s="11">
        <v>0</v>
      </c>
      <c r="I14" s="4">
        <v>15</v>
      </c>
      <c r="J14" s="10">
        <v>7</v>
      </c>
      <c r="K14" s="11">
        <v>2</v>
      </c>
      <c r="L14" s="4">
        <f t="shared" ref="L14:N14" si="16">C14+F14+I14</f>
        <v>1508</v>
      </c>
      <c r="M14" s="10">
        <f t="shared" si="16"/>
        <v>8</v>
      </c>
      <c r="N14" s="11">
        <f t="shared" si="16"/>
        <v>7</v>
      </c>
      <c r="O14" s="3">
        <v>1082</v>
      </c>
      <c r="P14" s="12">
        <v>16</v>
      </c>
      <c r="Q14" s="13">
        <v>3</v>
      </c>
      <c r="R14" s="3">
        <v>980</v>
      </c>
      <c r="S14" s="12">
        <v>28</v>
      </c>
      <c r="T14" s="13">
        <v>5</v>
      </c>
      <c r="U14" s="3">
        <v>587</v>
      </c>
      <c r="V14" s="12">
        <v>33</v>
      </c>
      <c r="W14" s="13">
        <v>4</v>
      </c>
      <c r="X14" s="4">
        <f t="shared" ref="X14:Z14" si="17">O14+R14+U14</f>
        <v>2649</v>
      </c>
      <c r="Y14" s="10">
        <f t="shared" si="17"/>
        <v>77</v>
      </c>
      <c r="Z14" s="11">
        <f t="shared" si="17"/>
        <v>12</v>
      </c>
    </row>
    <row r="15" spans="2:26" ht="16.5" customHeight="1">
      <c r="B15" s="9" t="s">
        <v>11</v>
      </c>
      <c r="C15" s="4">
        <v>138</v>
      </c>
      <c r="D15" s="10">
        <v>9</v>
      </c>
      <c r="E15" s="11">
        <v>2</v>
      </c>
      <c r="F15" s="4">
        <v>108</v>
      </c>
      <c r="G15" s="10">
        <v>1</v>
      </c>
      <c r="H15" s="11">
        <v>2</v>
      </c>
      <c r="I15" s="4">
        <v>121</v>
      </c>
      <c r="J15" s="10">
        <v>2</v>
      </c>
      <c r="K15" s="11">
        <v>0</v>
      </c>
      <c r="L15" s="4">
        <f t="shared" ref="L15:N15" si="18">C15+F15+I15</f>
        <v>367</v>
      </c>
      <c r="M15" s="10">
        <f t="shared" si="18"/>
        <v>12</v>
      </c>
      <c r="N15" s="11">
        <f t="shared" si="18"/>
        <v>4</v>
      </c>
      <c r="O15" s="3">
        <v>1218</v>
      </c>
      <c r="P15" s="12">
        <v>3</v>
      </c>
      <c r="Q15" s="13">
        <v>8</v>
      </c>
      <c r="R15" s="3">
        <v>342</v>
      </c>
      <c r="S15" s="12">
        <v>4</v>
      </c>
      <c r="T15" s="13">
        <v>10</v>
      </c>
      <c r="U15" s="3">
        <v>13</v>
      </c>
      <c r="V15" s="12">
        <v>0</v>
      </c>
      <c r="W15" s="13">
        <v>2</v>
      </c>
      <c r="X15" s="4">
        <f t="shared" ref="X15:Z15" si="19">O15+R15+U15</f>
        <v>1573</v>
      </c>
      <c r="Y15" s="10">
        <f t="shared" si="19"/>
        <v>7</v>
      </c>
      <c r="Z15" s="11">
        <f t="shared" si="19"/>
        <v>20</v>
      </c>
    </row>
    <row r="16" spans="2:26" ht="16.5" customHeight="1">
      <c r="B16" s="9" t="s">
        <v>18</v>
      </c>
      <c r="C16" s="4">
        <v>302</v>
      </c>
      <c r="D16" s="10">
        <v>38</v>
      </c>
      <c r="E16" s="11">
        <v>9</v>
      </c>
      <c r="F16" s="4">
        <v>273</v>
      </c>
      <c r="G16" s="10">
        <v>48</v>
      </c>
      <c r="H16" s="11">
        <v>9</v>
      </c>
      <c r="I16" s="4">
        <v>373</v>
      </c>
      <c r="J16" s="10">
        <v>32</v>
      </c>
      <c r="K16" s="11">
        <v>3</v>
      </c>
      <c r="L16" s="4">
        <f t="shared" ref="L16:N16" si="20">C16+F16+I16</f>
        <v>948</v>
      </c>
      <c r="M16" s="10">
        <f t="shared" si="20"/>
        <v>118</v>
      </c>
      <c r="N16" s="11">
        <f t="shared" si="20"/>
        <v>21</v>
      </c>
      <c r="O16" s="3">
        <v>261</v>
      </c>
      <c r="P16" s="12">
        <v>19</v>
      </c>
      <c r="Q16" s="13">
        <v>3</v>
      </c>
      <c r="R16" s="3">
        <v>172</v>
      </c>
      <c r="S16" s="12">
        <v>27</v>
      </c>
      <c r="T16" s="13">
        <v>5</v>
      </c>
      <c r="U16" s="3">
        <v>157</v>
      </c>
      <c r="V16" s="12">
        <v>25</v>
      </c>
      <c r="W16" s="13">
        <v>4</v>
      </c>
      <c r="X16" s="4">
        <f t="shared" ref="X16:Z16" si="21">O16+R16+U16</f>
        <v>590</v>
      </c>
      <c r="Y16" s="10">
        <f t="shared" si="21"/>
        <v>71</v>
      </c>
      <c r="Z16" s="11">
        <f t="shared" si="21"/>
        <v>12</v>
      </c>
    </row>
    <row r="17" spans="2:26" ht="16.5" customHeight="1">
      <c r="B17" s="9" t="s">
        <v>20</v>
      </c>
      <c r="C17" s="4">
        <v>66</v>
      </c>
      <c r="D17" s="10">
        <v>3</v>
      </c>
      <c r="E17" s="11">
        <v>2</v>
      </c>
      <c r="F17" s="4">
        <v>15</v>
      </c>
      <c r="G17" s="10">
        <v>4</v>
      </c>
      <c r="H17" s="11">
        <v>0</v>
      </c>
      <c r="I17" s="4">
        <v>22</v>
      </c>
      <c r="J17" s="10">
        <v>5</v>
      </c>
      <c r="K17" s="11">
        <v>0</v>
      </c>
      <c r="L17" s="4">
        <f t="shared" ref="L17:N17" si="22">C17+F17+I17</f>
        <v>103</v>
      </c>
      <c r="M17" s="10">
        <f t="shared" si="22"/>
        <v>12</v>
      </c>
      <c r="N17" s="11">
        <f t="shared" si="22"/>
        <v>2</v>
      </c>
      <c r="O17" s="3">
        <v>25</v>
      </c>
      <c r="P17" s="12">
        <v>1</v>
      </c>
      <c r="Q17" s="13">
        <v>0</v>
      </c>
      <c r="R17" s="3">
        <v>22</v>
      </c>
      <c r="S17" s="12">
        <v>1</v>
      </c>
      <c r="T17" s="13">
        <v>1</v>
      </c>
      <c r="U17" s="3">
        <v>20</v>
      </c>
      <c r="V17" s="12">
        <v>5</v>
      </c>
      <c r="W17" s="13">
        <v>0</v>
      </c>
      <c r="X17" s="4">
        <f t="shared" ref="X17:Z17" si="23">O17+R17+U17</f>
        <v>67</v>
      </c>
      <c r="Y17" s="10">
        <f t="shared" si="23"/>
        <v>7</v>
      </c>
      <c r="Z17" s="11">
        <f t="shared" si="23"/>
        <v>1</v>
      </c>
    </row>
    <row r="18" spans="2:26" ht="16.5" customHeight="1">
      <c r="B18" s="14" t="s">
        <v>6</v>
      </c>
      <c r="C18" s="5">
        <f t="shared" ref="C18:K18" si="24">SUM(C6:C17)</f>
        <v>2511</v>
      </c>
      <c r="D18" s="7">
        <f t="shared" si="24"/>
        <v>281</v>
      </c>
      <c r="E18" s="8">
        <f t="shared" si="24"/>
        <v>96</v>
      </c>
      <c r="F18" s="5">
        <f t="shared" si="24"/>
        <v>3490</v>
      </c>
      <c r="G18" s="7">
        <f t="shared" si="24"/>
        <v>202</v>
      </c>
      <c r="H18" s="8">
        <f t="shared" si="24"/>
        <v>47</v>
      </c>
      <c r="I18" s="5">
        <f t="shared" si="24"/>
        <v>2160</v>
      </c>
      <c r="J18" s="7">
        <f t="shared" si="24"/>
        <v>250</v>
      </c>
      <c r="K18" s="8">
        <f t="shared" si="24"/>
        <v>59</v>
      </c>
      <c r="L18" s="5">
        <f t="shared" ref="L18:N18" si="25">C18+F18+I18</f>
        <v>8161</v>
      </c>
      <c r="M18" s="7">
        <f t="shared" si="25"/>
        <v>733</v>
      </c>
      <c r="N18" s="8">
        <f t="shared" si="25"/>
        <v>202</v>
      </c>
      <c r="O18" s="5">
        <f t="shared" ref="O18:W18" si="26">SUM(O6:O17)</f>
        <v>5414</v>
      </c>
      <c r="P18" s="7">
        <f t="shared" si="26"/>
        <v>196</v>
      </c>
      <c r="Q18" s="8">
        <f t="shared" si="26"/>
        <v>61</v>
      </c>
      <c r="R18" s="5">
        <f t="shared" si="26"/>
        <v>3421</v>
      </c>
      <c r="S18" s="7">
        <f t="shared" si="26"/>
        <v>211</v>
      </c>
      <c r="T18" s="8">
        <f t="shared" si="26"/>
        <v>67</v>
      </c>
      <c r="U18" s="5">
        <f t="shared" si="26"/>
        <v>3440</v>
      </c>
      <c r="V18" s="7">
        <f t="shared" si="26"/>
        <v>368</v>
      </c>
      <c r="W18" s="8">
        <f t="shared" si="26"/>
        <v>65</v>
      </c>
      <c r="X18" s="5">
        <f t="shared" ref="X18:Z18" si="27">O18+R18+U18</f>
        <v>12275</v>
      </c>
      <c r="Y18" s="7">
        <f t="shared" si="27"/>
        <v>775</v>
      </c>
      <c r="Z18" s="8">
        <f t="shared" si="27"/>
        <v>193</v>
      </c>
    </row>
    <row r="21" spans="2:26" ht="15.75" customHeight="1">
      <c r="B21" s="15" t="s">
        <v>54</v>
      </c>
    </row>
    <row r="22" spans="2:26" ht="15.75" customHeight="1">
      <c r="V22" s="16"/>
      <c r="W22" s="16"/>
      <c r="X22" s="6"/>
      <c r="Y22" s="16"/>
    </row>
    <row r="23" spans="2:26" ht="15.75" customHeight="1">
      <c r="B23" s="131" t="s">
        <v>48</v>
      </c>
      <c r="C23" s="133" t="s">
        <v>49</v>
      </c>
      <c r="D23" s="134"/>
      <c r="E23" s="135"/>
      <c r="F23" s="137" t="s">
        <v>50</v>
      </c>
      <c r="G23" s="134"/>
      <c r="H23" s="135"/>
      <c r="W23" s="16"/>
      <c r="X23" s="6"/>
      <c r="Y23" s="16"/>
    </row>
    <row r="24" spans="2:26" ht="15.75" customHeight="1">
      <c r="B24" s="132"/>
      <c r="C24" s="5" t="s">
        <v>51</v>
      </c>
      <c r="D24" s="7" t="s">
        <v>52</v>
      </c>
      <c r="E24" s="8" t="s">
        <v>53</v>
      </c>
      <c r="F24" s="2" t="s">
        <v>51</v>
      </c>
      <c r="G24" s="7" t="s">
        <v>52</v>
      </c>
      <c r="H24" s="8" t="s">
        <v>53</v>
      </c>
      <c r="W24" s="16"/>
      <c r="X24" s="6"/>
      <c r="Y24" s="16"/>
    </row>
    <row r="25" spans="2:26" ht="15.75" customHeight="1">
      <c r="B25" s="9" t="s">
        <v>17</v>
      </c>
      <c r="C25" s="17">
        <v>119</v>
      </c>
      <c r="D25" s="18">
        <v>1</v>
      </c>
      <c r="E25" s="19">
        <v>1</v>
      </c>
      <c r="F25" s="17">
        <v>998</v>
      </c>
      <c r="G25" s="18">
        <v>40</v>
      </c>
      <c r="H25" s="19">
        <v>19</v>
      </c>
    </row>
    <row r="26" spans="2:26" ht="15.75" customHeight="1">
      <c r="B26" s="9" t="s">
        <v>21</v>
      </c>
      <c r="C26" s="17">
        <v>476</v>
      </c>
      <c r="D26" s="18">
        <v>78</v>
      </c>
      <c r="E26" s="19">
        <v>16</v>
      </c>
      <c r="F26" s="17">
        <v>464</v>
      </c>
      <c r="G26" s="18">
        <v>125</v>
      </c>
      <c r="H26" s="19">
        <v>18</v>
      </c>
    </row>
    <row r="27" spans="2:26" ht="15.75" customHeight="1">
      <c r="B27" s="9" t="s">
        <v>15</v>
      </c>
      <c r="C27" s="17">
        <v>298</v>
      </c>
      <c r="D27" s="18">
        <v>6</v>
      </c>
      <c r="E27" s="19">
        <v>1</v>
      </c>
      <c r="F27" s="17">
        <v>336</v>
      </c>
      <c r="G27" s="18">
        <v>9</v>
      </c>
      <c r="H27" s="19">
        <v>2</v>
      </c>
    </row>
    <row r="28" spans="2:26" ht="15.75" customHeight="1">
      <c r="B28" s="9" t="s">
        <v>16</v>
      </c>
      <c r="C28" s="17">
        <v>72</v>
      </c>
      <c r="D28" s="18">
        <v>2</v>
      </c>
      <c r="E28" s="19">
        <v>3</v>
      </c>
      <c r="F28" s="17">
        <v>997</v>
      </c>
      <c r="G28" s="18">
        <v>21</v>
      </c>
      <c r="H28" s="19">
        <v>6</v>
      </c>
    </row>
    <row r="29" spans="2:26" ht="15.75" customHeight="1">
      <c r="B29" s="9" t="s">
        <v>14</v>
      </c>
      <c r="C29" s="17">
        <v>812</v>
      </c>
      <c r="D29" s="18">
        <v>52</v>
      </c>
      <c r="E29" s="19">
        <v>25</v>
      </c>
      <c r="F29" s="17">
        <v>545</v>
      </c>
      <c r="G29" s="18">
        <v>65</v>
      </c>
      <c r="H29" s="19">
        <v>26</v>
      </c>
    </row>
    <row r="30" spans="2:26" ht="15.75" customHeight="1">
      <c r="B30" s="9" t="s">
        <v>13</v>
      </c>
      <c r="C30" s="17">
        <v>2741</v>
      </c>
      <c r="D30" s="18">
        <v>346</v>
      </c>
      <c r="E30" s="19">
        <v>112</v>
      </c>
      <c r="F30" s="17">
        <v>2248</v>
      </c>
      <c r="G30" s="18">
        <v>249</v>
      </c>
      <c r="H30" s="19">
        <v>58</v>
      </c>
    </row>
    <row r="31" spans="2:26" ht="15.75" customHeight="1">
      <c r="B31" s="9" t="s">
        <v>19</v>
      </c>
      <c r="C31" s="17">
        <v>349</v>
      </c>
      <c r="D31" s="18">
        <v>56</v>
      </c>
      <c r="E31" s="19">
        <v>8</v>
      </c>
      <c r="F31" s="17">
        <v>623</v>
      </c>
      <c r="G31" s="18">
        <v>27</v>
      </c>
      <c r="H31" s="19">
        <v>11</v>
      </c>
    </row>
    <row r="32" spans="2:26" ht="15.75" customHeight="1">
      <c r="B32" s="9" t="s">
        <v>12</v>
      </c>
      <c r="C32" s="17">
        <v>368</v>
      </c>
      <c r="D32" s="18">
        <v>42</v>
      </c>
      <c r="E32" s="19">
        <v>2</v>
      </c>
      <c r="F32" s="17">
        <v>1185</v>
      </c>
      <c r="G32" s="18">
        <v>77</v>
      </c>
      <c r="H32" s="19">
        <v>8</v>
      </c>
    </row>
    <row r="33" spans="2:8" ht="15.75" customHeight="1">
      <c r="B33" s="9" t="s">
        <v>22</v>
      </c>
      <c r="C33" s="17">
        <v>1508</v>
      </c>
      <c r="D33" s="18">
        <v>8</v>
      </c>
      <c r="E33" s="19">
        <v>7</v>
      </c>
      <c r="F33" s="17">
        <v>2649</v>
      </c>
      <c r="G33" s="18">
        <v>77</v>
      </c>
      <c r="H33" s="19">
        <v>12</v>
      </c>
    </row>
    <row r="34" spans="2:8" ht="15.75" customHeight="1">
      <c r="B34" s="9" t="s">
        <v>11</v>
      </c>
      <c r="C34" s="17">
        <v>367</v>
      </c>
      <c r="D34" s="18">
        <v>12</v>
      </c>
      <c r="E34" s="19">
        <v>4</v>
      </c>
      <c r="F34" s="17">
        <v>1573</v>
      </c>
      <c r="G34" s="18">
        <v>7</v>
      </c>
      <c r="H34" s="19">
        <v>20</v>
      </c>
    </row>
    <row r="35" spans="2:8" ht="15.75" customHeight="1">
      <c r="B35" s="9" t="s">
        <v>18</v>
      </c>
      <c r="C35" s="17">
        <v>948</v>
      </c>
      <c r="D35" s="18">
        <v>118</v>
      </c>
      <c r="E35" s="19">
        <v>21</v>
      </c>
      <c r="F35" s="17">
        <v>590</v>
      </c>
      <c r="G35" s="18">
        <v>71</v>
      </c>
      <c r="H35" s="19">
        <v>12</v>
      </c>
    </row>
    <row r="36" spans="2:8" ht="15.75" customHeight="1">
      <c r="B36" s="9" t="s">
        <v>20</v>
      </c>
      <c r="C36" s="17">
        <v>103</v>
      </c>
      <c r="D36" s="18">
        <v>12</v>
      </c>
      <c r="E36" s="19">
        <v>2</v>
      </c>
      <c r="F36" s="17">
        <v>67</v>
      </c>
      <c r="G36" s="18">
        <v>7</v>
      </c>
      <c r="H36" s="19">
        <v>1</v>
      </c>
    </row>
    <row r="37" spans="2:8" ht="15.75" customHeight="1">
      <c r="B37" s="14" t="s">
        <v>6</v>
      </c>
      <c r="C37" s="20">
        <f t="shared" ref="C37:H37" si="28">SUM(C25:C36)</f>
        <v>8161</v>
      </c>
      <c r="D37" s="21">
        <f t="shared" si="28"/>
        <v>733</v>
      </c>
      <c r="E37" s="22">
        <f t="shared" si="28"/>
        <v>202</v>
      </c>
      <c r="F37" s="20">
        <f t="shared" si="28"/>
        <v>12275</v>
      </c>
      <c r="G37" s="21">
        <f t="shared" si="28"/>
        <v>775</v>
      </c>
      <c r="H37" s="22">
        <f t="shared" si="28"/>
        <v>193</v>
      </c>
    </row>
    <row r="38" spans="2:8" ht="15.75" customHeight="1"/>
    <row r="39" spans="2:8" ht="15.75" customHeight="1"/>
    <row r="40" spans="2:8" ht="15.75" customHeight="1"/>
    <row r="41" spans="2:8" ht="15.75" customHeight="1">
      <c r="B41" s="6" t="s">
        <v>55</v>
      </c>
      <c r="C41" s="6" t="s">
        <v>56</v>
      </c>
    </row>
    <row r="42" spans="2:8" ht="15.75" customHeight="1">
      <c r="B42" s="6" t="s">
        <v>57</v>
      </c>
      <c r="C42" s="6" t="s">
        <v>58</v>
      </c>
    </row>
    <row r="43" spans="2:8" ht="15.75" customHeight="1"/>
    <row r="44" spans="2:8" ht="15.75" customHeight="1"/>
    <row r="45" spans="2:8" ht="15.75" customHeight="1">
      <c r="B45" s="23" t="s">
        <v>59</v>
      </c>
      <c r="C45" s="1"/>
      <c r="D45" s="1"/>
    </row>
    <row r="46" spans="2:8" ht="15.75" customHeight="1">
      <c r="B46" s="15"/>
      <c r="C46" s="23"/>
      <c r="D46" s="1"/>
    </row>
    <row r="47" spans="2:8" ht="15.75" customHeight="1">
      <c r="B47" s="15" t="s">
        <v>51</v>
      </c>
      <c r="C47" s="23" t="s">
        <v>60</v>
      </c>
      <c r="D47" s="1"/>
    </row>
    <row r="48" spans="2:8" ht="15.75" customHeight="1">
      <c r="B48" s="128" t="s">
        <v>52</v>
      </c>
      <c r="C48" s="23" t="s">
        <v>61</v>
      </c>
      <c r="D48" s="1"/>
    </row>
    <row r="49" spans="2:4" ht="15.75" customHeight="1">
      <c r="B49" s="129"/>
      <c r="C49" s="23" t="s">
        <v>62</v>
      </c>
      <c r="D49" s="1"/>
    </row>
    <row r="50" spans="2:4" ht="15.75" customHeight="1">
      <c r="B50" s="128" t="s">
        <v>53</v>
      </c>
      <c r="C50" s="24" t="s">
        <v>63</v>
      </c>
      <c r="D50" s="1"/>
    </row>
    <row r="51" spans="2:4" ht="15.75" customHeight="1">
      <c r="B51" s="129"/>
      <c r="C51" s="24" t="s">
        <v>64</v>
      </c>
      <c r="D51" s="1"/>
    </row>
    <row r="52" spans="2:4" ht="15.75" customHeight="1"/>
    <row r="53" spans="2:4" ht="15.75" customHeight="1"/>
    <row r="54" spans="2:4" ht="15.75" customHeight="1"/>
    <row r="55" spans="2:4" ht="15.75" customHeight="1"/>
    <row r="56" spans="2:4" ht="15.75" customHeight="1"/>
    <row r="57" spans="2:4" ht="15.75" customHeight="1"/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48:B49"/>
    <mergeCell ref="B50:B51"/>
    <mergeCell ref="B2:Z2"/>
    <mergeCell ref="B4:B5"/>
    <mergeCell ref="C4:E4"/>
    <mergeCell ref="F4:H4"/>
    <mergeCell ref="I4:K4"/>
    <mergeCell ref="L4:N4"/>
    <mergeCell ref="O4:Q4"/>
    <mergeCell ref="X4:Z4"/>
    <mergeCell ref="R4:T4"/>
    <mergeCell ref="U4:W4"/>
    <mergeCell ref="B23:B24"/>
    <mergeCell ref="C23:E23"/>
    <mergeCell ref="F23:H23"/>
  </mergeCells>
  <pageMargins left="0.70866141732283472" right="0.70866141732283472" top="0.74803149606299213" bottom="0.74803149606299213" header="0" footer="0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994"/>
  <sheetViews>
    <sheetView topLeftCell="A36" zoomScale="66" zoomScaleNormal="71" workbookViewId="0">
      <selection activeCell="B1" sqref="B1:J54"/>
    </sheetView>
  </sheetViews>
  <sheetFormatPr defaultColWidth="14.453125" defaultRowHeight="15" customHeight="1"/>
  <cols>
    <col min="1" max="1" width="8.7265625" customWidth="1"/>
    <col min="2" max="2" width="7.81640625" customWidth="1"/>
    <col min="3" max="3" width="19.08984375" customWidth="1"/>
    <col min="4" max="4" width="14.453125" customWidth="1"/>
    <col min="5" max="5" width="17.81640625" customWidth="1"/>
    <col min="6" max="6" width="14.453125" customWidth="1"/>
    <col min="7" max="7" width="16.54296875" customWidth="1"/>
    <col min="8" max="8" width="14.453125" customWidth="1"/>
    <col min="9" max="10" width="14.453125" style="47" customWidth="1"/>
    <col min="11" max="11" width="14.453125" customWidth="1"/>
    <col min="12" max="12" width="17.81640625" customWidth="1"/>
    <col min="13" max="13" width="14.453125" customWidth="1"/>
    <col min="14" max="14" width="16.54296875" customWidth="1"/>
    <col min="15" max="15" width="14.453125" customWidth="1"/>
    <col min="16" max="17" width="14.453125" style="47" customWidth="1"/>
    <col min="18" max="29" width="8.7265625" customWidth="1"/>
  </cols>
  <sheetData>
    <row r="1" spans="2:15" ht="15" customHeight="1">
      <c r="B1" s="139" t="s">
        <v>23</v>
      </c>
      <c r="C1" s="139"/>
      <c r="D1" s="139"/>
      <c r="E1" s="139"/>
      <c r="F1" s="139"/>
      <c r="G1" s="139"/>
      <c r="H1" s="139"/>
      <c r="I1" s="139"/>
      <c r="J1" s="139"/>
    </row>
    <row r="2" spans="2:15" ht="18" customHeight="1">
      <c r="B2" s="139"/>
      <c r="C2" s="139"/>
      <c r="D2" s="139"/>
      <c r="E2" s="139"/>
      <c r="F2" s="139"/>
      <c r="G2" s="139"/>
      <c r="H2" s="139"/>
      <c r="I2" s="139"/>
      <c r="J2" s="139"/>
      <c r="K2" s="47"/>
      <c r="L2" s="47"/>
      <c r="M2" s="47"/>
      <c r="N2" s="47"/>
      <c r="O2" s="47"/>
    </row>
    <row r="3" spans="2:15" ht="18">
      <c r="B3" s="139" t="s">
        <v>24</v>
      </c>
      <c r="C3" s="139"/>
      <c r="D3" s="139"/>
      <c r="E3" s="139"/>
      <c r="F3" s="139"/>
      <c r="G3" s="139"/>
      <c r="H3" s="139"/>
      <c r="I3" s="139"/>
      <c r="J3" s="139"/>
      <c r="K3" s="47"/>
      <c r="L3" s="47"/>
      <c r="M3" s="47"/>
      <c r="N3" s="47"/>
      <c r="O3" s="47"/>
    </row>
    <row r="5" spans="2:15" ht="15.5">
      <c r="B5" s="140" t="s">
        <v>25</v>
      </c>
      <c r="C5" s="140" t="s">
        <v>26</v>
      </c>
      <c r="D5" s="142" t="s">
        <v>27</v>
      </c>
      <c r="E5" s="143"/>
      <c r="F5" s="143"/>
      <c r="G5" s="143"/>
      <c r="H5" s="143"/>
      <c r="I5" s="143"/>
      <c r="J5" s="144"/>
    </row>
    <row r="6" spans="2:15" ht="55.5" customHeight="1">
      <c r="B6" s="149"/>
      <c r="C6" s="149"/>
      <c r="D6" s="48" t="s">
        <v>30</v>
      </c>
      <c r="E6" s="49" t="s">
        <v>31</v>
      </c>
      <c r="F6" s="49" t="s">
        <v>32</v>
      </c>
      <c r="G6" s="49" t="s">
        <v>33</v>
      </c>
      <c r="H6" s="49" t="s">
        <v>32</v>
      </c>
      <c r="I6" s="78" t="s">
        <v>229</v>
      </c>
      <c r="J6" s="49" t="s">
        <v>228</v>
      </c>
    </row>
    <row r="7" spans="2:15" ht="15.5">
      <c r="B7" s="55">
        <v>1</v>
      </c>
      <c r="C7" s="55" t="s">
        <v>35</v>
      </c>
      <c r="D7" s="56">
        <v>8998</v>
      </c>
      <c r="E7" s="56">
        <v>119</v>
      </c>
      <c r="F7" s="57">
        <f t="shared" ref="F7:F19" si="0">E7/D7*100</f>
        <v>1.3225161146921538</v>
      </c>
      <c r="G7" s="56">
        <v>998</v>
      </c>
      <c r="H7" s="57">
        <f t="shared" ref="H7:H19" si="1">G7/D7*100</f>
        <v>11.091353634140919</v>
      </c>
      <c r="I7" s="76">
        <f>E7+G7</f>
        <v>1117</v>
      </c>
      <c r="J7" s="57">
        <f>I7/D7*100</f>
        <v>12.413869748833074</v>
      </c>
    </row>
    <row r="8" spans="2:15" ht="15.5">
      <c r="B8" s="55">
        <v>2</v>
      </c>
      <c r="C8" s="55" t="s">
        <v>36</v>
      </c>
      <c r="D8" s="56">
        <v>3234</v>
      </c>
      <c r="E8" s="56">
        <v>476</v>
      </c>
      <c r="F8" s="57">
        <f t="shared" si="0"/>
        <v>14.71861471861472</v>
      </c>
      <c r="G8" s="56">
        <v>464</v>
      </c>
      <c r="H8" s="57">
        <f t="shared" si="1"/>
        <v>14.347557204700061</v>
      </c>
      <c r="I8" s="76">
        <f t="shared" ref="I8:I18" si="2">E8+G8</f>
        <v>940</v>
      </c>
      <c r="J8" s="57">
        <f t="shared" ref="J8:J18" si="3">I8/D8*100</f>
        <v>29.066171923314783</v>
      </c>
    </row>
    <row r="9" spans="2:15" ht="15.5">
      <c r="B9" s="55">
        <v>3</v>
      </c>
      <c r="C9" s="55" t="s">
        <v>37</v>
      </c>
      <c r="D9" s="56">
        <v>5429</v>
      </c>
      <c r="E9" s="56">
        <v>298</v>
      </c>
      <c r="F9" s="57">
        <f t="shared" si="0"/>
        <v>5.4890403389206117</v>
      </c>
      <c r="G9" s="56">
        <v>336</v>
      </c>
      <c r="H9" s="57">
        <f t="shared" si="1"/>
        <v>6.1889850801252528</v>
      </c>
      <c r="I9" s="76">
        <f t="shared" si="2"/>
        <v>634</v>
      </c>
      <c r="J9" s="57">
        <f t="shared" si="3"/>
        <v>11.678025419045865</v>
      </c>
    </row>
    <row r="10" spans="2:15" ht="15.5">
      <c r="B10" s="55">
        <v>4</v>
      </c>
      <c r="C10" s="55" t="s">
        <v>38</v>
      </c>
      <c r="D10" s="56">
        <v>3480</v>
      </c>
      <c r="E10" s="56">
        <v>72</v>
      </c>
      <c r="F10" s="57">
        <f t="shared" si="0"/>
        <v>2.0689655172413794</v>
      </c>
      <c r="G10" s="56">
        <v>997</v>
      </c>
      <c r="H10" s="57">
        <f t="shared" si="1"/>
        <v>28.649425287356323</v>
      </c>
      <c r="I10" s="76">
        <f t="shared" si="2"/>
        <v>1069</v>
      </c>
      <c r="J10" s="57">
        <f t="shared" si="3"/>
        <v>30.7183908045977</v>
      </c>
    </row>
    <row r="11" spans="2:15" ht="15.5">
      <c r="B11" s="55">
        <v>5</v>
      </c>
      <c r="C11" s="55" t="s">
        <v>39</v>
      </c>
      <c r="D11" s="56">
        <v>5856</v>
      </c>
      <c r="E11" s="56">
        <v>812</v>
      </c>
      <c r="F11" s="57">
        <f t="shared" si="0"/>
        <v>13.866120218579233</v>
      </c>
      <c r="G11" s="56">
        <v>545</v>
      </c>
      <c r="H11" s="57">
        <f t="shared" si="1"/>
        <v>9.3066939890710376</v>
      </c>
      <c r="I11" s="76">
        <f t="shared" si="2"/>
        <v>1357</v>
      </c>
      <c r="J11" s="57">
        <f t="shared" si="3"/>
        <v>23.172814207650273</v>
      </c>
    </row>
    <row r="12" spans="2:15" ht="15.5">
      <c r="B12" s="55">
        <v>6</v>
      </c>
      <c r="C12" s="55" t="s">
        <v>40</v>
      </c>
      <c r="D12" s="56">
        <v>19105</v>
      </c>
      <c r="E12" s="56">
        <v>2741</v>
      </c>
      <c r="F12" s="57">
        <f t="shared" si="0"/>
        <v>14.347029573410103</v>
      </c>
      <c r="G12" s="56">
        <v>2248</v>
      </c>
      <c r="H12" s="57">
        <f t="shared" si="1"/>
        <v>11.766553258309344</v>
      </c>
      <c r="I12" s="76">
        <f t="shared" si="2"/>
        <v>4989</v>
      </c>
      <c r="J12" s="57">
        <f t="shared" si="3"/>
        <v>26.113582831719444</v>
      </c>
    </row>
    <row r="13" spans="2:15" ht="15.5">
      <c r="B13" s="55">
        <v>7</v>
      </c>
      <c r="C13" s="55" t="s">
        <v>41</v>
      </c>
      <c r="D13" s="56">
        <v>3923</v>
      </c>
      <c r="E13" s="56">
        <v>349</v>
      </c>
      <c r="F13" s="57">
        <f t="shared" si="0"/>
        <v>8.8962528677032893</v>
      </c>
      <c r="G13" s="56">
        <v>623</v>
      </c>
      <c r="H13" s="57">
        <f t="shared" si="1"/>
        <v>15.880703543206728</v>
      </c>
      <c r="I13" s="76">
        <f t="shared" si="2"/>
        <v>972</v>
      </c>
      <c r="J13" s="57">
        <f t="shared" si="3"/>
        <v>24.776956410910017</v>
      </c>
    </row>
    <row r="14" spans="2:15" ht="15.5">
      <c r="B14" s="55">
        <v>8</v>
      </c>
      <c r="C14" s="55" t="s">
        <v>42</v>
      </c>
      <c r="D14" s="56">
        <v>10052</v>
      </c>
      <c r="E14" s="56">
        <v>368</v>
      </c>
      <c r="F14" s="57">
        <f t="shared" si="0"/>
        <v>3.6609629924393157</v>
      </c>
      <c r="G14" s="56">
        <v>1185</v>
      </c>
      <c r="H14" s="57">
        <f t="shared" si="1"/>
        <v>11.788698766414644</v>
      </c>
      <c r="I14" s="76">
        <f t="shared" si="2"/>
        <v>1553</v>
      </c>
      <c r="J14" s="57">
        <f t="shared" si="3"/>
        <v>15.449661758853958</v>
      </c>
    </row>
    <row r="15" spans="2:15" ht="15.5">
      <c r="B15" s="55">
        <v>9</v>
      </c>
      <c r="C15" s="55" t="s">
        <v>43</v>
      </c>
      <c r="D15" s="56">
        <v>7502</v>
      </c>
      <c r="E15" s="56">
        <v>1508</v>
      </c>
      <c r="F15" s="57">
        <f t="shared" si="0"/>
        <v>20.101306318315114</v>
      </c>
      <c r="G15" s="56">
        <v>2649</v>
      </c>
      <c r="H15" s="57">
        <f t="shared" si="1"/>
        <v>35.310583844308184</v>
      </c>
      <c r="I15" s="76">
        <f t="shared" si="2"/>
        <v>4157</v>
      </c>
      <c r="J15" s="57">
        <f t="shared" si="3"/>
        <v>55.411890162623301</v>
      </c>
    </row>
    <row r="16" spans="2:15" ht="15.5">
      <c r="B16" s="55">
        <v>10</v>
      </c>
      <c r="C16" s="55" t="s">
        <v>44</v>
      </c>
      <c r="D16" s="56">
        <v>16392</v>
      </c>
      <c r="E16" s="56">
        <v>367</v>
      </c>
      <c r="F16" s="57">
        <f t="shared" si="0"/>
        <v>2.2388970229380187</v>
      </c>
      <c r="G16" s="56">
        <v>1573</v>
      </c>
      <c r="H16" s="57">
        <f t="shared" si="1"/>
        <v>9.5961444607125426</v>
      </c>
      <c r="I16" s="76">
        <f t="shared" si="2"/>
        <v>1940</v>
      </c>
      <c r="J16" s="57">
        <f t="shared" si="3"/>
        <v>11.835041483650562</v>
      </c>
    </row>
    <row r="17" spans="2:10" ht="15.5">
      <c r="B17" s="55">
        <v>11</v>
      </c>
      <c r="C17" s="55" t="s">
        <v>45</v>
      </c>
      <c r="D17" s="56">
        <v>6154</v>
      </c>
      <c r="E17" s="56">
        <v>948</v>
      </c>
      <c r="F17" s="57">
        <f t="shared" si="0"/>
        <v>15.404614884627884</v>
      </c>
      <c r="G17" s="56">
        <v>590</v>
      </c>
      <c r="H17" s="57">
        <f t="shared" si="1"/>
        <v>9.5872603184920369</v>
      </c>
      <c r="I17" s="76">
        <f t="shared" si="2"/>
        <v>1538</v>
      </c>
      <c r="J17" s="57">
        <f t="shared" si="3"/>
        <v>24.991875203119925</v>
      </c>
    </row>
    <row r="18" spans="2:10" ht="15.5">
      <c r="B18" s="55">
        <v>12</v>
      </c>
      <c r="C18" s="55" t="s">
        <v>46</v>
      </c>
      <c r="D18" s="56">
        <v>2274</v>
      </c>
      <c r="E18" s="56">
        <v>103</v>
      </c>
      <c r="F18" s="57">
        <f t="shared" si="0"/>
        <v>4.5294635004397534</v>
      </c>
      <c r="G18" s="56">
        <v>67</v>
      </c>
      <c r="H18" s="57">
        <f t="shared" si="1"/>
        <v>2.9463500439753738</v>
      </c>
      <c r="I18" s="76">
        <f t="shared" si="2"/>
        <v>170</v>
      </c>
      <c r="J18" s="57">
        <f t="shared" si="3"/>
        <v>7.4758135444151277</v>
      </c>
    </row>
    <row r="19" spans="2:10" ht="15.5">
      <c r="B19" s="65"/>
      <c r="C19" s="66" t="s">
        <v>47</v>
      </c>
      <c r="D19" s="67">
        <f>SUM(D7:D18)</f>
        <v>92399</v>
      </c>
      <c r="E19" s="67">
        <f>SUM(E7:E18)</f>
        <v>8161</v>
      </c>
      <c r="F19" s="68">
        <f t="shared" si="0"/>
        <v>8.8323466704185112</v>
      </c>
      <c r="G19" s="49">
        <f t="shared" ref="G19" si="4">SUM(G7:G18)</f>
        <v>12275</v>
      </c>
      <c r="H19" s="57">
        <f t="shared" si="1"/>
        <v>13.284775809262007</v>
      </c>
      <c r="I19" s="79">
        <f>G19+E19</f>
        <v>20436</v>
      </c>
      <c r="J19" s="80">
        <f>I19/D19*100</f>
        <v>22.117122479680514</v>
      </c>
    </row>
    <row r="21" spans="2:10" ht="15.75" customHeight="1"/>
    <row r="22" spans="2:10" ht="15.75" customHeight="1">
      <c r="B22" s="140" t="s">
        <v>25</v>
      </c>
      <c r="C22" s="140" t="s">
        <v>26</v>
      </c>
      <c r="D22" s="145" t="s">
        <v>28</v>
      </c>
      <c r="E22" s="146"/>
      <c r="F22" s="146"/>
      <c r="G22" s="146"/>
      <c r="H22" s="146"/>
      <c r="I22" s="146"/>
      <c r="J22" s="146"/>
    </row>
    <row r="23" spans="2:10" ht="44.5" customHeight="1">
      <c r="B23" s="141"/>
      <c r="C23" s="141"/>
      <c r="D23" s="50" t="s">
        <v>30</v>
      </c>
      <c r="E23" s="51" t="s">
        <v>31</v>
      </c>
      <c r="F23" s="51" t="s">
        <v>34</v>
      </c>
      <c r="G23" s="51" t="s">
        <v>33</v>
      </c>
      <c r="H23" s="50" t="s">
        <v>34</v>
      </c>
      <c r="I23" s="50" t="s">
        <v>229</v>
      </c>
      <c r="J23" s="50" t="s">
        <v>228</v>
      </c>
    </row>
    <row r="24" spans="2:10" ht="15.75" customHeight="1">
      <c r="B24" s="55">
        <v>1</v>
      </c>
      <c r="C24" s="55" t="s">
        <v>35</v>
      </c>
      <c r="D24" s="58">
        <v>444</v>
      </c>
      <c r="E24" s="58">
        <v>1</v>
      </c>
      <c r="F24" s="59">
        <f t="shared" ref="F24:F36" si="5">E24/D24*100</f>
        <v>0.22522522522522523</v>
      </c>
      <c r="G24" s="60">
        <v>40</v>
      </c>
      <c r="H24" s="59">
        <f>G24/D24*100</f>
        <v>9.0090090090090094</v>
      </c>
      <c r="I24" s="84">
        <f>E24+G24</f>
        <v>41</v>
      </c>
      <c r="J24" s="59">
        <f>I24/D24*100</f>
        <v>9.2342342342342345</v>
      </c>
    </row>
    <row r="25" spans="2:10" ht="15.75" customHeight="1">
      <c r="B25" s="55">
        <v>2</v>
      </c>
      <c r="C25" s="55" t="s">
        <v>36</v>
      </c>
      <c r="D25" s="58">
        <v>160</v>
      </c>
      <c r="E25" s="58">
        <v>78</v>
      </c>
      <c r="F25" s="59">
        <f t="shared" si="5"/>
        <v>48.75</v>
      </c>
      <c r="G25" s="60">
        <v>125</v>
      </c>
      <c r="H25" s="59">
        <f t="shared" ref="H25:H35" si="6">G25/D25*100</f>
        <v>78.125</v>
      </c>
      <c r="I25" s="84">
        <f t="shared" ref="I25:I35" si="7">E25+G25</f>
        <v>203</v>
      </c>
      <c r="J25" s="59">
        <f t="shared" ref="J25:J35" si="8">I25/D25*100</f>
        <v>126.875</v>
      </c>
    </row>
    <row r="26" spans="2:10" ht="15.75" customHeight="1">
      <c r="B26" s="55">
        <v>3</v>
      </c>
      <c r="C26" s="55" t="s">
        <v>37</v>
      </c>
      <c r="D26" s="58">
        <v>271</v>
      </c>
      <c r="E26" s="58">
        <v>6</v>
      </c>
      <c r="F26" s="59">
        <f t="shared" si="5"/>
        <v>2.214022140221402</v>
      </c>
      <c r="G26" s="60">
        <v>9</v>
      </c>
      <c r="H26" s="59">
        <f t="shared" si="6"/>
        <v>3.3210332103321036</v>
      </c>
      <c r="I26" s="84">
        <f t="shared" si="7"/>
        <v>15</v>
      </c>
      <c r="J26" s="59">
        <f t="shared" si="8"/>
        <v>5.5350553505535052</v>
      </c>
    </row>
    <row r="27" spans="2:10" ht="15.75" customHeight="1">
      <c r="B27" s="55">
        <v>4</v>
      </c>
      <c r="C27" s="55" t="s">
        <v>38</v>
      </c>
      <c r="D27" s="58">
        <v>170</v>
      </c>
      <c r="E27" s="58">
        <v>2</v>
      </c>
      <c r="F27" s="59">
        <f t="shared" si="5"/>
        <v>1.1764705882352942</v>
      </c>
      <c r="G27" s="60">
        <v>21</v>
      </c>
      <c r="H27" s="59">
        <f t="shared" si="6"/>
        <v>12.352941176470589</v>
      </c>
      <c r="I27" s="84">
        <f t="shared" si="7"/>
        <v>23</v>
      </c>
      <c r="J27" s="59">
        <f t="shared" si="8"/>
        <v>13.529411764705882</v>
      </c>
    </row>
    <row r="28" spans="2:10" ht="15.75" customHeight="1">
      <c r="B28" s="55">
        <v>5</v>
      </c>
      <c r="C28" s="55" t="s">
        <v>39</v>
      </c>
      <c r="D28" s="58">
        <v>284</v>
      </c>
      <c r="E28" s="58">
        <v>52</v>
      </c>
      <c r="F28" s="59">
        <f t="shared" si="5"/>
        <v>18.30985915492958</v>
      </c>
      <c r="G28" s="60">
        <v>65</v>
      </c>
      <c r="H28" s="59">
        <f t="shared" si="6"/>
        <v>22.887323943661972</v>
      </c>
      <c r="I28" s="84">
        <f t="shared" si="7"/>
        <v>117</v>
      </c>
      <c r="J28" s="59">
        <f t="shared" si="8"/>
        <v>41.197183098591552</v>
      </c>
    </row>
    <row r="29" spans="2:10" ht="15.75" customHeight="1">
      <c r="B29" s="55">
        <v>6</v>
      </c>
      <c r="C29" s="55" t="s">
        <v>40</v>
      </c>
      <c r="D29" s="58">
        <v>909</v>
      </c>
      <c r="E29" s="58">
        <v>346</v>
      </c>
      <c r="F29" s="59">
        <f t="shared" si="5"/>
        <v>38.063806380638063</v>
      </c>
      <c r="G29" s="60">
        <v>249</v>
      </c>
      <c r="H29" s="59">
        <f t="shared" si="6"/>
        <v>27.39273927392739</v>
      </c>
      <c r="I29" s="84">
        <f t="shared" si="7"/>
        <v>595</v>
      </c>
      <c r="J29" s="59">
        <f t="shared" si="8"/>
        <v>65.45654565456546</v>
      </c>
    </row>
    <row r="30" spans="2:10" ht="15.75" customHeight="1">
      <c r="B30" s="55">
        <v>7</v>
      </c>
      <c r="C30" s="55" t="s">
        <v>41</v>
      </c>
      <c r="D30" s="58">
        <v>188</v>
      </c>
      <c r="E30" s="58">
        <v>56</v>
      </c>
      <c r="F30" s="59">
        <f t="shared" si="5"/>
        <v>29.787234042553191</v>
      </c>
      <c r="G30" s="60">
        <v>27</v>
      </c>
      <c r="H30" s="59">
        <f t="shared" si="6"/>
        <v>14.361702127659576</v>
      </c>
      <c r="I30" s="84">
        <f t="shared" si="7"/>
        <v>83</v>
      </c>
      <c r="J30" s="59">
        <f t="shared" si="8"/>
        <v>44.148936170212764</v>
      </c>
    </row>
    <row r="31" spans="2:10" ht="15.75" customHeight="1">
      <c r="B31" s="55">
        <v>8</v>
      </c>
      <c r="C31" s="55" t="s">
        <v>42</v>
      </c>
      <c r="D31" s="58">
        <v>459</v>
      </c>
      <c r="E31" s="58">
        <v>42</v>
      </c>
      <c r="F31" s="59">
        <f t="shared" si="5"/>
        <v>9.1503267973856204</v>
      </c>
      <c r="G31" s="60">
        <v>77</v>
      </c>
      <c r="H31" s="59">
        <f t="shared" si="6"/>
        <v>16.775599128540307</v>
      </c>
      <c r="I31" s="84">
        <f t="shared" si="7"/>
        <v>119</v>
      </c>
      <c r="J31" s="59">
        <f t="shared" si="8"/>
        <v>25.925925925925924</v>
      </c>
    </row>
    <row r="32" spans="2:10" ht="15.75" customHeight="1">
      <c r="B32" s="55">
        <v>9</v>
      </c>
      <c r="C32" s="55" t="s">
        <v>43</v>
      </c>
      <c r="D32" s="58">
        <v>341</v>
      </c>
      <c r="E32" s="58">
        <v>8</v>
      </c>
      <c r="F32" s="59">
        <f t="shared" si="5"/>
        <v>2.3460410557184752</v>
      </c>
      <c r="G32" s="60">
        <v>77</v>
      </c>
      <c r="H32" s="59">
        <f t="shared" si="6"/>
        <v>22.58064516129032</v>
      </c>
      <c r="I32" s="84">
        <f t="shared" si="7"/>
        <v>85</v>
      </c>
      <c r="J32" s="59">
        <f t="shared" si="8"/>
        <v>24.926686217008797</v>
      </c>
    </row>
    <row r="33" spans="2:10" ht="15.75" customHeight="1">
      <c r="B33" s="55">
        <v>10</v>
      </c>
      <c r="C33" s="55" t="s">
        <v>44</v>
      </c>
      <c r="D33" s="58">
        <v>726</v>
      </c>
      <c r="E33" s="58">
        <v>11</v>
      </c>
      <c r="F33" s="59">
        <f t="shared" si="5"/>
        <v>1.5151515151515151</v>
      </c>
      <c r="G33" s="60">
        <v>7</v>
      </c>
      <c r="H33" s="59">
        <f t="shared" si="6"/>
        <v>0.96418732782369143</v>
      </c>
      <c r="I33" s="84">
        <f t="shared" si="7"/>
        <v>18</v>
      </c>
      <c r="J33" s="59">
        <f t="shared" si="8"/>
        <v>2.4793388429752068</v>
      </c>
    </row>
    <row r="34" spans="2:10" ht="15.75" customHeight="1">
      <c r="B34" s="55">
        <v>11</v>
      </c>
      <c r="C34" s="55" t="s">
        <v>45</v>
      </c>
      <c r="D34" s="58">
        <v>282</v>
      </c>
      <c r="E34" s="58">
        <v>118</v>
      </c>
      <c r="F34" s="59">
        <f t="shared" si="5"/>
        <v>41.843971631205676</v>
      </c>
      <c r="G34" s="60">
        <v>71</v>
      </c>
      <c r="H34" s="59">
        <f t="shared" si="6"/>
        <v>25.177304964539005</v>
      </c>
      <c r="I34" s="84">
        <f t="shared" si="7"/>
        <v>189</v>
      </c>
      <c r="J34" s="59">
        <f t="shared" si="8"/>
        <v>67.021276595744681</v>
      </c>
    </row>
    <row r="35" spans="2:10" ht="15.75" customHeight="1">
      <c r="B35" s="55">
        <v>12</v>
      </c>
      <c r="C35" s="55" t="s">
        <v>46</v>
      </c>
      <c r="D35" s="58">
        <v>112</v>
      </c>
      <c r="E35" s="58">
        <v>12</v>
      </c>
      <c r="F35" s="59">
        <f t="shared" si="5"/>
        <v>10.714285714285714</v>
      </c>
      <c r="G35" s="60">
        <v>7</v>
      </c>
      <c r="H35" s="59">
        <f t="shared" si="6"/>
        <v>6.25</v>
      </c>
      <c r="I35" s="84">
        <f t="shared" si="7"/>
        <v>19</v>
      </c>
      <c r="J35" s="59">
        <f t="shared" si="8"/>
        <v>16.964285714285715</v>
      </c>
    </row>
    <row r="36" spans="2:10" ht="15.75" customHeight="1">
      <c r="B36" s="65"/>
      <c r="C36" s="66" t="s">
        <v>47</v>
      </c>
      <c r="D36" s="69">
        <f t="shared" ref="D36:E36" si="9">SUM(D24:D35)</f>
        <v>4346</v>
      </c>
      <c r="E36" s="69">
        <f t="shared" si="9"/>
        <v>732</v>
      </c>
      <c r="F36" s="70">
        <f t="shared" si="5"/>
        <v>16.843074091118272</v>
      </c>
      <c r="G36" s="71">
        <f t="shared" ref="G36" si="10">SUM(G24:G35)</f>
        <v>775</v>
      </c>
      <c r="H36" s="70">
        <f>G36/D36*100</f>
        <v>17.832489645651172</v>
      </c>
      <c r="I36" s="85">
        <f>G36+E36</f>
        <v>1507</v>
      </c>
      <c r="J36" s="70">
        <f>I36/D36*100</f>
        <v>34.67556373676944</v>
      </c>
    </row>
    <row r="37" spans="2:10" ht="15.75" customHeight="1"/>
    <row r="38" spans="2:10" ht="15.75" customHeight="1"/>
    <row r="39" spans="2:10" ht="15.75" customHeight="1">
      <c r="B39" s="140" t="s">
        <v>25</v>
      </c>
      <c r="C39" s="140" t="s">
        <v>26</v>
      </c>
      <c r="D39" s="147" t="s">
        <v>29</v>
      </c>
      <c r="E39" s="148"/>
      <c r="F39" s="148"/>
      <c r="G39" s="148"/>
      <c r="H39" s="148"/>
      <c r="I39" s="148"/>
      <c r="J39" s="148"/>
    </row>
    <row r="40" spans="2:10" ht="42" customHeight="1">
      <c r="B40" s="141"/>
      <c r="C40" s="141"/>
      <c r="D40" s="52" t="s">
        <v>30</v>
      </c>
      <c r="E40" s="53" t="s">
        <v>31</v>
      </c>
      <c r="F40" s="53" t="s">
        <v>34</v>
      </c>
      <c r="G40" s="54" t="s">
        <v>33</v>
      </c>
      <c r="H40" s="53" t="s">
        <v>34</v>
      </c>
      <c r="I40" s="81" t="s">
        <v>230</v>
      </c>
      <c r="J40" s="81" t="s">
        <v>228</v>
      </c>
    </row>
    <row r="41" spans="2:10" ht="15.75" customHeight="1">
      <c r="B41" s="55">
        <v>1</v>
      </c>
      <c r="C41" s="55" t="s">
        <v>35</v>
      </c>
      <c r="D41" s="61">
        <v>111</v>
      </c>
      <c r="E41" s="61">
        <v>1</v>
      </c>
      <c r="F41" s="62">
        <f t="shared" ref="F41:F53" si="11">E41/D41*100</f>
        <v>0.90090090090090091</v>
      </c>
      <c r="G41" s="63">
        <v>19</v>
      </c>
      <c r="H41" s="64">
        <f>G41/D41*100</f>
        <v>17.117117117117118</v>
      </c>
      <c r="I41" s="86">
        <f>G41+E41</f>
        <v>20</v>
      </c>
      <c r="J41" s="82">
        <f>I41/D41*100</f>
        <v>18.018018018018019</v>
      </c>
    </row>
    <row r="42" spans="2:10" ht="15.75" customHeight="1">
      <c r="B42" s="55">
        <v>2</v>
      </c>
      <c r="C42" s="55" t="s">
        <v>36</v>
      </c>
      <c r="D42" s="61">
        <v>40</v>
      </c>
      <c r="E42" s="61">
        <v>16</v>
      </c>
      <c r="F42" s="62">
        <f t="shared" si="11"/>
        <v>40</v>
      </c>
      <c r="G42" s="63">
        <v>18</v>
      </c>
      <c r="H42" s="64">
        <f t="shared" ref="H42:H52" si="12">G42/D42*100</f>
        <v>45</v>
      </c>
      <c r="I42" s="86">
        <f t="shared" ref="I42:I52" si="13">G42+E42</f>
        <v>34</v>
      </c>
      <c r="J42" s="82">
        <f t="shared" ref="J42:J52" si="14">I42/D42*100</f>
        <v>85</v>
      </c>
    </row>
    <row r="43" spans="2:10" ht="15.75" customHeight="1">
      <c r="B43" s="55">
        <v>3</v>
      </c>
      <c r="C43" s="55" t="s">
        <v>37</v>
      </c>
      <c r="D43" s="61">
        <v>67</v>
      </c>
      <c r="E43" s="61">
        <v>1</v>
      </c>
      <c r="F43" s="62">
        <f t="shared" si="11"/>
        <v>1.4925373134328357</v>
      </c>
      <c r="G43" s="63">
        <v>2</v>
      </c>
      <c r="H43" s="64">
        <f t="shared" si="12"/>
        <v>2.9850746268656714</v>
      </c>
      <c r="I43" s="86">
        <f t="shared" si="13"/>
        <v>3</v>
      </c>
      <c r="J43" s="82">
        <f t="shared" si="14"/>
        <v>4.4776119402985071</v>
      </c>
    </row>
    <row r="44" spans="2:10" ht="15.75" customHeight="1">
      <c r="B44" s="55">
        <v>4</v>
      </c>
      <c r="C44" s="55" t="s">
        <v>38</v>
      </c>
      <c r="D44" s="61">
        <v>43</v>
      </c>
      <c r="E44" s="61">
        <v>3</v>
      </c>
      <c r="F44" s="62">
        <f t="shared" si="11"/>
        <v>6.9767441860465116</v>
      </c>
      <c r="G44" s="63">
        <v>6</v>
      </c>
      <c r="H44" s="64">
        <f t="shared" si="12"/>
        <v>13.953488372093023</v>
      </c>
      <c r="I44" s="86">
        <f t="shared" si="13"/>
        <v>9</v>
      </c>
      <c r="J44" s="82">
        <f t="shared" si="14"/>
        <v>20.930232558139537</v>
      </c>
    </row>
    <row r="45" spans="2:10" ht="15.75" customHeight="1">
      <c r="B45" s="55">
        <v>5</v>
      </c>
      <c r="C45" s="55" t="s">
        <v>39</v>
      </c>
      <c r="D45" s="61">
        <v>71</v>
      </c>
      <c r="E45" s="61">
        <v>25</v>
      </c>
      <c r="F45" s="62">
        <f t="shared" si="11"/>
        <v>35.2112676056338</v>
      </c>
      <c r="G45" s="63">
        <v>26</v>
      </c>
      <c r="H45" s="64">
        <f t="shared" si="12"/>
        <v>36.619718309859159</v>
      </c>
      <c r="I45" s="86">
        <f t="shared" si="13"/>
        <v>51</v>
      </c>
      <c r="J45" s="82">
        <f t="shared" si="14"/>
        <v>71.83098591549296</v>
      </c>
    </row>
    <row r="46" spans="2:10" ht="15.75" customHeight="1">
      <c r="B46" s="55">
        <v>6</v>
      </c>
      <c r="C46" s="55" t="s">
        <v>40</v>
      </c>
      <c r="D46" s="61">
        <v>227</v>
      </c>
      <c r="E46" s="61">
        <v>112</v>
      </c>
      <c r="F46" s="62">
        <f t="shared" si="11"/>
        <v>49.33920704845815</v>
      </c>
      <c r="G46" s="63">
        <v>58</v>
      </c>
      <c r="H46" s="64">
        <f t="shared" si="12"/>
        <v>25.55066079295154</v>
      </c>
      <c r="I46" s="86">
        <f t="shared" si="13"/>
        <v>170</v>
      </c>
      <c r="J46" s="82">
        <f t="shared" si="14"/>
        <v>74.889867841409696</v>
      </c>
    </row>
    <row r="47" spans="2:10" ht="15.75" customHeight="1">
      <c r="B47" s="55">
        <v>7</v>
      </c>
      <c r="C47" s="55" t="s">
        <v>41</v>
      </c>
      <c r="D47" s="61">
        <v>47</v>
      </c>
      <c r="E47" s="61">
        <v>8</v>
      </c>
      <c r="F47" s="62">
        <f t="shared" si="11"/>
        <v>17.021276595744681</v>
      </c>
      <c r="G47" s="63">
        <v>11</v>
      </c>
      <c r="H47" s="64">
        <f t="shared" si="12"/>
        <v>23.404255319148938</v>
      </c>
      <c r="I47" s="86">
        <f t="shared" si="13"/>
        <v>19</v>
      </c>
      <c r="J47" s="82">
        <f t="shared" si="14"/>
        <v>40.425531914893611</v>
      </c>
    </row>
    <row r="48" spans="2:10" ht="15.75" customHeight="1">
      <c r="B48" s="55">
        <v>8</v>
      </c>
      <c r="C48" s="55" t="s">
        <v>42</v>
      </c>
      <c r="D48" s="61">
        <v>115</v>
      </c>
      <c r="E48" s="61">
        <v>2</v>
      </c>
      <c r="F48" s="62">
        <f t="shared" si="11"/>
        <v>1.7391304347826086</v>
      </c>
      <c r="G48" s="63">
        <v>8</v>
      </c>
      <c r="H48" s="64">
        <f t="shared" si="12"/>
        <v>6.9565217391304346</v>
      </c>
      <c r="I48" s="86">
        <f t="shared" si="13"/>
        <v>10</v>
      </c>
      <c r="J48" s="82">
        <f t="shared" si="14"/>
        <v>8.695652173913043</v>
      </c>
    </row>
    <row r="49" spans="2:10" ht="15.75" customHeight="1">
      <c r="B49" s="55">
        <v>9</v>
      </c>
      <c r="C49" s="55" t="s">
        <v>43</v>
      </c>
      <c r="D49" s="61">
        <v>85</v>
      </c>
      <c r="E49" s="61">
        <v>7</v>
      </c>
      <c r="F49" s="62">
        <f t="shared" si="11"/>
        <v>8.235294117647058</v>
      </c>
      <c r="G49" s="63">
        <v>12</v>
      </c>
      <c r="H49" s="64">
        <f t="shared" si="12"/>
        <v>14.117647058823529</v>
      </c>
      <c r="I49" s="86">
        <f t="shared" si="13"/>
        <v>19</v>
      </c>
      <c r="J49" s="82">
        <f t="shared" si="14"/>
        <v>22.352941176470591</v>
      </c>
    </row>
    <row r="50" spans="2:10" ht="15.75" customHeight="1">
      <c r="B50" s="55">
        <v>10</v>
      </c>
      <c r="C50" s="55" t="s">
        <v>44</v>
      </c>
      <c r="D50" s="61">
        <v>182</v>
      </c>
      <c r="E50" s="61">
        <v>4</v>
      </c>
      <c r="F50" s="62">
        <f t="shared" si="11"/>
        <v>2.197802197802198</v>
      </c>
      <c r="G50" s="63">
        <v>20</v>
      </c>
      <c r="H50" s="64">
        <f t="shared" si="12"/>
        <v>10.989010989010989</v>
      </c>
      <c r="I50" s="86">
        <f t="shared" si="13"/>
        <v>24</v>
      </c>
      <c r="J50" s="82">
        <f t="shared" si="14"/>
        <v>13.186813186813188</v>
      </c>
    </row>
    <row r="51" spans="2:10" ht="15.75" customHeight="1">
      <c r="B51" s="55">
        <v>11</v>
      </c>
      <c r="C51" s="55" t="s">
        <v>45</v>
      </c>
      <c r="D51" s="61">
        <v>70</v>
      </c>
      <c r="E51" s="61">
        <v>21</v>
      </c>
      <c r="F51" s="62">
        <f t="shared" si="11"/>
        <v>30</v>
      </c>
      <c r="G51" s="63">
        <v>12</v>
      </c>
      <c r="H51" s="64">
        <f t="shared" si="12"/>
        <v>17.142857142857142</v>
      </c>
      <c r="I51" s="86">
        <f t="shared" si="13"/>
        <v>33</v>
      </c>
      <c r="J51" s="82">
        <f t="shared" si="14"/>
        <v>47.142857142857139</v>
      </c>
    </row>
    <row r="52" spans="2:10" ht="15.75" customHeight="1">
      <c r="B52" s="55">
        <v>12</v>
      </c>
      <c r="C52" s="55" t="s">
        <v>46</v>
      </c>
      <c r="D52" s="61">
        <v>28</v>
      </c>
      <c r="E52" s="61">
        <v>2</v>
      </c>
      <c r="F52" s="62">
        <f t="shared" si="11"/>
        <v>7.1428571428571423</v>
      </c>
      <c r="G52" s="63">
        <v>1</v>
      </c>
      <c r="H52" s="64">
        <f t="shared" si="12"/>
        <v>3.5714285714285712</v>
      </c>
      <c r="I52" s="86">
        <f t="shared" si="13"/>
        <v>3</v>
      </c>
      <c r="J52" s="82">
        <f t="shared" si="14"/>
        <v>10.714285714285714</v>
      </c>
    </row>
    <row r="53" spans="2:10" ht="15.75" customHeight="1">
      <c r="B53" s="65"/>
      <c r="C53" s="66" t="s">
        <v>47</v>
      </c>
      <c r="D53" s="72">
        <f t="shared" ref="D53:E53" si="15">SUM(D41:D52)</f>
        <v>1086</v>
      </c>
      <c r="E53" s="72">
        <f t="shared" si="15"/>
        <v>202</v>
      </c>
      <c r="F53" s="73">
        <f t="shared" si="11"/>
        <v>18.600368324125231</v>
      </c>
      <c r="G53" s="74">
        <v>193</v>
      </c>
      <c r="H53" s="75">
        <f>G53/D53*100</f>
        <v>17.771639042357272</v>
      </c>
      <c r="I53" s="87">
        <f>G53+E53</f>
        <v>395</v>
      </c>
      <c r="J53" s="83">
        <f>I53/D53*100</f>
        <v>36.372007366482507</v>
      </c>
    </row>
    <row r="54" spans="2:10" ht="15.75" customHeight="1">
      <c r="I54" s="77"/>
    </row>
    <row r="55" spans="2:10" ht="15.75" customHeight="1"/>
    <row r="56" spans="2:10" ht="15.75" customHeight="1"/>
    <row r="57" spans="2:10" ht="15.75" customHeight="1"/>
    <row r="58" spans="2:10" ht="15.75" customHeight="1"/>
    <row r="59" spans="2:10" ht="15.75" customHeight="1"/>
    <row r="60" spans="2:10" ht="15.75" customHeight="1"/>
    <row r="61" spans="2:10" ht="15.75" customHeight="1"/>
    <row r="62" spans="2:10" ht="15.75" customHeight="1"/>
    <row r="63" spans="2:10" ht="15.75" customHeight="1"/>
    <row r="64" spans="2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B1:J2"/>
    <mergeCell ref="B3:J3"/>
    <mergeCell ref="B39:B40"/>
    <mergeCell ref="C39:C40"/>
    <mergeCell ref="D5:J5"/>
    <mergeCell ref="D22:J22"/>
    <mergeCell ref="D39:J39"/>
    <mergeCell ref="B22:B23"/>
    <mergeCell ref="C22:C23"/>
    <mergeCell ref="B5:B6"/>
    <mergeCell ref="C5:C6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994"/>
  <sheetViews>
    <sheetView topLeftCell="A22" zoomScale="54" zoomScaleNormal="54" workbookViewId="0">
      <selection activeCell="B55" sqref="B55"/>
    </sheetView>
  </sheetViews>
  <sheetFormatPr defaultColWidth="14.453125" defaultRowHeight="15" customHeight="1"/>
  <cols>
    <col min="1" max="1" width="8.7265625" style="88" customWidth="1"/>
    <col min="2" max="2" width="7.81640625" style="88" customWidth="1"/>
    <col min="3" max="3" width="19.08984375" style="88" customWidth="1"/>
    <col min="4" max="4" width="19.7265625" style="88" customWidth="1"/>
    <col min="5" max="5" width="20.81640625" style="88" customWidth="1"/>
    <col min="6" max="6" width="15.54296875" style="88" customWidth="1"/>
    <col min="7" max="7" width="14.453125" style="88" customWidth="1"/>
    <col min="8" max="8" width="17.81640625" style="88" customWidth="1"/>
    <col min="9" max="9" width="14.453125" style="88" customWidth="1"/>
    <col min="10" max="10" width="16.54296875" style="88" customWidth="1"/>
    <col min="11" max="13" width="14.453125" style="88" customWidth="1"/>
    <col min="14" max="25" width="8.7265625" style="88" customWidth="1"/>
    <col min="26" max="16384" width="14.453125" style="88"/>
  </cols>
  <sheetData>
    <row r="1" spans="2:6" ht="15" customHeight="1">
      <c r="B1" s="154" t="s">
        <v>233</v>
      </c>
      <c r="C1" s="155"/>
      <c r="D1" s="155"/>
      <c r="E1" s="155"/>
      <c r="F1" s="155"/>
    </row>
    <row r="2" spans="2:6" ht="18" customHeight="1">
      <c r="B2" s="155"/>
      <c r="C2" s="155"/>
      <c r="D2" s="155"/>
      <c r="E2" s="155"/>
      <c r="F2" s="155"/>
    </row>
    <row r="3" spans="2:6" ht="18">
      <c r="B3" s="155" t="s">
        <v>24</v>
      </c>
      <c r="C3" s="155"/>
      <c r="D3" s="155"/>
      <c r="E3" s="155"/>
      <c r="F3" s="155"/>
    </row>
    <row r="5" spans="2:6" ht="15.5">
      <c r="B5" s="150" t="s">
        <v>25</v>
      </c>
      <c r="C5" s="157" t="s">
        <v>26</v>
      </c>
      <c r="D5" s="158" t="s">
        <v>234</v>
      </c>
      <c r="E5" s="158"/>
      <c r="F5" s="158"/>
    </row>
    <row r="6" spans="2:6" ht="55.5" customHeight="1">
      <c r="B6" s="156"/>
      <c r="C6" s="156"/>
      <c r="D6" s="89" t="s">
        <v>286</v>
      </c>
      <c r="E6" s="90" t="s">
        <v>231</v>
      </c>
      <c r="F6" s="91" t="s">
        <v>232</v>
      </c>
    </row>
    <row r="7" spans="2:6" ht="15.5">
      <c r="B7" s="92">
        <v>1</v>
      </c>
      <c r="C7" s="92" t="s">
        <v>35</v>
      </c>
      <c r="D7" s="92">
        <v>8998</v>
      </c>
      <c r="E7" s="93">
        <v>1117</v>
      </c>
      <c r="F7" s="94">
        <f>E7/D7*100</f>
        <v>12.413869748833074</v>
      </c>
    </row>
    <row r="8" spans="2:6" ht="15.5">
      <c r="B8" s="92">
        <v>2</v>
      </c>
      <c r="C8" s="92" t="s">
        <v>36</v>
      </c>
      <c r="D8" s="92">
        <v>3234</v>
      </c>
      <c r="E8" s="93">
        <v>940</v>
      </c>
      <c r="F8" s="94">
        <f t="shared" ref="F8:F19" si="0">E8/D8*100</f>
        <v>29.066171923314783</v>
      </c>
    </row>
    <row r="9" spans="2:6" ht="15.5">
      <c r="B9" s="92">
        <v>3</v>
      </c>
      <c r="C9" s="92" t="s">
        <v>37</v>
      </c>
      <c r="D9" s="92">
        <v>5429</v>
      </c>
      <c r="E9" s="93">
        <v>634</v>
      </c>
      <c r="F9" s="94">
        <f t="shared" si="0"/>
        <v>11.678025419045865</v>
      </c>
    </row>
    <row r="10" spans="2:6" ht="15.5">
      <c r="B10" s="92">
        <v>4</v>
      </c>
      <c r="C10" s="92" t="s">
        <v>38</v>
      </c>
      <c r="D10" s="92">
        <v>3480</v>
      </c>
      <c r="E10" s="93">
        <v>1069</v>
      </c>
      <c r="F10" s="94">
        <f t="shared" si="0"/>
        <v>30.7183908045977</v>
      </c>
    </row>
    <row r="11" spans="2:6" ht="15.5">
      <c r="B11" s="92">
        <v>5</v>
      </c>
      <c r="C11" s="92" t="s">
        <v>39</v>
      </c>
      <c r="D11" s="92">
        <v>5856</v>
      </c>
      <c r="E11" s="93">
        <v>1357</v>
      </c>
      <c r="F11" s="94">
        <f t="shared" si="0"/>
        <v>23.172814207650273</v>
      </c>
    </row>
    <row r="12" spans="2:6" ht="15.5">
      <c r="B12" s="92">
        <v>6</v>
      </c>
      <c r="C12" s="92" t="s">
        <v>40</v>
      </c>
      <c r="D12" s="92">
        <v>19105</v>
      </c>
      <c r="E12" s="93">
        <v>4989</v>
      </c>
      <c r="F12" s="94">
        <f t="shared" si="0"/>
        <v>26.113582831719444</v>
      </c>
    </row>
    <row r="13" spans="2:6" ht="15.5">
      <c r="B13" s="92">
        <v>7</v>
      </c>
      <c r="C13" s="92" t="s">
        <v>41</v>
      </c>
      <c r="D13" s="92">
        <v>3923</v>
      </c>
      <c r="E13" s="93">
        <v>972</v>
      </c>
      <c r="F13" s="94">
        <f t="shared" si="0"/>
        <v>24.776956410910017</v>
      </c>
    </row>
    <row r="14" spans="2:6" ht="15.5">
      <c r="B14" s="92">
        <v>8</v>
      </c>
      <c r="C14" s="92" t="s">
        <v>42</v>
      </c>
      <c r="D14" s="92">
        <v>10052</v>
      </c>
      <c r="E14" s="93">
        <v>1553</v>
      </c>
      <c r="F14" s="94">
        <f t="shared" si="0"/>
        <v>15.449661758853958</v>
      </c>
    </row>
    <row r="15" spans="2:6" ht="15.5">
      <c r="B15" s="104">
        <v>9</v>
      </c>
      <c r="C15" s="104" t="s">
        <v>43</v>
      </c>
      <c r="D15" s="104">
        <v>7502</v>
      </c>
      <c r="E15" s="105">
        <v>4157</v>
      </c>
      <c r="F15" s="103">
        <f t="shared" si="0"/>
        <v>55.411890162623301</v>
      </c>
    </row>
    <row r="16" spans="2:6" ht="15.5">
      <c r="B16" s="92">
        <v>10</v>
      </c>
      <c r="C16" s="92" t="s">
        <v>44</v>
      </c>
      <c r="D16" s="92">
        <v>16392</v>
      </c>
      <c r="E16" s="93">
        <v>1940</v>
      </c>
      <c r="F16" s="94">
        <f t="shared" si="0"/>
        <v>11.835041483650562</v>
      </c>
    </row>
    <row r="17" spans="2:6" ht="15.5">
      <c r="B17" s="92">
        <v>11</v>
      </c>
      <c r="C17" s="92" t="s">
        <v>45</v>
      </c>
      <c r="D17" s="92">
        <v>6154</v>
      </c>
      <c r="E17" s="93">
        <v>1538</v>
      </c>
      <c r="F17" s="94">
        <f t="shared" si="0"/>
        <v>24.991875203119925</v>
      </c>
    </row>
    <row r="18" spans="2:6" ht="15.5">
      <c r="B18" s="106">
        <v>12</v>
      </c>
      <c r="C18" s="106" t="s">
        <v>46</v>
      </c>
      <c r="D18" s="106">
        <v>2274</v>
      </c>
      <c r="E18" s="107">
        <v>170</v>
      </c>
      <c r="F18" s="108">
        <f t="shared" si="0"/>
        <v>7.4758135444151277</v>
      </c>
    </row>
    <row r="19" spans="2:6" ht="15.5">
      <c r="B19" s="95"/>
      <c r="C19" s="96" t="s">
        <v>47</v>
      </c>
      <c r="D19" s="96">
        <f>SUM(D7:D18)</f>
        <v>92399</v>
      </c>
      <c r="E19" s="97">
        <f>SUM(E7:E18)</f>
        <v>20436</v>
      </c>
      <c r="F19" s="98">
        <f t="shared" si="0"/>
        <v>22.117122479680514</v>
      </c>
    </row>
    <row r="21" spans="2:6" ht="15.75" customHeight="1"/>
    <row r="22" spans="2:6" ht="15.75" customHeight="1">
      <c r="B22" s="150" t="s">
        <v>25</v>
      </c>
      <c r="C22" s="157" t="s">
        <v>26</v>
      </c>
      <c r="D22" s="158" t="s">
        <v>235</v>
      </c>
      <c r="E22" s="158"/>
      <c r="F22" s="158"/>
    </row>
    <row r="23" spans="2:6" ht="44.5" customHeight="1">
      <c r="B23" s="151"/>
      <c r="C23" s="151"/>
      <c r="D23" s="89" t="s">
        <v>286</v>
      </c>
      <c r="E23" s="89" t="s">
        <v>231</v>
      </c>
      <c r="F23" s="89" t="s">
        <v>232</v>
      </c>
    </row>
    <row r="24" spans="2:6" ht="15.75" customHeight="1">
      <c r="B24" s="92">
        <v>1</v>
      </c>
      <c r="C24" s="92" t="s">
        <v>35</v>
      </c>
      <c r="D24" s="92">
        <v>444</v>
      </c>
      <c r="E24" s="93">
        <v>41</v>
      </c>
      <c r="F24" s="94">
        <f>E24/D24*100</f>
        <v>9.2342342342342345</v>
      </c>
    </row>
    <row r="25" spans="2:6" ht="15.75" customHeight="1">
      <c r="B25" s="104">
        <v>2</v>
      </c>
      <c r="C25" s="104" t="s">
        <v>36</v>
      </c>
      <c r="D25" s="104">
        <v>160</v>
      </c>
      <c r="E25" s="105">
        <v>203</v>
      </c>
      <c r="F25" s="103">
        <f t="shared" ref="F25:F36" si="1">E25/D25*100</f>
        <v>126.875</v>
      </c>
    </row>
    <row r="26" spans="2:6" ht="15.75" customHeight="1">
      <c r="B26" s="92">
        <v>3</v>
      </c>
      <c r="C26" s="92" t="s">
        <v>37</v>
      </c>
      <c r="D26" s="92">
        <v>271</v>
      </c>
      <c r="E26" s="93">
        <v>15</v>
      </c>
      <c r="F26" s="94">
        <f t="shared" si="1"/>
        <v>5.5350553505535052</v>
      </c>
    </row>
    <row r="27" spans="2:6" ht="15.75" customHeight="1">
      <c r="B27" s="92">
        <v>4</v>
      </c>
      <c r="C27" s="92" t="s">
        <v>38</v>
      </c>
      <c r="D27" s="92">
        <v>170</v>
      </c>
      <c r="E27" s="93">
        <v>23</v>
      </c>
      <c r="F27" s="94">
        <f t="shared" si="1"/>
        <v>13.529411764705882</v>
      </c>
    </row>
    <row r="28" spans="2:6" ht="15.75" customHeight="1">
      <c r="B28" s="92">
        <v>5</v>
      </c>
      <c r="C28" s="92" t="s">
        <v>39</v>
      </c>
      <c r="D28" s="92">
        <v>284</v>
      </c>
      <c r="E28" s="93">
        <v>117</v>
      </c>
      <c r="F28" s="94">
        <f t="shared" si="1"/>
        <v>41.197183098591552</v>
      </c>
    </row>
    <row r="29" spans="2:6" ht="15.75" customHeight="1">
      <c r="B29" s="92">
        <v>6</v>
      </c>
      <c r="C29" s="92" t="s">
        <v>40</v>
      </c>
      <c r="D29" s="92">
        <v>909</v>
      </c>
      <c r="E29" s="93">
        <v>595</v>
      </c>
      <c r="F29" s="94">
        <f t="shared" si="1"/>
        <v>65.45654565456546</v>
      </c>
    </row>
    <row r="30" spans="2:6" ht="15.75" customHeight="1">
      <c r="B30" s="92">
        <v>7</v>
      </c>
      <c r="C30" s="92" t="s">
        <v>41</v>
      </c>
      <c r="D30" s="92">
        <v>188</v>
      </c>
      <c r="E30" s="93">
        <v>83</v>
      </c>
      <c r="F30" s="94">
        <f t="shared" si="1"/>
        <v>44.148936170212764</v>
      </c>
    </row>
    <row r="31" spans="2:6" ht="15.75" customHeight="1">
      <c r="B31" s="92">
        <v>8</v>
      </c>
      <c r="C31" s="92" t="s">
        <v>42</v>
      </c>
      <c r="D31" s="92">
        <v>459</v>
      </c>
      <c r="E31" s="93">
        <v>119</v>
      </c>
      <c r="F31" s="94">
        <f t="shared" si="1"/>
        <v>25.925925925925924</v>
      </c>
    </row>
    <row r="32" spans="2:6" ht="15.75" customHeight="1">
      <c r="B32" s="92">
        <v>9</v>
      </c>
      <c r="C32" s="92" t="s">
        <v>43</v>
      </c>
      <c r="D32" s="92">
        <v>341</v>
      </c>
      <c r="E32" s="93">
        <v>85</v>
      </c>
      <c r="F32" s="94">
        <f t="shared" si="1"/>
        <v>24.926686217008797</v>
      </c>
    </row>
    <row r="33" spans="2:6" ht="15.75" customHeight="1">
      <c r="B33" s="106">
        <v>10</v>
      </c>
      <c r="C33" s="106" t="s">
        <v>44</v>
      </c>
      <c r="D33" s="106">
        <v>726</v>
      </c>
      <c r="E33" s="107">
        <v>18</v>
      </c>
      <c r="F33" s="108">
        <f t="shared" si="1"/>
        <v>2.4793388429752068</v>
      </c>
    </row>
    <row r="34" spans="2:6" ht="15.75" customHeight="1">
      <c r="B34" s="92">
        <v>11</v>
      </c>
      <c r="C34" s="92" t="s">
        <v>45</v>
      </c>
      <c r="D34" s="92">
        <v>282</v>
      </c>
      <c r="E34" s="93">
        <v>189</v>
      </c>
      <c r="F34" s="94">
        <f t="shared" si="1"/>
        <v>67.021276595744681</v>
      </c>
    </row>
    <row r="35" spans="2:6" ht="15.75" customHeight="1">
      <c r="B35" s="92">
        <v>12</v>
      </c>
      <c r="C35" s="92" t="s">
        <v>46</v>
      </c>
      <c r="D35" s="92">
        <v>112</v>
      </c>
      <c r="E35" s="93">
        <v>19</v>
      </c>
      <c r="F35" s="94">
        <f t="shared" si="1"/>
        <v>16.964285714285715</v>
      </c>
    </row>
    <row r="36" spans="2:6" ht="15.75" customHeight="1">
      <c r="B36" s="95"/>
      <c r="C36" s="96" t="s">
        <v>47</v>
      </c>
      <c r="D36" s="96">
        <f t="shared" ref="D36" si="2">SUM(D24:D35)</f>
        <v>4346</v>
      </c>
      <c r="E36" s="100">
        <f>SUM(E24:E35)</f>
        <v>1507</v>
      </c>
      <c r="F36" s="98">
        <f t="shared" si="1"/>
        <v>34.67556373676944</v>
      </c>
    </row>
    <row r="37" spans="2:6" ht="15.75" customHeight="1"/>
    <row r="38" spans="2:6" ht="15.75" customHeight="1"/>
    <row r="39" spans="2:6" ht="15.75" customHeight="1">
      <c r="B39" s="150" t="s">
        <v>25</v>
      </c>
      <c r="C39" s="150" t="s">
        <v>26</v>
      </c>
      <c r="D39" s="152" t="s">
        <v>236</v>
      </c>
      <c r="E39" s="153"/>
      <c r="F39" s="153"/>
    </row>
    <row r="40" spans="2:6" ht="42" customHeight="1">
      <c r="B40" s="151"/>
      <c r="C40" s="151"/>
      <c r="D40" s="99" t="s">
        <v>286</v>
      </c>
      <c r="E40" s="99" t="s">
        <v>231</v>
      </c>
      <c r="F40" s="99" t="s">
        <v>232</v>
      </c>
    </row>
    <row r="41" spans="2:6" ht="15.75" customHeight="1">
      <c r="B41" s="92">
        <v>1</v>
      </c>
      <c r="C41" s="92" t="s">
        <v>35</v>
      </c>
      <c r="D41" s="92">
        <v>111</v>
      </c>
      <c r="E41" s="101">
        <v>20</v>
      </c>
      <c r="F41" s="94">
        <f>E41/D41*100</f>
        <v>18.018018018018019</v>
      </c>
    </row>
    <row r="42" spans="2:6" ht="15.75" customHeight="1">
      <c r="B42" s="104">
        <v>2</v>
      </c>
      <c r="C42" s="104" t="s">
        <v>36</v>
      </c>
      <c r="D42" s="104">
        <v>40</v>
      </c>
      <c r="E42" s="109">
        <v>34</v>
      </c>
      <c r="F42" s="103">
        <f t="shared" ref="F42:F53" si="3">E42/D42*100</f>
        <v>85</v>
      </c>
    </row>
    <row r="43" spans="2:6" ht="15.75" customHeight="1">
      <c r="B43" s="92">
        <v>3</v>
      </c>
      <c r="C43" s="92" t="s">
        <v>37</v>
      </c>
      <c r="D43" s="92">
        <v>67</v>
      </c>
      <c r="E43" s="101">
        <v>3</v>
      </c>
      <c r="F43" s="94">
        <f t="shared" si="3"/>
        <v>4.4776119402985071</v>
      </c>
    </row>
    <row r="44" spans="2:6" ht="15.75" customHeight="1">
      <c r="B44" s="92">
        <v>4</v>
      </c>
      <c r="C44" s="92" t="s">
        <v>38</v>
      </c>
      <c r="D44" s="92">
        <v>43</v>
      </c>
      <c r="E44" s="101">
        <v>9</v>
      </c>
      <c r="F44" s="94">
        <f t="shared" si="3"/>
        <v>20.930232558139537</v>
      </c>
    </row>
    <row r="45" spans="2:6" ht="15.75" customHeight="1">
      <c r="B45" s="92">
        <v>5</v>
      </c>
      <c r="C45" s="92" t="s">
        <v>39</v>
      </c>
      <c r="D45" s="92">
        <v>71</v>
      </c>
      <c r="E45" s="101">
        <v>51</v>
      </c>
      <c r="F45" s="94">
        <f t="shared" si="3"/>
        <v>71.83098591549296</v>
      </c>
    </row>
    <row r="46" spans="2:6" ht="15.75" customHeight="1">
      <c r="B46" s="92">
        <v>6</v>
      </c>
      <c r="C46" s="92" t="s">
        <v>40</v>
      </c>
      <c r="D46" s="92">
        <v>227</v>
      </c>
      <c r="E46" s="101">
        <v>170</v>
      </c>
      <c r="F46" s="94">
        <f t="shared" si="3"/>
        <v>74.889867841409696</v>
      </c>
    </row>
    <row r="47" spans="2:6" ht="15.75" customHeight="1">
      <c r="B47" s="92">
        <v>7</v>
      </c>
      <c r="C47" s="92" t="s">
        <v>41</v>
      </c>
      <c r="D47" s="92">
        <v>47</v>
      </c>
      <c r="E47" s="101">
        <v>19</v>
      </c>
      <c r="F47" s="94">
        <f t="shared" si="3"/>
        <v>40.425531914893611</v>
      </c>
    </row>
    <row r="48" spans="2:6" ht="15.75" customHeight="1">
      <c r="B48" s="106">
        <v>8</v>
      </c>
      <c r="C48" s="106" t="s">
        <v>42</v>
      </c>
      <c r="D48" s="106">
        <v>115</v>
      </c>
      <c r="E48" s="110">
        <v>10</v>
      </c>
      <c r="F48" s="108">
        <f t="shared" si="3"/>
        <v>8.695652173913043</v>
      </c>
    </row>
    <row r="49" spans="2:6" ht="15.75" customHeight="1">
      <c r="B49" s="92">
        <v>9</v>
      </c>
      <c r="C49" s="92" t="s">
        <v>43</v>
      </c>
      <c r="D49" s="92">
        <v>85</v>
      </c>
      <c r="E49" s="101">
        <v>19</v>
      </c>
      <c r="F49" s="94">
        <f t="shared" si="3"/>
        <v>22.352941176470591</v>
      </c>
    </row>
    <row r="50" spans="2:6" ht="15.75" customHeight="1">
      <c r="B50" s="92">
        <v>10</v>
      </c>
      <c r="C50" s="92" t="s">
        <v>44</v>
      </c>
      <c r="D50" s="92">
        <v>182</v>
      </c>
      <c r="E50" s="101">
        <v>24</v>
      </c>
      <c r="F50" s="94">
        <f t="shared" si="3"/>
        <v>13.186813186813188</v>
      </c>
    </row>
    <row r="51" spans="2:6" ht="15.75" customHeight="1">
      <c r="B51" s="92">
        <v>11</v>
      </c>
      <c r="C51" s="92" t="s">
        <v>45</v>
      </c>
      <c r="D51" s="92">
        <v>70</v>
      </c>
      <c r="E51" s="101">
        <v>33</v>
      </c>
      <c r="F51" s="94">
        <f t="shared" si="3"/>
        <v>47.142857142857139</v>
      </c>
    </row>
    <row r="52" spans="2:6" ht="15.75" customHeight="1">
      <c r="B52" s="92">
        <v>12</v>
      </c>
      <c r="C52" s="92" t="s">
        <v>46</v>
      </c>
      <c r="D52" s="92">
        <v>28</v>
      </c>
      <c r="E52" s="101">
        <v>3</v>
      </c>
      <c r="F52" s="94">
        <f t="shared" si="3"/>
        <v>10.714285714285714</v>
      </c>
    </row>
    <row r="53" spans="2:6" ht="15.75" customHeight="1">
      <c r="B53" s="95"/>
      <c r="C53" s="96" t="s">
        <v>47</v>
      </c>
      <c r="D53" s="96">
        <f t="shared" ref="D53" si="4">SUM(D41:D52)</f>
        <v>1086</v>
      </c>
      <c r="E53" s="102">
        <f>SUM(E41:E52)</f>
        <v>395</v>
      </c>
      <c r="F53" s="98">
        <f t="shared" si="3"/>
        <v>36.372007366482507</v>
      </c>
    </row>
    <row r="54" spans="2:6" ht="15.75" customHeight="1"/>
    <row r="55" spans="2:6" ht="15.75" customHeight="1"/>
    <row r="56" spans="2:6" ht="15.75" customHeight="1"/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B39:B40"/>
    <mergeCell ref="C39:C40"/>
    <mergeCell ref="D39:F39"/>
    <mergeCell ref="B1:F2"/>
    <mergeCell ref="B3:F3"/>
    <mergeCell ref="B5:B6"/>
    <mergeCell ref="C5:C6"/>
    <mergeCell ref="D5:F5"/>
    <mergeCell ref="B22:B23"/>
    <mergeCell ref="C22:C23"/>
    <mergeCell ref="D22:F22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3F1D-2021-4907-8A35-6F483D722567}">
  <dimension ref="B4:O19"/>
  <sheetViews>
    <sheetView workbookViewId="0">
      <selection activeCell="F15" sqref="F15"/>
    </sheetView>
  </sheetViews>
  <sheetFormatPr defaultRowHeight="14.5"/>
  <cols>
    <col min="2" max="2" width="11.7265625" customWidth="1"/>
  </cols>
  <sheetData>
    <row r="4" spans="2:15">
      <c r="B4" s="173" t="s">
        <v>246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5"/>
      <c r="O4" s="111"/>
    </row>
    <row r="5" spans="2:15">
      <c r="B5" s="122" t="s">
        <v>287</v>
      </c>
      <c r="C5" s="176" t="s">
        <v>237</v>
      </c>
      <c r="D5" s="176" t="s">
        <v>238</v>
      </c>
      <c r="E5" s="176" t="s">
        <v>2</v>
      </c>
      <c r="F5" s="176" t="s">
        <v>239</v>
      </c>
      <c r="G5" s="176" t="s">
        <v>4</v>
      </c>
      <c r="H5" s="176" t="s">
        <v>5</v>
      </c>
      <c r="I5" s="176" t="s">
        <v>240</v>
      </c>
      <c r="J5" s="176" t="s">
        <v>241</v>
      </c>
      <c r="K5" s="176" t="s">
        <v>242</v>
      </c>
      <c r="L5" s="176" t="s">
        <v>243</v>
      </c>
      <c r="M5" s="176" t="s">
        <v>244</v>
      </c>
      <c r="N5" s="176" t="s">
        <v>245</v>
      </c>
      <c r="O5" s="111"/>
    </row>
    <row r="6" spans="2:15">
      <c r="B6" s="122" t="s">
        <v>17</v>
      </c>
      <c r="C6" s="114">
        <v>0</v>
      </c>
      <c r="D6" s="114">
        <v>0</v>
      </c>
      <c r="E6" s="114">
        <v>0</v>
      </c>
      <c r="F6" s="114">
        <v>0</v>
      </c>
      <c r="G6" s="114">
        <v>0</v>
      </c>
      <c r="H6" s="114">
        <v>0</v>
      </c>
      <c r="I6" s="178">
        <v>8</v>
      </c>
      <c r="J6" s="114"/>
      <c r="K6" s="114"/>
      <c r="L6" s="114"/>
      <c r="M6" s="114"/>
      <c r="N6" s="114"/>
      <c r="O6" s="111"/>
    </row>
    <row r="7" spans="2:15">
      <c r="B7" s="122" t="s">
        <v>21</v>
      </c>
      <c r="C7" s="114">
        <v>0</v>
      </c>
      <c r="D7" s="114">
        <v>0</v>
      </c>
      <c r="E7" s="114">
        <v>0</v>
      </c>
      <c r="F7" s="114">
        <v>0</v>
      </c>
      <c r="G7" s="114">
        <v>0</v>
      </c>
      <c r="H7" s="114">
        <v>0</v>
      </c>
      <c r="I7" s="178">
        <v>9</v>
      </c>
      <c r="J7" s="114"/>
      <c r="K7" s="114"/>
      <c r="L7" s="114"/>
      <c r="M7" s="114"/>
      <c r="N7" s="114"/>
      <c r="O7" s="111"/>
    </row>
    <row r="8" spans="2:15">
      <c r="B8" s="122" t="s">
        <v>15</v>
      </c>
      <c r="C8" s="114">
        <v>0</v>
      </c>
      <c r="D8" s="114">
        <v>0</v>
      </c>
      <c r="E8" s="114">
        <v>0</v>
      </c>
      <c r="F8" s="114">
        <v>0</v>
      </c>
      <c r="G8" s="114">
        <v>0</v>
      </c>
      <c r="H8" s="114">
        <v>2</v>
      </c>
      <c r="I8" s="178">
        <v>4</v>
      </c>
      <c r="J8" s="114"/>
      <c r="K8" s="114"/>
      <c r="L8" s="114"/>
      <c r="M8" s="114"/>
      <c r="N8" s="114"/>
      <c r="O8" s="111"/>
    </row>
    <row r="9" spans="2:15">
      <c r="B9" s="122" t="s">
        <v>16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/>
      <c r="K9" s="114"/>
      <c r="L9" s="114"/>
      <c r="M9" s="114"/>
      <c r="N9" s="114"/>
      <c r="O9" s="111"/>
    </row>
    <row r="10" spans="2:15">
      <c r="B10" s="122" t="s">
        <v>14</v>
      </c>
      <c r="C10" s="114">
        <v>0</v>
      </c>
      <c r="D10" s="114">
        <v>0</v>
      </c>
      <c r="E10" s="114">
        <v>0</v>
      </c>
      <c r="F10" s="114">
        <v>0</v>
      </c>
      <c r="G10" s="114">
        <v>0</v>
      </c>
      <c r="H10" s="114">
        <v>0</v>
      </c>
      <c r="I10" s="178">
        <v>13</v>
      </c>
      <c r="J10" s="114"/>
      <c r="K10" s="114"/>
      <c r="L10" s="114"/>
      <c r="M10" s="114"/>
      <c r="N10" s="114"/>
      <c r="O10" s="111"/>
    </row>
    <row r="11" spans="2:15">
      <c r="B11" s="122" t="s">
        <v>13</v>
      </c>
      <c r="C11" s="114">
        <v>0</v>
      </c>
      <c r="D11" s="114">
        <v>0</v>
      </c>
      <c r="E11" s="114">
        <v>0</v>
      </c>
      <c r="F11" s="114">
        <v>0</v>
      </c>
      <c r="G11" s="114">
        <v>0</v>
      </c>
      <c r="H11" s="114">
        <v>0</v>
      </c>
      <c r="I11" s="178">
        <v>27</v>
      </c>
      <c r="J11" s="114"/>
      <c r="K11" s="114"/>
      <c r="L11" s="114"/>
      <c r="M11" s="114"/>
      <c r="N11" s="114"/>
      <c r="O11" s="111"/>
    </row>
    <row r="12" spans="2:15">
      <c r="B12" s="122" t="s">
        <v>19</v>
      </c>
      <c r="C12" s="114">
        <v>0</v>
      </c>
      <c r="D12" s="114">
        <v>0</v>
      </c>
      <c r="E12" s="114">
        <v>0</v>
      </c>
      <c r="F12" s="114">
        <v>0</v>
      </c>
      <c r="G12" s="114">
        <v>0</v>
      </c>
      <c r="H12" s="178">
        <v>13</v>
      </c>
      <c r="I12" s="178">
        <v>7</v>
      </c>
      <c r="J12" s="114"/>
      <c r="K12" s="114"/>
      <c r="L12" s="114"/>
      <c r="M12" s="114"/>
      <c r="N12" s="114"/>
      <c r="O12" s="111"/>
    </row>
    <row r="13" spans="2:15">
      <c r="B13" s="122" t="s">
        <v>12</v>
      </c>
      <c r="C13" s="114">
        <v>0</v>
      </c>
      <c r="D13" s="114">
        <v>0</v>
      </c>
      <c r="E13" s="114">
        <v>0</v>
      </c>
      <c r="F13" s="114">
        <v>0</v>
      </c>
      <c r="G13" s="178">
        <v>10</v>
      </c>
      <c r="H13" s="178">
        <v>13</v>
      </c>
      <c r="I13" s="178">
        <v>11</v>
      </c>
      <c r="J13" s="114"/>
      <c r="K13" s="114"/>
      <c r="L13" s="114"/>
      <c r="M13" s="114"/>
      <c r="N13" s="114"/>
      <c r="O13" s="111"/>
    </row>
    <row r="14" spans="2:15">
      <c r="B14" s="122" t="s">
        <v>22</v>
      </c>
      <c r="C14" s="114">
        <v>0</v>
      </c>
      <c r="D14" s="114">
        <v>0</v>
      </c>
      <c r="E14" s="114">
        <v>0</v>
      </c>
      <c r="F14" s="178">
        <v>22</v>
      </c>
      <c r="G14" s="114">
        <v>0</v>
      </c>
      <c r="H14" s="114">
        <v>0</v>
      </c>
      <c r="I14" s="114">
        <v>0</v>
      </c>
      <c r="J14" s="114"/>
      <c r="K14" s="114"/>
      <c r="L14" s="114"/>
      <c r="M14" s="114"/>
      <c r="N14" s="114"/>
      <c r="O14" s="111"/>
    </row>
    <row r="15" spans="2:15">
      <c r="B15" s="122" t="s">
        <v>11</v>
      </c>
      <c r="C15" s="114">
        <v>0</v>
      </c>
      <c r="D15" s="114">
        <v>0</v>
      </c>
      <c r="E15" s="114">
        <v>0</v>
      </c>
      <c r="F15" s="114">
        <v>0</v>
      </c>
      <c r="G15" s="178">
        <v>23</v>
      </c>
      <c r="H15" s="114">
        <v>0</v>
      </c>
      <c r="I15" s="114">
        <v>0</v>
      </c>
      <c r="J15" s="114"/>
      <c r="K15" s="114"/>
      <c r="L15" s="114"/>
      <c r="M15" s="114"/>
      <c r="N15" s="114"/>
      <c r="O15" s="111"/>
    </row>
    <row r="16" spans="2:15">
      <c r="B16" s="122" t="s">
        <v>18</v>
      </c>
      <c r="C16" s="114">
        <v>0</v>
      </c>
      <c r="D16" s="114">
        <v>0</v>
      </c>
      <c r="E16" s="178">
        <v>20</v>
      </c>
      <c r="F16" s="114">
        <v>0</v>
      </c>
      <c r="G16" s="114">
        <v>0</v>
      </c>
      <c r="H16" s="178">
        <v>21</v>
      </c>
      <c r="I16" s="114">
        <v>0</v>
      </c>
      <c r="J16" s="114"/>
      <c r="K16" s="114"/>
      <c r="L16" s="114"/>
      <c r="M16" s="114"/>
      <c r="N16" s="114"/>
      <c r="O16" s="111"/>
    </row>
    <row r="17" spans="2:15">
      <c r="B17" s="122" t="s">
        <v>20</v>
      </c>
      <c r="C17" s="114">
        <v>0</v>
      </c>
      <c r="D17" s="114">
        <v>0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J17" s="114"/>
      <c r="K17" s="114"/>
      <c r="L17" s="114"/>
      <c r="M17" s="114"/>
      <c r="N17" s="114"/>
      <c r="O17" s="111"/>
    </row>
    <row r="18" spans="2:15">
      <c r="B18" s="177" t="s">
        <v>65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</row>
    <row r="19" spans="2:15"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</sheetData>
  <mergeCells count="1">
    <mergeCell ref="B4:N4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6B33-9A65-4252-8EF9-FB929BC257A6}">
  <dimension ref="B4:O22"/>
  <sheetViews>
    <sheetView topLeftCell="A7" workbookViewId="0">
      <selection activeCell="J22" sqref="J22"/>
    </sheetView>
  </sheetViews>
  <sheetFormatPr defaultRowHeight="14.5"/>
  <cols>
    <col min="4" max="4" width="16.1796875" customWidth="1"/>
    <col min="5" max="5" width="26.08984375" customWidth="1"/>
    <col min="6" max="6" width="13.6328125" customWidth="1"/>
    <col min="7" max="7" width="12.26953125" customWidth="1"/>
  </cols>
  <sheetData>
    <row r="4" spans="2:15" ht="15.5">
      <c r="B4" s="159" t="s">
        <v>247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11"/>
    </row>
    <row r="5" spans="2:15" ht="15.5">
      <c r="B5" s="159" t="s">
        <v>248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11"/>
    </row>
    <row r="6" spans="2:15"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</row>
    <row r="7" spans="2:15"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</row>
    <row r="8" spans="2:15" ht="29">
      <c r="B8" s="160" t="s">
        <v>25</v>
      </c>
      <c r="C8" s="160" t="s">
        <v>249</v>
      </c>
      <c r="D8" s="112" t="s">
        <v>250</v>
      </c>
      <c r="E8" s="112" t="s">
        <v>251</v>
      </c>
      <c r="F8" s="161" t="s">
        <v>252</v>
      </c>
      <c r="G8" s="161"/>
      <c r="H8" s="161"/>
      <c r="I8" s="161"/>
      <c r="J8" s="161"/>
      <c r="K8" s="161"/>
      <c r="L8" s="162" t="s">
        <v>253</v>
      </c>
      <c r="M8" s="163"/>
      <c r="N8" s="163"/>
      <c r="O8" s="164"/>
    </row>
    <row r="9" spans="2:15" ht="58">
      <c r="B9" s="160"/>
      <c r="C9" s="160"/>
      <c r="D9" s="112" t="s">
        <v>254</v>
      </c>
      <c r="E9" s="112" t="s">
        <v>255</v>
      </c>
      <c r="F9" s="113" t="s">
        <v>256</v>
      </c>
      <c r="G9" s="113" t="s">
        <v>34</v>
      </c>
      <c r="H9" s="113" t="s">
        <v>257</v>
      </c>
      <c r="I9" s="113" t="s">
        <v>34</v>
      </c>
      <c r="J9" s="113" t="s">
        <v>258</v>
      </c>
      <c r="K9" s="113" t="s">
        <v>34</v>
      </c>
      <c r="L9" s="112" t="s">
        <v>259</v>
      </c>
      <c r="M9" s="112" t="s">
        <v>260</v>
      </c>
      <c r="N9" s="112" t="s">
        <v>261</v>
      </c>
      <c r="O9" s="112" t="s">
        <v>262</v>
      </c>
    </row>
    <row r="10" spans="2:15">
      <c r="B10" s="114">
        <v>1</v>
      </c>
      <c r="C10" s="115" t="s">
        <v>35</v>
      </c>
      <c r="D10" s="115">
        <v>3201</v>
      </c>
      <c r="E10" s="115">
        <v>221</v>
      </c>
      <c r="F10" s="115">
        <v>8</v>
      </c>
      <c r="G10" s="116">
        <f>F10/D10*100</f>
        <v>0.24992189940643547</v>
      </c>
      <c r="H10" s="115">
        <v>8</v>
      </c>
      <c r="I10" s="116">
        <f>H10/D10*100</f>
        <v>0.24992189940643547</v>
      </c>
      <c r="J10" s="115">
        <v>8</v>
      </c>
      <c r="K10" s="116">
        <f>J10/E10*100</f>
        <v>3.6199095022624439</v>
      </c>
      <c r="L10" s="115">
        <v>0</v>
      </c>
      <c r="M10" s="115">
        <v>0</v>
      </c>
      <c r="N10" s="115">
        <v>1</v>
      </c>
      <c r="O10" s="115" t="s">
        <v>263</v>
      </c>
    </row>
    <row r="11" spans="2:15">
      <c r="B11" s="114">
        <v>2</v>
      </c>
      <c r="C11" s="115" t="s">
        <v>36</v>
      </c>
      <c r="D11" s="115">
        <v>1153</v>
      </c>
      <c r="E11" s="115">
        <v>79</v>
      </c>
      <c r="F11" s="115">
        <v>9</v>
      </c>
      <c r="G11" s="117">
        <f t="shared" ref="G11:G22" si="0">F11/D11*100</f>
        <v>0.78057241977450131</v>
      </c>
      <c r="H11" s="115">
        <v>9</v>
      </c>
      <c r="I11" s="116">
        <f t="shared" ref="I11:I22" si="1">H11/D11*100</f>
        <v>0.78057241977450131</v>
      </c>
      <c r="J11" s="115">
        <v>9</v>
      </c>
      <c r="K11" s="116">
        <f t="shared" ref="K11:K22" si="2">J11/E11*100</f>
        <v>11.39240506329114</v>
      </c>
      <c r="L11" s="115">
        <v>0</v>
      </c>
      <c r="M11" s="115">
        <v>0</v>
      </c>
      <c r="N11" s="115">
        <v>0</v>
      </c>
      <c r="O11" s="115" t="s">
        <v>263</v>
      </c>
    </row>
    <row r="12" spans="2:15">
      <c r="B12" s="114">
        <v>3</v>
      </c>
      <c r="C12" s="115" t="s">
        <v>37</v>
      </c>
      <c r="D12" s="115">
        <v>2093</v>
      </c>
      <c r="E12" s="115">
        <v>147</v>
      </c>
      <c r="F12" s="115">
        <v>6</v>
      </c>
      <c r="G12" s="116">
        <f t="shared" si="0"/>
        <v>0.2866698518872432</v>
      </c>
      <c r="H12" s="115">
        <v>6</v>
      </c>
      <c r="I12" s="116">
        <f t="shared" si="1"/>
        <v>0.2866698518872432</v>
      </c>
      <c r="J12" s="115">
        <v>6</v>
      </c>
      <c r="K12" s="116">
        <f t="shared" si="2"/>
        <v>4.0816326530612246</v>
      </c>
      <c r="L12" s="115">
        <v>0</v>
      </c>
      <c r="M12" s="115">
        <v>0</v>
      </c>
      <c r="N12" s="115">
        <v>0</v>
      </c>
      <c r="O12" s="115" t="s">
        <v>263</v>
      </c>
    </row>
    <row r="13" spans="2:15">
      <c r="B13" s="118">
        <v>4</v>
      </c>
      <c r="C13" s="119" t="s">
        <v>38</v>
      </c>
      <c r="D13" s="119">
        <v>1197</v>
      </c>
      <c r="E13" s="119">
        <v>84</v>
      </c>
      <c r="F13" s="119">
        <v>0</v>
      </c>
      <c r="G13" s="120">
        <f t="shared" si="0"/>
        <v>0</v>
      </c>
      <c r="H13" s="119">
        <v>0</v>
      </c>
      <c r="I13" s="120">
        <f t="shared" si="1"/>
        <v>0</v>
      </c>
      <c r="J13" s="119">
        <v>0</v>
      </c>
      <c r="K13" s="119">
        <f t="shared" si="2"/>
        <v>0</v>
      </c>
      <c r="L13" s="119">
        <v>0</v>
      </c>
      <c r="M13" s="119">
        <v>0</v>
      </c>
      <c r="N13" s="119">
        <v>0</v>
      </c>
      <c r="O13" s="119"/>
    </row>
    <row r="14" spans="2:15">
      <c r="B14" s="114">
        <v>5</v>
      </c>
      <c r="C14" s="115" t="s">
        <v>39</v>
      </c>
      <c r="D14" s="115">
        <v>2109</v>
      </c>
      <c r="E14" s="115">
        <v>155</v>
      </c>
      <c r="F14" s="115">
        <v>13</v>
      </c>
      <c r="G14" s="116">
        <f t="shared" si="0"/>
        <v>0.61640587956377435</v>
      </c>
      <c r="H14" s="115">
        <v>13</v>
      </c>
      <c r="I14" s="116">
        <f t="shared" si="1"/>
        <v>0.61640587956377435</v>
      </c>
      <c r="J14" s="115">
        <v>13</v>
      </c>
      <c r="K14" s="116">
        <f t="shared" si="2"/>
        <v>8.3870967741935498</v>
      </c>
      <c r="L14" s="115">
        <v>0</v>
      </c>
      <c r="M14" s="115">
        <v>0</v>
      </c>
      <c r="N14" s="115">
        <v>0</v>
      </c>
      <c r="O14" s="115" t="s">
        <v>263</v>
      </c>
    </row>
    <row r="15" spans="2:15">
      <c r="B15" s="114">
        <v>6</v>
      </c>
      <c r="C15" s="115" t="s">
        <v>40</v>
      </c>
      <c r="D15" s="115">
        <v>7151</v>
      </c>
      <c r="E15" s="115">
        <v>546</v>
      </c>
      <c r="F15" s="115">
        <v>27</v>
      </c>
      <c r="G15" s="116">
        <f t="shared" si="0"/>
        <v>0.3775695706894141</v>
      </c>
      <c r="H15" s="115">
        <v>27</v>
      </c>
      <c r="I15" s="116">
        <f t="shared" si="1"/>
        <v>0.3775695706894141</v>
      </c>
      <c r="J15" s="115">
        <v>27</v>
      </c>
      <c r="K15" s="116">
        <f t="shared" si="2"/>
        <v>4.9450549450549453</v>
      </c>
      <c r="L15" s="115">
        <v>0</v>
      </c>
      <c r="M15" s="115">
        <v>0</v>
      </c>
      <c r="N15" s="115">
        <v>0</v>
      </c>
      <c r="O15" s="115" t="s">
        <v>263</v>
      </c>
    </row>
    <row r="16" spans="2:15">
      <c r="B16" s="114">
        <v>7</v>
      </c>
      <c r="C16" s="115" t="s">
        <v>41</v>
      </c>
      <c r="D16" s="115">
        <v>1340</v>
      </c>
      <c r="E16" s="115">
        <v>96</v>
      </c>
      <c r="F16" s="115">
        <v>20</v>
      </c>
      <c r="G16" s="116">
        <f t="shared" si="0"/>
        <v>1.4925373134328357</v>
      </c>
      <c r="H16" s="115">
        <v>20</v>
      </c>
      <c r="I16" s="116">
        <f t="shared" si="1"/>
        <v>1.4925373134328357</v>
      </c>
      <c r="J16" s="115">
        <v>20</v>
      </c>
      <c r="K16" s="116">
        <f t="shared" si="2"/>
        <v>20.833333333333336</v>
      </c>
      <c r="L16" s="115">
        <v>0</v>
      </c>
      <c r="M16" s="115">
        <v>0</v>
      </c>
      <c r="N16" s="115">
        <v>1</v>
      </c>
      <c r="O16" s="115" t="s">
        <v>263</v>
      </c>
    </row>
    <row r="17" spans="2:15">
      <c r="B17" s="114">
        <v>8</v>
      </c>
      <c r="C17" s="115" t="s">
        <v>42</v>
      </c>
      <c r="D17" s="115">
        <v>3463</v>
      </c>
      <c r="E17" s="115">
        <v>243</v>
      </c>
      <c r="F17" s="115">
        <v>34</v>
      </c>
      <c r="G17" s="117">
        <f t="shared" si="0"/>
        <v>0.9818076812012706</v>
      </c>
      <c r="H17" s="115">
        <v>34</v>
      </c>
      <c r="I17" s="116">
        <f t="shared" si="1"/>
        <v>0.9818076812012706</v>
      </c>
      <c r="J17" s="115">
        <v>34</v>
      </c>
      <c r="K17" s="116">
        <f t="shared" si="2"/>
        <v>13.991769547325102</v>
      </c>
      <c r="L17" s="115">
        <v>0</v>
      </c>
      <c r="M17" s="115">
        <v>0</v>
      </c>
      <c r="N17" s="115">
        <v>1</v>
      </c>
      <c r="O17" s="115" t="s">
        <v>263</v>
      </c>
    </row>
    <row r="18" spans="2:15">
      <c r="B18" s="114">
        <v>9</v>
      </c>
      <c r="C18" s="115" t="s">
        <v>43</v>
      </c>
      <c r="D18" s="115">
        <v>2436</v>
      </c>
      <c r="E18" s="115">
        <v>170</v>
      </c>
      <c r="F18" s="115">
        <v>22</v>
      </c>
      <c r="G18" s="116">
        <f t="shared" si="0"/>
        <v>0.90311986863710991</v>
      </c>
      <c r="H18" s="115">
        <v>22</v>
      </c>
      <c r="I18" s="116">
        <f t="shared" si="1"/>
        <v>0.90311986863710991</v>
      </c>
      <c r="J18" s="115">
        <v>22</v>
      </c>
      <c r="K18" s="116">
        <f t="shared" si="2"/>
        <v>12.941176470588237</v>
      </c>
      <c r="L18" s="115">
        <v>0</v>
      </c>
      <c r="M18" s="115">
        <v>0</v>
      </c>
      <c r="N18" s="115">
        <v>1</v>
      </c>
      <c r="O18" s="115" t="s">
        <v>263</v>
      </c>
    </row>
    <row r="19" spans="2:15">
      <c r="B19" s="114">
        <v>10</v>
      </c>
      <c r="C19" s="115" t="s">
        <v>44</v>
      </c>
      <c r="D19" s="115">
        <v>5120</v>
      </c>
      <c r="E19" s="115">
        <v>368</v>
      </c>
      <c r="F19" s="115">
        <v>23</v>
      </c>
      <c r="G19" s="117">
        <f t="shared" si="0"/>
        <v>0.44921874999999994</v>
      </c>
      <c r="H19" s="115">
        <v>23</v>
      </c>
      <c r="I19" s="116">
        <f t="shared" si="1"/>
        <v>0.44921874999999994</v>
      </c>
      <c r="J19" s="115">
        <v>23</v>
      </c>
      <c r="K19" s="116">
        <f t="shared" si="2"/>
        <v>6.25</v>
      </c>
      <c r="L19" s="115">
        <v>1</v>
      </c>
      <c r="M19" s="115">
        <v>0</v>
      </c>
      <c r="N19" s="115">
        <v>2</v>
      </c>
      <c r="O19" s="115"/>
    </row>
    <row r="20" spans="2:15">
      <c r="B20" s="114">
        <v>11</v>
      </c>
      <c r="C20" s="115" t="s">
        <v>45</v>
      </c>
      <c r="D20" s="115">
        <v>2050</v>
      </c>
      <c r="E20" s="115">
        <v>157</v>
      </c>
      <c r="F20" s="115">
        <v>41</v>
      </c>
      <c r="G20" s="117">
        <f t="shared" si="0"/>
        <v>2</v>
      </c>
      <c r="H20" s="115">
        <v>41</v>
      </c>
      <c r="I20" s="115">
        <f t="shared" si="1"/>
        <v>2</v>
      </c>
      <c r="J20" s="115">
        <v>41</v>
      </c>
      <c r="K20" s="116">
        <f t="shared" si="2"/>
        <v>26.114649681528661</v>
      </c>
      <c r="L20" s="115">
        <v>1</v>
      </c>
      <c r="M20" s="115">
        <v>0</v>
      </c>
      <c r="N20" s="115">
        <v>2</v>
      </c>
      <c r="O20" s="115"/>
    </row>
    <row r="21" spans="2:15">
      <c r="B21" s="118">
        <v>12</v>
      </c>
      <c r="C21" s="119" t="s">
        <v>46</v>
      </c>
      <c r="D21" s="119">
        <v>866</v>
      </c>
      <c r="E21" s="119">
        <v>64</v>
      </c>
      <c r="F21" s="119">
        <v>0</v>
      </c>
      <c r="G21" s="121">
        <f t="shared" si="0"/>
        <v>0</v>
      </c>
      <c r="H21" s="119">
        <v>0</v>
      </c>
      <c r="I21" s="119">
        <f t="shared" si="1"/>
        <v>0</v>
      </c>
      <c r="J21" s="119">
        <v>0</v>
      </c>
      <c r="K21" s="119">
        <f t="shared" si="2"/>
        <v>0</v>
      </c>
      <c r="L21" s="119">
        <v>0</v>
      </c>
      <c r="M21" s="119">
        <v>0</v>
      </c>
      <c r="N21" s="119">
        <v>0</v>
      </c>
      <c r="O21" s="119"/>
    </row>
    <row r="22" spans="2:15">
      <c r="B22" s="122"/>
      <c r="C22" s="122" t="s">
        <v>47</v>
      </c>
      <c r="D22" s="122">
        <f>SUM(D10:D21)</f>
        <v>32179</v>
      </c>
      <c r="E22" s="122">
        <f t="shared" ref="E22:N22" si="3">SUM(E10:E21)</f>
        <v>2330</v>
      </c>
      <c r="F22" s="122">
        <f t="shared" si="3"/>
        <v>203</v>
      </c>
      <c r="G22" s="123">
        <f t="shared" si="0"/>
        <v>0.63084620404611702</v>
      </c>
      <c r="H22" s="122">
        <f t="shared" si="3"/>
        <v>203</v>
      </c>
      <c r="I22" s="123">
        <f t="shared" si="1"/>
        <v>0.63084620404611702</v>
      </c>
      <c r="J22" s="122">
        <f>SUM(J10:J21)</f>
        <v>203</v>
      </c>
      <c r="K22" s="123">
        <f t="shared" si="2"/>
        <v>8.7124463519313302</v>
      </c>
      <c r="L22" s="122">
        <f t="shared" si="3"/>
        <v>2</v>
      </c>
      <c r="M22" s="122">
        <f t="shared" si="3"/>
        <v>0</v>
      </c>
      <c r="N22" s="122">
        <f t="shared" si="3"/>
        <v>8</v>
      </c>
      <c r="O22" s="115"/>
    </row>
  </sheetData>
  <mergeCells count="6">
    <mergeCell ref="B4:N4"/>
    <mergeCell ref="B5:N5"/>
    <mergeCell ref="B8:B9"/>
    <mergeCell ref="C8:C9"/>
    <mergeCell ref="F8:K8"/>
    <mergeCell ref="L8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EFD7-2D37-47CA-A837-83CFA088131E}">
  <dimension ref="B4:Q22"/>
  <sheetViews>
    <sheetView workbookViewId="0">
      <selection activeCell="K17" sqref="K17"/>
    </sheetView>
  </sheetViews>
  <sheetFormatPr defaultRowHeight="14.5"/>
  <cols>
    <col min="13" max="13" width="9.08984375" customWidth="1"/>
  </cols>
  <sheetData>
    <row r="4" spans="2:17">
      <c r="B4" s="166" t="s">
        <v>264</v>
      </c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2:17">
      <c r="B5" s="166" t="s">
        <v>265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2:17">
      <c r="B6" s="166" t="s">
        <v>266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2:17"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2:17">
      <c r="B8" s="167" t="s">
        <v>25</v>
      </c>
      <c r="C8" s="167" t="s">
        <v>26</v>
      </c>
      <c r="D8" s="169" t="s">
        <v>267</v>
      </c>
      <c r="E8" s="169" t="s">
        <v>268</v>
      </c>
      <c r="F8" s="160" t="s">
        <v>269</v>
      </c>
      <c r="G8" s="160"/>
      <c r="H8" s="160"/>
      <c r="I8" s="160"/>
      <c r="J8" s="160"/>
      <c r="K8" s="160" t="s">
        <v>270</v>
      </c>
      <c r="L8" s="160"/>
      <c r="M8" s="160"/>
      <c r="N8" s="165" t="s">
        <v>271</v>
      </c>
      <c r="O8" s="165" t="s">
        <v>272</v>
      </c>
      <c r="P8" s="165" t="s">
        <v>273</v>
      </c>
      <c r="Q8" s="165" t="s">
        <v>274</v>
      </c>
    </row>
    <row r="9" spans="2:17" ht="29">
      <c r="B9" s="168"/>
      <c r="C9" s="168"/>
      <c r="D9" s="170"/>
      <c r="E9" s="170"/>
      <c r="F9" s="124" t="s">
        <v>275</v>
      </c>
      <c r="G9" s="124" t="s">
        <v>276</v>
      </c>
      <c r="H9" s="124" t="s">
        <v>277</v>
      </c>
      <c r="I9" s="124" t="s">
        <v>278</v>
      </c>
      <c r="J9" s="124" t="s">
        <v>279</v>
      </c>
      <c r="K9" s="124" t="s">
        <v>275</v>
      </c>
      <c r="L9" s="124" t="s">
        <v>280</v>
      </c>
      <c r="M9" s="124" t="s">
        <v>281</v>
      </c>
      <c r="N9" s="165"/>
      <c r="O9" s="165"/>
      <c r="P9" s="165"/>
      <c r="Q9" s="165"/>
    </row>
    <row r="10" spans="2:17">
      <c r="B10" s="114">
        <v>1</v>
      </c>
      <c r="C10" s="115" t="s">
        <v>35</v>
      </c>
      <c r="D10" s="115">
        <v>8</v>
      </c>
      <c r="E10" s="115">
        <v>7</v>
      </c>
      <c r="F10" s="115"/>
      <c r="G10" s="115"/>
      <c r="H10" s="115"/>
      <c r="I10" s="115"/>
      <c r="J10" s="115">
        <v>1</v>
      </c>
      <c r="K10" s="115">
        <v>8</v>
      </c>
      <c r="L10" s="115">
        <v>0</v>
      </c>
      <c r="M10" s="115">
        <v>0</v>
      </c>
      <c r="N10" s="115"/>
      <c r="O10" s="115">
        <v>1</v>
      </c>
      <c r="P10" s="115"/>
      <c r="Q10" s="115"/>
    </row>
    <row r="11" spans="2:17">
      <c r="B11" s="114">
        <v>2</v>
      </c>
      <c r="C11" s="115" t="s">
        <v>36</v>
      </c>
      <c r="D11" s="115">
        <v>9</v>
      </c>
      <c r="E11" s="115">
        <v>9</v>
      </c>
      <c r="F11" s="115"/>
      <c r="G11" s="115"/>
      <c r="H11" s="115"/>
      <c r="I11" s="115"/>
      <c r="J11" s="115"/>
      <c r="K11" s="115">
        <v>9</v>
      </c>
      <c r="L11" s="115">
        <v>0</v>
      </c>
      <c r="M11" s="115">
        <v>0</v>
      </c>
      <c r="N11" s="115"/>
      <c r="O11" s="115"/>
      <c r="P11" s="115"/>
      <c r="Q11" s="115"/>
    </row>
    <row r="12" spans="2:17">
      <c r="B12" s="114">
        <v>3</v>
      </c>
      <c r="C12" s="115" t="s">
        <v>37</v>
      </c>
      <c r="D12" s="115">
        <v>6</v>
      </c>
      <c r="E12" s="115">
        <v>3</v>
      </c>
      <c r="F12" s="115">
        <v>3</v>
      </c>
      <c r="G12" s="115"/>
      <c r="H12" s="115"/>
      <c r="I12" s="115"/>
      <c r="J12" s="115"/>
      <c r="K12" s="115">
        <v>6</v>
      </c>
      <c r="L12" s="115">
        <v>0</v>
      </c>
      <c r="M12" s="115">
        <v>0</v>
      </c>
      <c r="N12" s="115"/>
      <c r="O12" s="115"/>
      <c r="P12" s="115"/>
      <c r="Q12" s="115">
        <v>3</v>
      </c>
    </row>
    <row r="13" spans="2:17">
      <c r="B13" s="118">
        <v>4</v>
      </c>
      <c r="C13" s="119" t="s">
        <v>38</v>
      </c>
      <c r="D13" s="119">
        <v>0</v>
      </c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</row>
    <row r="14" spans="2:17">
      <c r="B14" s="114">
        <v>5</v>
      </c>
      <c r="C14" s="115" t="s">
        <v>39</v>
      </c>
      <c r="D14" s="115">
        <v>13</v>
      </c>
      <c r="E14" s="115">
        <v>13</v>
      </c>
      <c r="F14" s="115"/>
      <c r="G14" s="115"/>
      <c r="H14" s="115"/>
      <c r="I14" s="115"/>
      <c r="J14" s="115"/>
      <c r="K14" s="115">
        <v>13</v>
      </c>
      <c r="L14" s="115">
        <v>0</v>
      </c>
      <c r="M14" s="115">
        <v>0</v>
      </c>
      <c r="N14" s="115"/>
      <c r="O14" s="115"/>
      <c r="P14" s="115"/>
      <c r="Q14" s="115"/>
    </row>
    <row r="15" spans="2:17">
      <c r="B15" s="114">
        <v>6</v>
      </c>
      <c r="C15" s="115" t="s">
        <v>40</v>
      </c>
      <c r="D15" s="115">
        <v>27</v>
      </c>
      <c r="E15" s="115">
        <v>26</v>
      </c>
      <c r="F15" s="115">
        <v>1</v>
      </c>
      <c r="G15" s="115"/>
      <c r="H15" s="115"/>
      <c r="I15" s="115"/>
      <c r="J15" s="115"/>
      <c r="K15" s="115">
        <v>27</v>
      </c>
      <c r="L15" s="115">
        <v>0</v>
      </c>
      <c r="M15" s="115">
        <v>0</v>
      </c>
      <c r="N15" s="115"/>
      <c r="O15" s="115"/>
      <c r="P15" s="115"/>
      <c r="Q15" s="115">
        <v>1</v>
      </c>
    </row>
    <row r="16" spans="2:17">
      <c r="B16" s="114">
        <v>7</v>
      </c>
      <c r="C16" s="115" t="s">
        <v>41</v>
      </c>
      <c r="D16" s="115">
        <v>20</v>
      </c>
      <c r="E16" s="115">
        <v>6</v>
      </c>
      <c r="F16" s="115">
        <v>13</v>
      </c>
      <c r="G16" s="115"/>
      <c r="H16" s="115"/>
      <c r="I16" s="115"/>
      <c r="J16" s="115">
        <v>1</v>
      </c>
      <c r="K16" s="115">
        <v>20</v>
      </c>
      <c r="L16" s="115">
        <v>0</v>
      </c>
      <c r="M16" s="115">
        <v>0</v>
      </c>
      <c r="N16" s="115">
        <v>0</v>
      </c>
      <c r="O16" s="115">
        <v>1</v>
      </c>
      <c r="P16" s="115">
        <v>0</v>
      </c>
      <c r="Q16" s="115">
        <v>13</v>
      </c>
    </row>
    <row r="17" spans="2:17">
      <c r="B17" s="114">
        <v>8</v>
      </c>
      <c r="C17" s="115" t="s">
        <v>42</v>
      </c>
      <c r="D17" s="115">
        <v>34</v>
      </c>
      <c r="E17" s="115">
        <v>16</v>
      </c>
      <c r="F17" s="115">
        <v>17</v>
      </c>
      <c r="G17" s="115">
        <v>1</v>
      </c>
      <c r="H17" s="115">
        <v>0</v>
      </c>
      <c r="I17" s="115">
        <v>0</v>
      </c>
      <c r="J17" s="115">
        <v>0</v>
      </c>
      <c r="K17" s="115">
        <v>34</v>
      </c>
      <c r="L17" s="115">
        <v>0</v>
      </c>
      <c r="M17" s="115">
        <v>0</v>
      </c>
      <c r="N17" s="115">
        <v>0</v>
      </c>
      <c r="O17" s="115">
        <v>1</v>
      </c>
      <c r="P17" s="115">
        <v>0</v>
      </c>
      <c r="Q17" s="115">
        <v>17</v>
      </c>
    </row>
    <row r="18" spans="2:17">
      <c r="B18" s="114">
        <v>9</v>
      </c>
      <c r="C18" s="115" t="s">
        <v>43</v>
      </c>
      <c r="D18" s="115">
        <v>22</v>
      </c>
      <c r="E18" s="115">
        <v>5</v>
      </c>
      <c r="F18" s="115">
        <v>16</v>
      </c>
      <c r="G18" s="115">
        <v>0</v>
      </c>
      <c r="H18" s="115">
        <v>0</v>
      </c>
      <c r="I18" s="115">
        <v>0</v>
      </c>
      <c r="J18" s="115">
        <v>1</v>
      </c>
      <c r="K18" s="115">
        <v>22</v>
      </c>
      <c r="L18" s="115">
        <v>0</v>
      </c>
      <c r="M18" s="115">
        <v>0</v>
      </c>
      <c r="N18" s="115">
        <v>0</v>
      </c>
      <c r="O18" s="115">
        <v>1</v>
      </c>
      <c r="P18" s="115">
        <v>0</v>
      </c>
      <c r="Q18" s="115">
        <v>16</v>
      </c>
    </row>
    <row r="19" spans="2:17">
      <c r="B19" s="114">
        <v>10</v>
      </c>
      <c r="C19" s="115" t="s">
        <v>44</v>
      </c>
      <c r="D19" s="115">
        <v>23</v>
      </c>
      <c r="E19" s="115">
        <v>0</v>
      </c>
      <c r="F19" s="115">
        <v>21</v>
      </c>
      <c r="G19" s="115">
        <v>0</v>
      </c>
      <c r="H19" s="115">
        <v>1</v>
      </c>
      <c r="I19" s="115">
        <v>0</v>
      </c>
      <c r="J19" s="115">
        <v>1</v>
      </c>
      <c r="K19" s="115">
        <v>22</v>
      </c>
      <c r="L19" s="115">
        <v>1</v>
      </c>
      <c r="M19" s="115">
        <v>0</v>
      </c>
      <c r="N19" s="115">
        <v>1</v>
      </c>
      <c r="O19" s="115">
        <v>1</v>
      </c>
      <c r="P19" s="115">
        <v>0</v>
      </c>
      <c r="Q19" s="115">
        <v>21</v>
      </c>
    </row>
    <row r="20" spans="2:17">
      <c r="B20" s="125">
        <v>11</v>
      </c>
      <c r="C20" s="126" t="s">
        <v>45</v>
      </c>
      <c r="D20" s="126">
        <v>41</v>
      </c>
      <c r="E20" s="126">
        <v>0</v>
      </c>
      <c r="F20" s="126">
        <v>39</v>
      </c>
      <c r="G20" s="126">
        <v>0</v>
      </c>
      <c r="H20" s="126">
        <v>0</v>
      </c>
      <c r="I20" s="126">
        <v>0</v>
      </c>
      <c r="J20" s="126">
        <v>2</v>
      </c>
      <c r="K20" s="126">
        <v>58</v>
      </c>
      <c r="L20" s="126">
        <v>1</v>
      </c>
      <c r="M20" s="126">
        <v>0</v>
      </c>
      <c r="N20" s="126">
        <v>0</v>
      </c>
      <c r="O20" s="126">
        <v>2</v>
      </c>
      <c r="P20" s="126">
        <v>1</v>
      </c>
      <c r="Q20" s="126">
        <v>38</v>
      </c>
    </row>
    <row r="21" spans="2:17">
      <c r="B21" s="118">
        <v>12</v>
      </c>
      <c r="C21" s="119" t="s">
        <v>46</v>
      </c>
      <c r="D21" s="119">
        <v>0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</row>
    <row r="22" spans="2:17">
      <c r="B22" s="122"/>
      <c r="C22" s="122"/>
      <c r="D22" s="122">
        <f>SUM(D10:D21)</f>
        <v>203</v>
      </c>
      <c r="E22" s="122">
        <f>SUM(E10:E21)</f>
        <v>85</v>
      </c>
      <c r="F22" s="122">
        <f t="shared" ref="F22:Q22" si="0">SUM(F10:F21)</f>
        <v>110</v>
      </c>
      <c r="G22" s="122">
        <f t="shared" si="0"/>
        <v>1</v>
      </c>
      <c r="H22" s="122">
        <f t="shared" si="0"/>
        <v>1</v>
      </c>
      <c r="I22" s="122">
        <f t="shared" si="0"/>
        <v>0</v>
      </c>
      <c r="J22" s="122">
        <f t="shared" si="0"/>
        <v>6</v>
      </c>
      <c r="K22" s="122">
        <f t="shared" si="0"/>
        <v>219</v>
      </c>
      <c r="L22" s="122">
        <f t="shared" si="0"/>
        <v>2</v>
      </c>
      <c r="M22" s="122">
        <f t="shared" si="0"/>
        <v>0</v>
      </c>
      <c r="N22" s="122">
        <f t="shared" si="0"/>
        <v>1</v>
      </c>
      <c r="O22" s="122">
        <f t="shared" si="0"/>
        <v>7</v>
      </c>
      <c r="P22" s="122">
        <f t="shared" si="0"/>
        <v>1</v>
      </c>
      <c r="Q22" s="122">
        <f t="shared" si="0"/>
        <v>109</v>
      </c>
    </row>
  </sheetData>
  <mergeCells count="13">
    <mergeCell ref="O8:O9"/>
    <mergeCell ref="P8:P9"/>
    <mergeCell ref="Q8:Q9"/>
    <mergeCell ref="B4:Q4"/>
    <mergeCell ref="B5:Q5"/>
    <mergeCell ref="B6:Q6"/>
    <mergeCell ref="B8:B9"/>
    <mergeCell ref="C8:C9"/>
    <mergeCell ref="D8:D9"/>
    <mergeCell ref="E8:E9"/>
    <mergeCell ref="F8:J8"/>
    <mergeCell ref="K8:M8"/>
    <mergeCell ref="N8:N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3147-0544-4DC9-86F7-D9CFADC856B3}">
  <dimension ref="A2:E14"/>
  <sheetViews>
    <sheetView workbookViewId="0">
      <selection activeCell="C14" sqref="C14"/>
    </sheetView>
  </sheetViews>
  <sheetFormatPr defaultRowHeight="14.5"/>
  <cols>
    <col min="1" max="1" width="7.6328125" style="181" customWidth="1"/>
    <col min="2" max="2" width="13.90625" style="77" customWidth="1"/>
    <col min="3" max="3" width="16.81640625" style="77" customWidth="1"/>
    <col min="4" max="4" width="16.90625" style="181" customWidth="1"/>
    <col min="5" max="5" width="17.81640625" style="77" customWidth="1"/>
  </cols>
  <sheetData>
    <row r="2" spans="1:5" ht="29">
      <c r="A2" s="179" t="s">
        <v>7</v>
      </c>
      <c r="B2" s="179" t="s">
        <v>288</v>
      </c>
      <c r="C2" s="179" t="s">
        <v>289</v>
      </c>
      <c r="D2" s="179" t="s">
        <v>88</v>
      </c>
      <c r="E2" s="179" t="s">
        <v>285</v>
      </c>
    </row>
    <row r="3" spans="1:5">
      <c r="A3" s="180">
        <v>1</v>
      </c>
      <c r="B3" s="180" t="s">
        <v>290</v>
      </c>
      <c r="C3" s="180" t="s">
        <v>35</v>
      </c>
      <c r="D3" s="180" t="s">
        <v>302</v>
      </c>
      <c r="E3" s="180" t="s">
        <v>313</v>
      </c>
    </row>
    <row r="4" spans="1:5">
      <c r="A4" s="180">
        <v>2</v>
      </c>
      <c r="B4" s="180" t="s">
        <v>291</v>
      </c>
      <c r="C4" s="180" t="s">
        <v>36</v>
      </c>
      <c r="D4" s="180" t="s">
        <v>303</v>
      </c>
      <c r="E4" s="180" t="s">
        <v>313</v>
      </c>
    </row>
    <row r="5" spans="1:5">
      <c r="A5" s="180">
        <v>3</v>
      </c>
      <c r="B5" s="180" t="s">
        <v>292</v>
      </c>
      <c r="C5" s="180" t="s">
        <v>37</v>
      </c>
      <c r="D5" s="180" t="s">
        <v>304</v>
      </c>
      <c r="E5" s="180" t="s">
        <v>313</v>
      </c>
    </row>
    <row r="6" spans="1:5">
      <c r="A6" s="180">
        <v>4</v>
      </c>
      <c r="B6" s="180" t="s">
        <v>293</v>
      </c>
      <c r="C6" s="182" t="s">
        <v>38</v>
      </c>
      <c r="D6" s="183" t="s">
        <v>304</v>
      </c>
      <c r="E6" s="180" t="s">
        <v>313</v>
      </c>
    </row>
    <row r="7" spans="1:5">
      <c r="A7" s="180">
        <v>5</v>
      </c>
      <c r="B7" s="180" t="s">
        <v>294</v>
      </c>
      <c r="C7" s="182" t="s">
        <v>39</v>
      </c>
      <c r="D7" s="183" t="s">
        <v>305</v>
      </c>
      <c r="E7" s="180" t="s">
        <v>313</v>
      </c>
    </row>
    <row r="8" spans="1:5">
      <c r="A8" s="180">
        <v>6</v>
      </c>
      <c r="B8" s="180" t="s">
        <v>295</v>
      </c>
      <c r="C8" s="182" t="s">
        <v>40</v>
      </c>
      <c r="D8" s="183" t="s">
        <v>306</v>
      </c>
      <c r="E8" s="180" t="s">
        <v>313</v>
      </c>
    </row>
    <row r="9" spans="1:5">
      <c r="A9" s="180">
        <v>7</v>
      </c>
      <c r="B9" s="180" t="s">
        <v>296</v>
      </c>
      <c r="C9" s="182" t="s">
        <v>41</v>
      </c>
      <c r="D9" s="183" t="s">
        <v>307</v>
      </c>
      <c r="E9" s="180" t="s">
        <v>313</v>
      </c>
    </row>
    <row r="10" spans="1:5">
      <c r="A10" s="180">
        <v>8</v>
      </c>
      <c r="B10" s="180" t="s">
        <v>297</v>
      </c>
      <c r="C10" s="182" t="s">
        <v>42</v>
      </c>
      <c r="D10" s="183" t="s">
        <v>308</v>
      </c>
      <c r="E10" s="180" t="s">
        <v>313</v>
      </c>
    </row>
    <row r="11" spans="1:5">
      <c r="A11" s="180">
        <v>9</v>
      </c>
      <c r="B11" s="180" t="s">
        <v>298</v>
      </c>
      <c r="C11" s="182" t="s">
        <v>43</v>
      </c>
      <c r="D11" s="183" t="s">
        <v>309</v>
      </c>
      <c r="E11" s="180" t="s">
        <v>313</v>
      </c>
    </row>
    <row r="12" spans="1:5">
      <c r="A12" s="180">
        <v>10</v>
      </c>
      <c r="B12" s="180" t="s">
        <v>299</v>
      </c>
      <c r="C12" s="182" t="s">
        <v>44</v>
      </c>
      <c r="D12" s="183" t="s">
        <v>310</v>
      </c>
      <c r="E12" s="180" t="s">
        <v>313</v>
      </c>
    </row>
    <row r="13" spans="1:5">
      <c r="A13" s="180">
        <v>11</v>
      </c>
      <c r="B13" s="180" t="s">
        <v>300</v>
      </c>
      <c r="C13" s="182" t="s">
        <v>45</v>
      </c>
      <c r="D13" s="183" t="s">
        <v>311</v>
      </c>
      <c r="E13" s="180" t="s">
        <v>313</v>
      </c>
    </row>
    <row r="14" spans="1:5">
      <c r="A14" s="180">
        <v>12</v>
      </c>
      <c r="B14" s="180" t="s">
        <v>301</v>
      </c>
      <c r="C14" s="182" t="s">
        <v>46</v>
      </c>
      <c r="D14" s="183" t="s">
        <v>312</v>
      </c>
      <c r="E14" s="180" t="s">
        <v>313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6C20-CEF0-4B6E-924D-4BEEAD160C9A}">
  <dimension ref="A2:D6"/>
  <sheetViews>
    <sheetView workbookViewId="0">
      <selection activeCell="C3" sqref="C3:C6"/>
    </sheetView>
  </sheetViews>
  <sheetFormatPr defaultRowHeight="14.5"/>
  <cols>
    <col min="1" max="1" width="8.7265625" style="77"/>
    <col min="2" max="2" width="13.453125" style="77" customWidth="1"/>
    <col min="3" max="3" width="22.6328125" style="77" customWidth="1"/>
    <col min="4" max="4" width="15.1796875" style="77" customWidth="1"/>
  </cols>
  <sheetData>
    <row r="2" spans="1:4">
      <c r="A2" s="179" t="s">
        <v>7</v>
      </c>
      <c r="B2" s="179" t="s">
        <v>314</v>
      </c>
      <c r="C2" s="179" t="s">
        <v>315</v>
      </c>
      <c r="D2" s="179" t="s">
        <v>316</v>
      </c>
    </row>
    <row r="3" spans="1:4">
      <c r="A3" s="180">
        <v>1</v>
      </c>
      <c r="B3" s="180" t="s">
        <v>317</v>
      </c>
      <c r="C3" s="180" t="s">
        <v>318</v>
      </c>
      <c r="D3" s="180" t="s">
        <v>319</v>
      </c>
    </row>
    <row r="4" spans="1:4">
      <c r="A4" s="180">
        <v>2</v>
      </c>
      <c r="B4" s="180" t="s">
        <v>52</v>
      </c>
      <c r="C4" s="180" t="s">
        <v>141</v>
      </c>
      <c r="D4" s="180" t="s">
        <v>319</v>
      </c>
    </row>
    <row r="5" spans="1:4">
      <c r="A5" s="180">
        <v>3</v>
      </c>
      <c r="B5" s="180" t="s">
        <v>53</v>
      </c>
      <c r="C5" s="180" t="s">
        <v>320</v>
      </c>
      <c r="D5" s="180" t="s">
        <v>319</v>
      </c>
    </row>
    <row r="6" spans="1:4" ht="23" customHeight="1">
      <c r="A6" s="180">
        <v>4</v>
      </c>
      <c r="B6" s="180" t="s">
        <v>321</v>
      </c>
      <c r="C6" s="180" t="s">
        <v>322</v>
      </c>
      <c r="D6" s="180" t="s">
        <v>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2E0D-4477-4A4E-81A8-465F20FA313B}">
  <dimension ref="A2:E50"/>
  <sheetViews>
    <sheetView topLeftCell="B1" workbookViewId="0">
      <selection activeCell="C3" sqref="C3:C50"/>
    </sheetView>
  </sheetViews>
  <sheetFormatPr defaultRowHeight="14.5"/>
  <cols>
    <col min="1" max="1" width="7.7265625" style="181" customWidth="1"/>
    <col min="2" max="2" width="18.453125" style="181" customWidth="1"/>
    <col min="3" max="3" width="26.90625" style="181" customWidth="1"/>
    <col min="4" max="4" width="15.7265625" style="181" customWidth="1"/>
    <col min="5" max="5" width="19.08984375" style="181" customWidth="1"/>
  </cols>
  <sheetData>
    <row r="2" spans="1:5">
      <c r="A2" s="179" t="s">
        <v>283</v>
      </c>
      <c r="B2" s="179" t="s">
        <v>8</v>
      </c>
      <c r="C2" s="179" t="s">
        <v>284</v>
      </c>
      <c r="D2" s="179" t="s">
        <v>323</v>
      </c>
      <c r="E2" s="179" t="s">
        <v>324</v>
      </c>
    </row>
    <row r="3" spans="1:5">
      <c r="A3" s="180">
        <v>2026</v>
      </c>
      <c r="B3" s="180" t="s">
        <v>35</v>
      </c>
      <c r="C3" s="184" t="s">
        <v>318</v>
      </c>
      <c r="D3" s="184">
        <v>8998</v>
      </c>
      <c r="E3" s="192">
        <f>D3/12</f>
        <v>749.83333333333337</v>
      </c>
    </row>
    <row r="4" spans="1:5">
      <c r="A4" s="180">
        <v>2026</v>
      </c>
      <c r="B4" s="180" t="s">
        <v>35</v>
      </c>
      <c r="C4" s="186" t="s">
        <v>141</v>
      </c>
      <c r="D4" s="186">
        <v>444</v>
      </c>
      <c r="E4" s="193">
        <f>D4/12</f>
        <v>37</v>
      </c>
    </row>
    <row r="5" spans="1:5">
      <c r="A5" s="180">
        <v>2026</v>
      </c>
      <c r="B5" s="180" t="s">
        <v>35</v>
      </c>
      <c r="C5" s="188" t="s">
        <v>320</v>
      </c>
      <c r="D5" s="188">
        <v>111</v>
      </c>
      <c r="E5" s="194">
        <f>D5/12</f>
        <v>9.25</v>
      </c>
    </row>
    <row r="6" spans="1:5" ht="13.5" customHeight="1">
      <c r="A6" s="180">
        <v>2026</v>
      </c>
      <c r="B6" s="183" t="s">
        <v>35</v>
      </c>
      <c r="C6" s="190" t="s">
        <v>322</v>
      </c>
      <c r="D6" s="191">
        <v>221</v>
      </c>
      <c r="E6" s="195">
        <f>D6/12</f>
        <v>18.416666666666668</v>
      </c>
    </row>
    <row r="7" spans="1:5">
      <c r="A7" s="180">
        <v>2026</v>
      </c>
      <c r="B7" s="183" t="s">
        <v>36</v>
      </c>
      <c r="C7" s="184" t="s">
        <v>318</v>
      </c>
      <c r="D7" s="185">
        <v>3234</v>
      </c>
      <c r="E7" s="192">
        <f>D7/12</f>
        <v>269.5</v>
      </c>
    </row>
    <row r="8" spans="1:5">
      <c r="A8" s="180">
        <v>2026</v>
      </c>
      <c r="B8" s="183" t="s">
        <v>36</v>
      </c>
      <c r="C8" s="186" t="s">
        <v>141</v>
      </c>
      <c r="D8" s="187">
        <v>160</v>
      </c>
      <c r="E8" s="193">
        <f>D8/12</f>
        <v>13.333333333333334</v>
      </c>
    </row>
    <row r="9" spans="1:5">
      <c r="A9" s="180">
        <v>2026</v>
      </c>
      <c r="B9" s="183" t="s">
        <v>36</v>
      </c>
      <c r="C9" s="188" t="s">
        <v>320</v>
      </c>
      <c r="D9" s="189">
        <v>40</v>
      </c>
      <c r="E9" s="194">
        <f>D9/12</f>
        <v>3.3333333333333335</v>
      </c>
    </row>
    <row r="10" spans="1:5">
      <c r="A10" s="180">
        <v>2026</v>
      </c>
      <c r="B10" s="183" t="s">
        <v>36</v>
      </c>
      <c r="C10" s="190" t="s">
        <v>322</v>
      </c>
      <c r="D10" s="191">
        <v>79</v>
      </c>
      <c r="E10" s="195">
        <f>D10/12</f>
        <v>6.583333333333333</v>
      </c>
    </row>
    <row r="11" spans="1:5">
      <c r="A11" s="180">
        <v>2026</v>
      </c>
      <c r="B11" s="180" t="s">
        <v>37</v>
      </c>
      <c r="C11" s="184" t="s">
        <v>318</v>
      </c>
      <c r="D11" s="185">
        <v>5429</v>
      </c>
      <c r="E11" s="192">
        <f>D11/12</f>
        <v>452.41666666666669</v>
      </c>
    </row>
    <row r="12" spans="1:5">
      <c r="A12" s="180">
        <v>2026</v>
      </c>
      <c r="B12" s="180" t="s">
        <v>37</v>
      </c>
      <c r="C12" s="186" t="s">
        <v>141</v>
      </c>
      <c r="D12" s="187">
        <v>271</v>
      </c>
      <c r="E12" s="193">
        <f>D12/12</f>
        <v>22.583333333333332</v>
      </c>
    </row>
    <row r="13" spans="1:5">
      <c r="A13" s="180">
        <v>2026</v>
      </c>
      <c r="B13" s="180" t="s">
        <v>37</v>
      </c>
      <c r="C13" s="188" t="s">
        <v>320</v>
      </c>
      <c r="D13" s="189">
        <v>67</v>
      </c>
      <c r="E13" s="194">
        <f>D13/12</f>
        <v>5.583333333333333</v>
      </c>
    </row>
    <row r="14" spans="1:5">
      <c r="A14" s="180">
        <v>2026</v>
      </c>
      <c r="B14" s="180" t="s">
        <v>37</v>
      </c>
      <c r="C14" s="190" t="s">
        <v>322</v>
      </c>
      <c r="D14" s="191">
        <v>147</v>
      </c>
      <c r="E14" s="195">
        <f>D14/12</f>
        <v>12.25</v>
      </c>
    </row>
    <row r="15" spans="1:5">
      <c r="A15" s="180">
        <v>2026</v>
      </c>
      <c r="B15" s="182" t="s">
        <v>38</v>
      </c>
      <c r="C15" s="184" t="s">
        <v>318</v>
      </c>
      <c r="D15" s="185">
        <v>3480</v>
      </c>
      <c r="E15" s="192">
        <f>D15/12</f>
        <v>290</v>
      </c>
    </row>
    <row r="16" spans="1:5">
      <c r="A16" s="180">
        <v>2026</v>
      </c>
      <c r="B16" s="182" t="s">
        <v>38</v>
      </c>
      <c r="C16" s="186" t="s">
        <v>141</v>
      </c>
      <c r="D16" s="187">
        <v>170</v>
      </c>
      <c r="E16" s="193">
        <f>D16/12</f>
        <v>14.166666666666666</v>
      </c>
    </row>
    <row r="17" spans="1:5">
      <c r="A17" s="180">
        <v>2026</v>
      </c>
      <c r="B17" s="182" t="s">
        <v>38</v>
      </c>
      <c r="C17" s="188" t="s">
        <v>320</v>
      </c>
      <c r="D17" s="189">
        <v>43</v>
      </c>
      <c r="E17" s="194">
        <f>D17/12</f>
        <v>3.5833333333333335</v>
      </c>
    </row>
    <row r="18" spans="1:5">
      <c r="A18" s="180">
        <v>2026</v>
      </c>
      <c r="B18" s="182" t="s">
        <v>38</v>
      </c>
      <c r="C18" s="190" t="s">
        <v>322</v>
      </c>
      <c r="D18" s="191">
        <v>84</v>
      </c>
      <c r="E18" s="195">
        <f>D18/12</f>
        <v>7</v>
      </c>
    </row>
    <row r="19" spans="1:5">
      <c r="A19" s="180">
        <v>2026</v>
      </c>
      <c r="B19" s="182" t="s">
        <v>39</v>
      </c>
      <c r="C19" s="184" t="s">
        <v>318</v>
      </c>
      <c r="D19" s="185">
        <v>5856</v>
      </c>
      <c r="E19" s="192">
        <f>D19/12</f>
        <v>488</v>
      </c>
    </row>
    <row r="20" spans="1:5">
      <c r="A20" s="180">
        <v>2026</v>
      </c>
      <c r="B20" s="182" t="s">
        <v>39</v>
      </c>
      <c r="C20" s="186" t="s">
        <v>141</v>
      </c>
      <c r="D20" s="187">
        <v>284</v>
      </c>
      <c r="E20" s="193">
        <f>D20/12</f>
        <v>23.666666666666668</v>
      </c>
    </row>
    <row r="21" spans="1:5">
      <c r="A21" s="180">
        <v>2026</v>
      </c>
      <c r="B21" s="182" t="s">
        <v>39</v>
      </c>
      <c r="C21" s="188" t="s">
        <v>320</v>
      </c>
      <c r="D21" s="189">
        <v>71</v>
      </c>
      <c r="E21" s="194">
        <f>D21/12</f>
        <v>5.916666666666667</v>
      </c>
    </row>
    <row r="22" spans="1:5">
      <c r="A22" s="180">
        <v>2026</v>
      </c>
      <c r="B22" s="182" t="s">
        <v>39</v>
      </c>
      <c r="C22" s="190" t="s">
        <v>322</v>
      </c>
      <c r="D22" s="191">
        <v>155</v>
      </c>
      <c r="E22" s="195">
        <f>D22/12</f>
        <v>12.916666666666666</v>
      </c>
    </row>
    <row r="23" spans="1:5">
      <c r="A23" s="180">
        <v>2026</v>
      </c>
      <c r="B23" s="182" t="s">
        <v>40</v>
      </c>
      <c r="C23" s="184" t="s">
        <v>318</v>
      </c>
      <c r="D23" s="185">
        <v>19105</v>
      </c>
      <c r="E23" s="192">
        <f>D23/12</f>
        <v>1592.0833333333333</v>
      </c>
    </row>
    <row r="24" spans="1:5">
      <c r="A24" s="180">
        <v>2026</v>
      </c>
      <c r="B24" s="182" t="s">
        <v>40</v>
      </c>
      <c r="C24" s="186" t="s">
        <v>141</v>
      </c>
      <c r="D24" s="187">
        <v>909</v>
      </c>
      <c r="E24" s="193">
        <f>D24/12</f>
        <v>75.75</v>
      </c>
    </row>
    <row r="25" spans="1:5">
      <c r="A25" s="180">
        <v>2026</v>
      </c>
      <c r="B25" s="182" t="s">
        <v>40</v>
      </c>
      <c r="C25" s="188" t="s">
        <v>320</v>
      </c>
      <c r="D25" s="189">
        <v>227</v>
      </c>
      <c r="E25" s="194">
        <f>D25/12</f>
        <v>18.916666666666668</v>
      </c>
    </row>
    <row r="26" spans="1:5">
      <c r="A26" s="180">
        <v>2026</v>
      </c>
      <c r="B26" s="182" t="s">
        <v>40</v>
      </c>
      <c r="C26" s="190" t="s">
        <v>322</v>
      </c>
      <c r="D26" s="191">
        <v>155</v>
      </c>
      <c r="E26" s="195">
        <f>D26/12</f>
        <v>12.916666666666666</v>
      </c>
    </row>
    <row r="27" spans="1:5">
      <c r="A27" s="180">
        <v>2026</v>
      </c>
      <c r="B27" s="183" t="s">
        <v>41</v>
      </c>
      <c r="C27" s="184" t="s">
        <v>318</v>
      </c>
      <c r="D27" s="185">
        <v>3923</v>
      </c>
      <c r="E27" s="192">
        <f>D27/12</f>
        <v>326.91666666666669</v>
      </c>
    </row>
    <row r="28" spans="1:5">
      <c r="A28" s="180">
        <v>2026</v>
      </c>
      <c r="B28" s="183" t="s">
        <v>41</v>
      </c>
      <c r="C28" s="186" t="s">
        <v>141</v>
      </c>
      <c r="D28" s="187">
        <v>188</v>
      </c>
      <c r="E28" s="193">
        <f>D28/12</f>
        <v>15.666666666666666</v>
      </c>
    </row>
    <row r="29" spans="1:5">
      <c r="A29" s="180">
        <v>2026</v>
      </c>
      <c r="B29" s="183" t="s">
        <v>41</v>
      </c>
      <c r="C29" s="188" t="s">
        <v>320</v>
      </c>
      <c r="D29" s="189">
        <v>47</v>
      </c>
      <c r="E29" s="194">
        <f>D29/12</f>
        <v>3.9166666666666665</v>
      </c>
    </row>
    <row r="30" spans="1:5">
      <c r="A30" s="180">
        <v>2026</v>
      </c>
      <c r="B30" s="183" t="s">
        <v>41</v>
      </c>
      <c r="C30" s="190" t="s">
        <v>322</v>
      </c>
      <c r="D30" s="191">
        <v>96</v>
      </c>
      <c r="E30" s="195">
        <f>D30/12</f>
        <v>8</v>
      </c>
    </row>
    <row r="31" spans="1:5">
      <c r="A31" s="180">
        <v>2026</v>
      </c>
      <c r="B31" s="183" t="s">
        <v>42</v>
      </c>
      <c r="C31" s="184" t="s">
        <v>318</v>
      </c>
      <c r="D31" s="185">
        <v>10052</v>
      </c>
      <c r="E31" s="192">
        <f>D31/12</f>
        <v>837.66666666666663</v>
      </c>
    </row>
    <row r="32" spans="1:5">
      <c r="A32" s="180">
        <v>2026</v>
      </c>
      <c r="B32" s="183" t="s">
        <v>42</v>
      </c>
      <c r="C32" s="186" t="s">
        <v>141</v>
      </c>
      <c r="D32" s="187">
        <v>459</v>
      </c>
      <c r="E32" s="193">
        <f>D32/12</f>
        <v>38.25</v>
      </c>
    </row>
    <row r="33" spans="1:5">
      <c r="A33" s="180">
        <v>2026</v>
      </c>
      <c r="B33" s="183" t="s">
        <v>42</v>
      </c>
      <c r="C33" s="188" t="s">
        <v>320</v>
      </c>
      <c r="D33" s="189">
        <v>115</v>
      </c>
      <c r="E33" s="194">
        <f>D33/12</f>
        <v>9.5833333333333339</v>
      </c>
    </row>
    <row r="34" spans="1:5">
      <c r="A34" s="180">
        <v>2026</v>
      </c>
      <c r="B34" s="183" t="s">
        <v>42</v>
      </c>
      <c r="C34" s="190" t="s">
        <v>322</v>
      </c>
      <c r="D34" s="191">
        <v>243</v>
      </c>
      <c r="E34" s="195">
        <f>D34/12</f>
        <v>20.25</v>
      </c>
    </row>
    <row r="35" spans="1:5">
      <c r="A35" s="180">
        <v>2026</v>
      </c>
      <c r="B35" s="182" t="s">
        <v>43</v>
      </c>
      <c r="C35" s="184" t="s">
        <v>318</v>
      </c>
      <c r="D35" s="185">
        <v>7502</v>
      </c>
      <c r="E35" s="192">
        <f>D35/12</f>
        <v>625.16666666666663</v>
      </c>
    </row>
    <row r="36" spans="1:5">
      <c r="A36" s="180">
        <v>2026</v>
      </c>
      <c r="B36" s="182" t="s">
        <v>43</v>
      </c>
      <c r="C36" s="186" t="s">
        <v>141</v>
      </c>
      <c r="D36" s="187">
        <v>341</v>
      </c>
      <c r="E36" s="193">
        <f>D36/12</f>
        <v>28.416666666666668</v>
      </c>
    </row>
    <row r="37" spans="1:5">
      <c r="A37" s="180">
        <v>2026</v>
      </c>
      <c r="B37" s="182" t="s">
        <v>43</v>
      </c>
      <c r="C37" s="188" t="s">
        <v>320</v>
      </c>
      <c r="D37" s="189">
        <v>85</v>
      </c>
      <c r="E37" s="194">
        <f>D37/12</f>
        <v>7.083333333333333</v>
      </c>
    </row>
    <row r="38" spans="1:5">
      <c r="A38" s="180">
        <v>2026</v>
      </c>
      <c r="B38" s="182" t="s">
        <v>43</v>
      </c>
      <c r="C38" s="190" t="s">
        <v>322</v>
      </c>
      <c r="D38" s="191">
        <v>170</v>
      </c>
      <c r="E38" s="195">
        <f>D38/12</f>
        <v>14.166666666666666</v>
      </c>
    </row>
    <row r="39" spans="1:5">
      <c r="A39" s="180">
        <v>2026</v>
      </c>
      <c r="B39" s="182" t="s">
        <v>44</v>
      </c>
      <c r="C39" s="184" t="s">
        <v>318</v>
      </c>
      <c r="D39" s="185">
        <v>16392</v>
      </c>
      <c r="E39" s="192">
        <f>D39/12</f>
        <v>1366</v>
      </c>
    </row>
    <row r="40" spans="1:5">
      <c r="A40" s="180">
        <v>2026</v>
      </c>
      <c r="B40" s="182" t="s">
        <v>44</v>
      </c>
      <c r="C40" s="186" t="s">
        <v>141</v>
      </c>
      <c r="D40" s="187">
        <v>726</v>
      </c>
      <c r="E40" s="193">
        <f>D40/12</f>
        <v>60.5</v>
      </c>
    </row>
    <row r="41" spans="1:5">
      <c r="A41" s="180">
        <v>2026</v>
      </c>
      <c r="B41" s="182" t="s">
        <v>44</v>
      </c>
      <c r="C41" s="188" t="s">
        <v>320</v>
      </c>
      <c r="D41" s="189">
        <v>182</v>
      </c>
      <c r="E41" s="194">
        <f>D41/12</f>
        <v>15.166666666666666</v>
      </c>
    </row>
    <row r="42" spans="1:5">
      <c r="A42" s="180">
        <v>2026</v>
      </c>
      <c r="B42" s="182" t="s">
        <v>44</v>
      </c>
      <c r="C42" s="190" t="s">
        <v>322</v>
      </c>
      <c r="D42" s="191">
        <v>368</v>
      </c>
      <c r="E42" s="195">
        <f>D42/12</f>
        <v>30.666666666666668</v>
      </c>
    </row>
    <row r="43" spans="1:5">
      <c r="A43" s="180">
        <v>2026</v>
      </c>
      <c r="B43" s="182" t="s">
        <v>45</v>
      </c>
      <c r="C43" s="184" t="s">
        <v>318</v>
      </c>
      <c r="D43" s="185">
        <v>6154</v>
      </c>
      <c r="E43" s="192">
        <f>D43/12</f>
        <v>512.83333333333337</v>
      </c>
    </row>
    <row r="44" spans="1:5">
      <c r="A44" s="180">
        <v>2026</v>
      </c>
      <c r="B44" s="182" t="s">
        <v>45</v>
      </c>
      <c r="C44" s="186" t="s">
        <v>141</v>
      </c>
      <c r="D44" s="187">
        <v>282</v>
      </c>
      <c r="E44" s="193">
        <f>D44/12</f>
        <v>23.5</v>
      </c>
    </row>
    <row r="45" spans="1:5">
      <c r="A45" s="180">
        <v>2026</v>
      </c>
      <c r="B45" s="182" t="s">
        <v>45</v>
      </c>
      <c r="C45" s="188" t="s">
        <v>320</v>
      </c>
      <c r="D45" s="189">
        <v>70</v>
      </c>
      <c r="E45" s="194">
        <f>D45/12</f>
        <v>5.833333333333333</v>
      </c>
    </row>
    <row r="46" spans="1:5">
      <c r="A46" s="180">
        <v>2026</v>
      </c>
      <c r="B46" s="182" t="s">
        <v>45</v>
      </c>
      <c r="C46" s="190" t="s">
        <v>322</v>
      </c>
      <c r="D46" s="191">
        <v>157</v>
      </c>
      <c r="E46" s="195">
        <f>D46/12</f>
        <v>13.083333333333334</v>
      </c>
    </row>
    <row r="47" spans="1:5">
      <c r="A47" s="180">
        <v>2026</v>
      </c>
      <c r="B47" s="182" t="s">
        <v>46</v>
      </c>
      <c r="C47" s="184" t="s">
        <v>318</v>
      </c>
      <c r="D47" s="185">
        <v>2274</v>
      </c>
      <c r="E47" s="192">
        <f>D47/12</f>
        <v>189.5</v>
      </c>
    </row>
    <row r="48" spans="1:5">
      <c r="A48" s="180">
        <v>2026</v>
      </c>
      <c r="B48" s="182" t="s">
        <v>46</v>
      </c>
      <c r="C48" s="186" t="s">
        <v>141</v>
      </c>
      <c r="D48" s="187">
        <v>112</v>
      </c>
      <c r="E48" s="193">
        <f>D48/12</f>
        <v>9.3333333333333339</v>
      </c>
    </row>
    <row r="49" spans="1:5">
      <c r="A49" s="180">
        <v>2026</v>
      </c>
      <c r="B49" s="182" t="s">
        <v>46</v>
      </c>
      <c r="C49" s="188" t="s">
        <v>320</v>
      </c>
      <c r="D49" s="189">
        <v>28</v>
      </c>
      <c r="E49" s="194">
        <f>D49/12</f>
        <v>2.3333333333333335</v>
      </c>
    </row>
    <row r="50" spans="1:5">
      <c r="A50" s="180">
        <v>2026</v>
      </c>
      <c r="B50" s="182" t="s">
        <v>46</v>
      </c>
      <c r="C50" s="190" t="s">
        <v>322</v>
      </c>
      <c r="D50" s="191">
        <v>64</v>
      </c>
      <c r="E50" s="195">
        <f>D50/12</f>
        <v>5.333333333333333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2607-2A2D-4840-8DD1-9D957C7E77E9}">
  <dimension ref="B2:F290"/>
  <sheetViews>
    <sheetView tabSelected="1" workbookViewId="0">
      <selection activeCell="I10" sqref="I10"/>
    </sheetView>
  </sheetViews>
  <sheetFormatPr defaultRowHeight="14.5"/>
  <cols>
    <col min="1" max="3" width="8.7265625" style="77"/>
    <col min="4" max="4" width="11.81640625" style="77" customWidth="1"/>
    <col min="5" max="5" width="16.6328125" style="77" customWidth="1"/>
    <col min="6" max="6" width="18.6328125" style="77" customWidth="1"/>
    <col min="7" max="7" width="8.7265625" style="77"/>
    <col min="8" max="8" width="11.54296875" style="77" customWidth="1"/>
    <col min="9" max="16384" width="8.7265625" style="77"/>
  </cols>
  <sheetData>
    <row r="2" spans="2:6">
      <c r="B2" s="127" t="s">
        <v>283</v>
      </c>
      <c r="C2" s="127" t="s">
        <v>282</v>
      </c>
      <c r="D2" s="127" t="s">
        <v>8</v>
      </c>
      <c r="E2" s="127" t="s">
        <v>284</v>
      </c>
      <c r="F2" s="127" t="s">
        <v>325</v>
      </c>
    </row>
    <row r="3" spans="2:6">
      <c r="B3" s="77">
        <v>2026</v>
      </c>
      <c r="C3" s="77" t="s">
        <v>0</v>
      </c>
      <c r="D3" s="77" t="s">
        <v>17</v>
      </c>
      <c r="E3" s="184" t="s">
        <v>318</v>
      </c>
      <c r="F3" s="196">
        <v>15</v>
      </c>
    </row>
    <row r="4" spans="2:6">
      <c r="B4" s="77">
        <v>2026</v>
      </c>
      <c r="C4" s="77" t="s">
        <v>0</v>
      </c>
      <c r="D4" s="77" t="s">
        <v>17</v>
      </c>
      <c r="E4" s="186" t="s">
        <v>141</v>
      </c>
      <c r="F4" s="197">
        <v>0</v>
      </c>
    </row>
    <row r="5" spans="2:6">
      <c r="B5" s="77">
        <v>2026</v>
      </c>
      <c r="C5" s="77" t="s">
        <v>0</v>
      </c>
      <c r="D5" s="77" t="s">
        <v>17</v>
      </c>
      <c r="E5" s="188" t="s">
        <v>320</v>
      </c>
      <c r="F5" s="196">
        <v>1</v>
      </c>
    </row>
    <row r="6" spans="2:6" ht="29">
      <c r="B6" s="77">
        <v>2026</v>
      </c>
      <c r="C6" s="77" t="s">
        <v>0</v>
      </c>
      <c r="D6" s="77" t="s">
        <v>17</v>
      </c>
      <c r="E6" s="190" t="s">
        <v>322</v>
      </c>
      <c r="F6" s="197">
        <v>0</v>
      </c>
    </row>
    <row r="7" spans="2:6">
      <c r="B7" s="77">
        <v>2026</v>
      </c>
      <c r="C7" s="77" t="s">
        <v>0</v>
      </c>
      <c r="D7" s="77" t="s">
        <v>21</v>
      </c>
      <c r="E7" s="184" t="s">
        <v>318</v>
      </c>
      <c r="F7" s="196">
        <v>58</v>
      </c>
    </row>
    <row r="8" spans="2:6">
      <c r="B8" s="77">
        <v>2026</v>
      </c>
      <c r="C8" s="77" t="s">
        <v>0</v>
      </c>
      <c r="D8" s="77" t="s">
        <v>21</v>
      </c>
      <c r="E8" s="186" t="s">
        <v>141</v>
      </c>
      <c r="F8" s="197">
        <v>0</v>
      </c>
    </row>
    <row r="9" spans="2:6">
      <c r="B9" s="77">
        <v>2026</v>
      </c>
      <c r="C9" s="77" t="s">
        <v>0</v>
      </c>
      <c r="D9" s="77" t="s">
        <v>21</v>
      </c>
      <c r="E9" s="188" t="s">
        <v>320</v>
      </c>
      <c r="F9" s="196">
        <v>0</v>
      </c>
    </row>
    <row r="10" spans="2:6" ht="29">
      <c r="B10" s="77">
        <v>2026</v>
      </c>
      <c r="C10" s="77" t="s">
        <v>0</v>
      </c>
      <c r="D10" s="77" t="s">
        <v>21</v>
      </c>
      <c r="E10" s="190" t="s">
        <v>322</v>
      </c>
      <c r="F10" s="197">
        <v>0</v>
      </c>
    </row>
    <row r="11" spans="2:6">
      <c r="B11" s="77">
        <v>2026</v>
      </c>
      <c r="C11" s="77" t="s">
        <v>0</v>
      </c>
      <c r="D11" s="77" t="s">
        <v>15</v>
      </c>
      <c r="E11" s="184" t="s">
        <v>318</v>
      </c>
      <c r="F11" s="196">
        <v>46</v>
      </c>
    </row>
    <row r="12" spans="2:6">
      <c r="B12" s="77">
        <v>2026</v>
      </c>
      <c r="C12" s="77" t="s">
        <v>0</v>
      </c>
      <c r="D12" s="77" t="s">
        <v>15</v>
      </c>
      <c r="E12" s="186" t="s">
        <v>141</v>
      </c>
      <c r="F12" s="197">
        <v>1</v>
      </c>
    </row>
    <row r="13" spans="2:6">
      <c r="B13" s="77">
        <v>2026</v>
      </c>
      <c r="C13" s="77" t="s">
        <v>0</v>
      </c>
      <c r="D13" s="77" t="s">
        <v>15</v>
      </c>
      <c r="E13" s="188" t="s">
        <v>320</v>
      </c>
      <c r="F13" s="196">
        <v>0</v>
      </c>
    </row>
    <row r="14" spans="2:6" ht="29">
      <c r="B14" s="77">
        <v>2026</v>
      </c>
      <c r="C14" s="77" t="s">
        <v>0</v>
      </c>
      <c r="D14" s="77" t="s">
        <v>15</v>
      </c>
      <c r="E14" s="190" t="s">
        <v>322</v>
      </c>
      <c r="F14" s="197">
        <v>0</v>
      </c>
    </row>
    <row r="15" spans="2:6">
      <c r="B15" s="77">
        <v>2026</v>
      </c>
      <c r="C15" s="77" t="s">
        <v>0</v>
      </c>
      <c r="D15" s="77" t="s">
        <v>16</v>
      </c>
      <c r="E15" s="184" t="s">
        <v>318</v>
      </c>
      <c r="F15" s="196">
        <v>222</v>
      </c>
    </row>
    <row r="16" spans="2:6">
      <c r="B16" s="77">
        <v>2026</v>
      </c>
      <c r="C16" s="77" t="s">
        <v>0</v>
      </c>
      <c r="D16" s="77" t="s">
        <v>16</v>
      </c>
      <c r="E16" s="186" t="s">
        <v>141</v>
      </c>
      <c r="F16" s="197">
        <v>21</v>
      </c>
    </row>
    <row r="17" spans="2:6">
      <c r="B17" s="77">
        <v>2026</v>
      </c>
      <c r="C17" s="77" t="s">
        <v>0</v>
      </c>
      <c r="D17" s="77" t="s">
        <v>16</v>
      </c>
      <c r="E17" s="188" t="s">
        <v>320</v>
      </c>
      <c r="F17" s="196">
        <v>6</v>
      </c>
    </row>
    <row r="18" spans="2:6" ht="29">
      <c r="B18" s="77">
        <v>2026</v>
      </c>
      <c r="C18" s="77" t="s">
        <v>0</v>
      </c>
      <c r="D18" s="77" t="s">
        <v>16</v>
      </c>
      <c r="E18" s="190" t="s">
        <v>322</v>
      </c>
      <c r="F18" s="197">
        <v>0</v>
      </c>
    </row>
    <row r="19" spans="2:6">
      <c r="B19" s="77">
        <v>2026</v>
      </c>
      <c r="C19" s="77" t="s">
        <v>0</v>
      </c>
      <c r="D19" s="77" t="s">
        <v>14</v>
      </c>
      <c r="E19" s="184" t="s">
        <v>318</v>
      </c>
      <c r="F19" s="196">
        <v>295</v>
      </c>
    </row>
    <row r="20" spans="2:6">
      <c r="B20" s="77">
        <v>2026</v>
      </c>
      <c r="C20" s="77" t="s">
        <v>0</v>
      </c>
      <c r="D20" s="77" t="s">
        <v>14</v>
      </c>
      <c r="E20" s="186" t="s">
        <v>141</v>
      </c>
      <c r="F20" s="197">
        <v>7</v>
      </c>
    </row>
    <row r="21" spans="2:6">
      <c r="B21" s="77">
        <v>2026</v>
      </c>
      <c r="C21" s="77" t="s">
        <v>0</v>
      </c>
      <c r="D21" s="77" t="s">
        <v>14</v>
      </c>
      <c r="E21" s="188" t="s">
        <v>320</v>
      </c>
      <c r="F21" s="196">
        <v>9</v>
      </c>
    </row>
    <row r="22" spans="2:6" ht="29">
      <c r="B22" s="77">
        <v>2026</v>
      </c>
      <c r="C22" s="77" t="s">
        <v>0</v>
      </c>
      <c r="D22" s="77" t="s">
        <v>14</v>
      </c>
      <c r="E22" s="190" t="s">
        <v>322</v>
      </c>
      <c r="F22" s="197">
        <v>0</v>
      </c>
    </row>
    <row r="23" spans="2:6">
      <c r="B23" s="77">
        <v>2026</v>
      </c>
      <c r="C23" s="77" t="s">
        <v>0</v>
      </c>
      <c r="D23" s="77" t="s">
        <v>13</v>
      </c>
      <c r="E23" s="184" t="s">
        <v>318</v>
      </c>
      <c r="F23" s="196">
        <v>481</v>
      </c>
    </row>
    <row r="24" spans="2:6">
      <c r="B24" s="77">
        <v>2026</v>
      </c>
      <c r="C24" s="77" t="s">
        <v>0</v>
      </c>
      <c r="D24" s="77" t="s">
        <v>13</v>
      </c>
      <c r="E24" s="186" t="s">
        <v>141</v>
      </c>
      <c r="F24" s="197">
        <v>12</v>
      </c>
    </row>
    <row r="25" spans="2:6">
      <c r="B25" s="77">
        <v>2026</v>
      </c>
      <c r="C25" s="77" t="s">
        <v>0</v>
      </c>
      <c r="D25" s="77" t="s">
        <v>13</v>
      </c>
      <c r="E25" s="188" t="s">
        <v>320</v>
      </c>
      <c r="F25" s="196">
        <v>4</v>
      </c>
    </row>
    <row r="26" spans="2:6" ht="29">
      <c r="B26" s="77">
        <v>2026</v>
      </c>
      <c r="C26" s="77" t="s">
        <v>0</v>
      </c>
      <c r="D26" s="77" t="s">
        <v>13</v>
      </c>
      <c r="E26" s="190" t="s">
        <v>322</v>
      </c>
      <c r="F26" s="197">
        <v>0</v>
      </c>
    </row>
    <row r="27" spans="2:6">
      <c r="B27" s="77">
        <v>2026</v>
      </c>
      <c r="C27" s="77" t="s">
        <v>0</v>
      </c>
      <c r="D27" s="77" t="s">
        <v>19</v>
      </c>
      <c r="E27" s="184" t="s">
        <v>318</v>
      </c>
      <c r="F27" s="196">
        <v>112</v>
      </c>
    </row>
    <row r="28" spans="2:6">
      <c r="B28" s="77">
        <v>2026</v>
      </c>
      <c r="C28" s="77" t="s">
        <v>0</v>
      </c>
      <c r="D28" s="77" t="s">
        <v>19</v>
      </c>
      <c r="E28" s="186" t="s">
        <v>141</v>
      </c>
      <c r="F28" s="197">
        <v>26</v>
      </c>
    </row>
    <row r="29" spans="2:6">
      <c r="B29" s="77">
        <v>2026</v>
      </c>
      <c r="C29" s="77" t="s">
        <v>0</v>
      </c>
      <c r="D29" s="77" t="s">
        <v>19</v>
      </c>
      <c r="E29" s="188" t="s">
        <v>320</v>
      </c>
      <c r="F29" s="196">
        <v>6</v>
      </c>
    </row>
    <row r="30" spans="2:6" ht="29">
      <c r="B30" s="77">
        <v>2026</v>
      </c>
      <c r="C30" s="77" t="s">
        <v>0</v>
      </c>
      <c r="D30" s="77" t="s">
        <v>19</v>
      </c>
      <c r="E30" s="190" t="s">
        <v>322</v>
      </c>
      <c r="F30" s="197">
        <v>0</v>
      </c>
    </row>
    <row r="31" spans="2:6">
      <c r="B31" s="77">
        <v>2026</v>
      </c>
      <c r="C31" s="77" t="s">
        <v>0</v>
      </c>
      <c r="D31" s="77" t="s">
        <v>12</v>
      </c>
      <c r="E31" s="184" t="s">
        <v>318</v>
      </c>
      <c r="F31" s="196">
        <v>244</v>
      </c>
    </row>
    <row r="32" spans="2:6">
      <c r="B32" s="77">
        <v>2026</v>
      </c>
      <c r="C32" s="77" t="s">
        <v>0</v>
      </c>
      <c r="D32" s="77" t="s">
        <v>12</v>
      </c>
      <c r="E32" s="186" t="s">
        <v>141</v>
      </c>
      <c r="F32" s="197">
        <v>16</v>
      </c>
    </row>
    <row r="33" spans="2:6">
      <c r="B33" s="77">
        <v>2026</v>
      </c>
      <c r="C33" s="77" t="s">
        <v>0</v>
      </c>
      <c r="D33" s="77" t="s">
        <v>12</v>
      </c>
      <c r="E33" s="188" t="s">
        <v>320</v>
      </c>
      <c r="F33" s="196">
        <v>8</v>
      </c>
    </row>
    <row r="34" spans="2:6" ht="29">
      <c r="B34" s="77">
        <v>2026</v>
      </c>
      <c r="C34" s="77" t="s">
        <v>0</v>
      </c>
      <c r="D34" s="77" t="s">
        <v>12</v>
      </c>
      <c r="E34" s="190" t="s">
        <v>322</v>
      </c>
      <c r="F34" s="197">
        <v>0</v>
      </c>
    </row>
    <row r="35" spans="2:6">
      <c r="B35" s="77">
        <v>2026</v>
      </c>
      <c r="C35" s="77" t="s">
        <v>0</v>
      </c>
      <c r="D35" s="77" t="s">
        <v>22</v>
      </c>
      <c r="E35" s="184" t="s">
        <v>318</v>
      </c>
      <c r="F35" s="196">
        <v>120</v>
      </c>
    </row>
    <row r="36" spans="2:6">
      <c r="B36" s="77">
        <v>2026</v>
      </c>
      <c r="C36" s="77" t="s">
        <v>0</v>
      </c>
      <c r="D36" s="77" t="s">
        <v>22</v>
      </c>
      <c r="E36" s="186" t="s">
        <v>141</v>
      </c>
      <c r="F36" s="197">
        <v>36</v>
      </c>
    </row>
    <row r="37" spans="2:6">
      <c r="B37" s="77">
        <v>2026</v>
      </c>
      <c r="C37" s="77" t="s">
        <v>0</v>
      </c>
      <c r="D37" s="77" t="s">
        <v>22</v>
      </c>
      <c r="E37" s="188" t="s">
        <v>320</v>
      </c>
      <c r="F37" s="196">
        <v>2</v>
      </c>
    </row>
    <row r="38" spans="2:6" ht="29">
      <c r="B38" s="77">
        <v>2026</v>
      </c>
      <c r="C38" s="77" t="s">
        <v>0</v>
      </c>
      <c r="D38" s="77" t="s">
        <v>22</v>
      </c>
      <c r="E38" s="190" t="s">
        <v>322</v>
      </c>
      <c r="F38" s="197">
        <v>0</v>
      </c>
    </row>
    <row r="39" spans="2:6">
      <c r="B39" s="77">
        <v>2026</v>
      </c>
      <c r="C39" s="77" t="s">
        <v>0</v>
      </c>
      <c r="D39" s="77" t="s">
        <v>11</v>
      </c>
      <c r="E39" s="184" t="s">
        <v>318</v>
      </c>
      <c r="F39" s="196">
        <v>133</v>
      </c>
    </row>
    <row r="40" spans="2:6">
      <c r="B40" s="77">
        <v>2026</v>
      </c>
      <c r="C40" s="77" t="s">
        <v>0</v>
      </c>
      <c r="D40" s="77" t="s">
        <v>11</v>
      </c>
      <c r="E40" s="186" t="s">
        <v>141</v>
      </c>
      <c r="F40" s="197">
        <v>13</v>
      </c>
    </row>
    <row r="41" spans="2:6">
      <c r="B41" s="77">
        <v>2026</v>
      </c>
      <c r="C41" s="77" t="s">
        <v>0</v>
      </c>
      <c r="D41" s="77" t="s">
        <v>11</v>
      </c>
      <c r="E41" s="188" t="s">
        <v>320</v>
      </c>
      <c r="F41" s="196">
        <v>7</v>
      </c>
    </row>
    <row r="42" spans="2:6" ht="29">
      <c r="B42" s="77">
        <v>2026</v>
      </c>
      <c r="C42" s="77" t="s">
        <v>0</v>
      </c>
      <c r="D42" s="77" t="s">
        <v>11</v>
      </c>
      <c r="E42" s="190" t="s">
        <v>322</v>
      </c>
      <c r="F42" s="197">
        <v>0</v>
      </c>
    </row>
    <row r="43" spans="2:6">
      <c r="B43" s="77">
        <v>2026</v>
      </c>
      <c r="C43" s="77" t="s">
        <v>0</v>
      </c>
      <c r="D43" s="77" t="s">
        <v>18</v>
      </c>
      <c r="E43" s="184" t="s">
        <v>318</v>
      </c>
      <c r="F43" s="196">
        <v>117</v>
      </c>
    </row>
    <row r="44" spans="2:6">
      <c r="B44" s="77">
        <v>2026</v>
      </c>
      <c r="C44" s="77" t="s">
        <v>0</v>
      </c>
      <c r="D44" s="77" t="s">
        <v>18</v>
      </c>
      <c r="E44" s="186" t="s">
        <v>141</v>
      </c>
      <c r="F44" s="197">
        <v>7</v>
      </c>
    </row>
    <row r="45" spans="2:6">
      <c r="B45" s="77">
        <v>2026</v>
      </c>
      <c r="C45" s="77" t="s">
        <v>0</v>
      </c>
      <c r="D45" s="77" t="s">
        <v>18</v>
      </c>
      <c r="E45" s="188" t="s">
        <v>320</v>
      </c>
      <c r="F45" s="196">
        <v>5</v>
      </c>
    </row>
    <row r="46" spans="2:6" ht="29">
      <c r="B46" s="77">
        <v>2026</v>
      </c>
      <c r="C46" s="77" t="s">
        <v>0</v>
      </c>
      <c r="D46" s="77" t="s">
        <v>18</v>
      </c>
      <c r="E46" s="190" t="s">
        <v>322</v>
      </c>
      <c r="F46" s="197">
        <v>0</v>
      </c>
    </row>
    <row r="47" spans="2:6">
      <c r="B47" s="77">
        <v>2026</v>
      </c>
      <c r="C47" s="77" t="s">
        <v>0</v>
      </c>
      <c r="D47" s="77" t="s">
        <v>20</v>
      </c>
      <c r="E47" s="184" t="s">
        <v>318</v>
      </c>
      <c r="F47" s="196">
        <v>214</v>
      </c>
    </row>
    <row r="48" spans="2:6">
      <c r="B48" s="77">
        <v>2026</v>
      </c>
      <c r="C48" s="77" t="s">
        <v>0</v>
      </c>
      <c r="D48" s="77" t="s">
        <v>20</v>
      </c>
      <c r="E48" s="186" t="s">
        <v>141</v>
      </c>
      <c r="F48" s="197">
        <v>105</v>
      </c>
    </row>
    <row r="49" spans="2:6">
      <c r="B49" s="77">
        <v>2026</v>
      </c>
      <c r="C49" s="77" t="s">
        <v>0</v>
      </c>
      <c r="D49" s="77" t="s">
        <v>20</v>
      </c>
      <c r="E49" s="188" t="s">
        <v>320</v>
      </c>
      <c r="F49" s="196">
        <v>6</v>
      </c>
    </row>
    <row r="50" spans="2:6" ht="29">
      <c r="B50" s="77">
        <v>2026</v>
      </c>
      <c r="C50" s="77" t="s">
        <v>0</v>
      </c>
      <c r="D50" s="77" t="s">
        <v>20</v>
      </c>
      <c r="E50" s="190" t="s">
        <v>322</v>
      </c>
      <c r="F50" s="197">
        <v>0</v>
      </c>
    </row>
    <row r="51" spans="2:6">
      <c r="B51" s="77">
        <v>2026</v>
      </c>
      <c r="C51" s="182" t="s">
        <v>1</v>
      </c>
      <c r="D51" s="77" t="s">
        <v>17</v>
      </c>
      <c r="E51" s="184" t="s">
        <v>318</v>
      </c>
      <c r="F51" s="196">
        <v>107</v>
      </c>
    </row>
    <row r="52" spans="2:6">
      <c r="B52" s="77">
        <v>2026</v>
      </c>
      <c r="C52" s="182" t="s">
        <v>1</v>
      </c>
      <c r="D52" s="77" t="s">
        <v>17</v>
      </c>
      <c r="E52" s="186" t="s">
        <v>141</v>
      </c>
      <c r="F52" s="197">
        <v>0</v>
      </c>
    </row>
    <row r="53" spans="2:6">
      <c r="B53" s="77">
        <v>2026</v>
      </c>
      <c r="C53" s="182" t="s">
        <v>1</v>
      </c>
      <c r="D53" s="77" t="s">
        <v>17</v>
      </c>
      <c r="E53" s="188" t="s">
        <v>320</v>
      </c>
      <c r="F53" s="196">
        <v>1</v>
      </c>
    </row>
    <row r="54" spans="2:6" ht="29">
      <c r="B54" s="77">
        <v>2026</v>
      </c>
      <c r="C54" s="182" t="s">
        <v>1</v>
      </c>
      <c r="D54" s="77" t="s">
        <v>17</v>
      </c>
      <c r="E54" s="190" t="s">
        <v>322</v>
      </c>
      <c r="F54" s="197">
        <v>0</v>
      </c>
    </row>
    <row r="55" spans="2:6">
      <c r="B55" s="77">
        <v>2026</v>
      </c>
      <c r="C55" s="182" t="s">
        <v>1</v>
      </c>
      <c r="D55" s="77" t="s">
        <v>21</v>
      </c>
      <c r="E55" s="184" t="s">
        <v>318</v>
      </c>
      <c r="F55" s="196">
        <v>105</v>
      </c>
    </row>
    <row r="56" spans="2:6">
      <c r="B56" s="77">
        <v>2026</v>
      </c>
      <c r="C56" s="182" t="s">
        <v>1</v>
      </c>
      <c r="D56" s="77" t="s">
        <v>21</v>
      </c>
      <c r="E56" s="186" t="s">
        <v>141</v>
      </c>
      <c r="F56" s="197">
        <v>0</v>
      </c>
    </row>
    <row r="57" spans="2:6">
      <c r="B57" s="77">
        <v>2026</v>
      </c>
      <c r="C57" s="182" t="s">
        <v>1</v>
      </c>
      <c r="D57" s="77" t="s">
        <v>21</v>
      </c>
      <c r="E57" s="188" t="s">
        <v>320</v>
      </c>
      <c r="F57" s="196">
        <v>0</v>
      </c>
    </row>
    <row r="58" spans="2:6" ht="29">
      <c r="B58" s="77">
        <v>2026</v>
      </c>
      <c r="C58" s="182" t="s">
        <v>1</v>
      </c>
      <c r="D58" s="77" t="s">
        <v>21</v>
      </c>
      <c r="E58" s="190" t="s">
        <v>322</v>
      </c>
      <c r="F58" s="197">
        <v>0</v>
      </c>
    </row>
    <row r="59" spans="2:6">
      <c r="B59" s="77">
        <v>2026</v>
      </c>
      <c r="C59" s="182" t="s">
        <v>1</v>
      </c>
      <c r="D59" s="77" t="s">
        <v>15</v>
      </c>
      <c r="E59" s="184" t="s">
        <v>318</v>
      </c>
      <c r="F59" s="196">
        <v>86</v>
      </c>
    </row>
    <row r="60" spans="2:6">
      <c r="B60" s="77">
        <v>2026</v>
      </c>
      <c r="C60" s="182" t="s">
        <v>1</v>
      </c>
      <c r="D60" s="77" t="s">
        <v>15</v>
      </c>
      <c r="E60" s="186" t="s">
        <v>141</v>
      </c>
      <c r="F60" s="197">
        <v>6</v>
      </c>
    </row>
    <row r="61" spans="2:6">
      <c r="B61" s="77">
        <v>2026</v>
      </c>
      <c r="C61" s="182" t="s">
        <v>1</v>
      </c>
      <c r="D61" s="77" t="s">
        <v>15</v>
      </c>
      <c r="E61" s="188" t="s">
        <v>320</v>
      </c>
      <c r="F61" s="196">
        <v>0</v>
      </c>
    </row>
    <row r="62" spans="2:6" ht="29">
      <c r="B62" s="77">
        <v>2026</v>
      </c>
      <c r="C62" s="182" t="s">
        <v>1</v>
      </c>
      <c r="D62" s="77" t="s">
        <v>15</v>
      </c>
      <c r="E62" s="190" t="s">
        <v>322</v>
      </c>
      <c r="F62" s="197">
        <v>0</v>
      </c>
    </row>
    <row r="63" spans="2:6">
      <c r="B63" s="77">
        <v>2026</v>
      </c>
      <c r="C63" s="182" t="s">
        <v>1</v>
      </c>
      <c r="D63" s="77" t="s">
        <v>16</v>
      </c>
      <c r="E63" s="184" t="s">
        <v>318</v>
      </c>
      <c r="F63" s="196">
        <v>129</v>
      </c>
    </row>
    <row r="64" spans="2:6">
      <c r="B64" s="77">
        <v>2026</v>
      </c>
      <c r="C64" s="182" t="s">
        <v>1</v>
      </c>
      <c r="D64" s="77" t="s">
        <v>16</v>
      </c>
      <c r="E64" s="186" t="s">
        <v>141</v>
      </c>
      <c r="F64" s="197">
        <v>6</v>
      </c>
    </row>
    <row r="65" spans="2:6">
      <c r="B65" s="77">
        <v>2026</v>
      </c>
      <c r="C65" s="182" t="s">
        <v>1</v>
      </c>
      <c r="D65" s="77" t="s">
        <v>16</v>
      </c>
      <c r="E65" s="188" t="s">
        <v>320</v>
      </c>
      <c r="F65" s="196">
        <v>2</v>
      </c>
    </row>
    <row r="66" spans="2:6" ht="29">
      <c r="B66" s="77">
        <v>2026</v>
      </c>
      <c r="C66" s="182" t="s">
        <v>1</v>
      </c>
      <c r="D66" s="77" t="s">
        <v>16</v>
      </c>
      <c r="E66" s="190" t="s">
        <v>322</v>
      </c>
      <c r="F66" s="197">
        <v>0</v>
      </c>
    </row>
    <row r="67" spans="2:6">
      <c r="B67" s="77">
        <v>2026</v>
      </c>
      <c r="C67" s="182" t="s">
        <v>1</v>
      </c>
      <c r="D67" s="77" t="s">
        <v>14</v>
      </c>
      <c r="E67" s="184" t="s">
        <v>318</v>
      </c>
      <c r="F67" s="196">
        <v>90</v>
      </c>
    </row>
    <row r="68" spans="2:6">
      <c r="B68" s="77">
        <v>2026</v>
      </c>
      <c r="C68" s="182" t="s">
        <v>1</v>
      </c>
      <c r="D68" s="77" t="s">
        <v>14</v>
      </c>
      <c r="E68" s="186" t="s">
        <v>141</v>
      </c>
      <c r="F68" s="197">
        <v>1</v>
      </c>
    </row>
    <row r="69" spans="2:6">
      <c r="B69" s="77">
        <v>2026</v>
      </c>
      <c r="C69" s="182" t="s">
        <v>1</v>
      </c>
      <c r="D69" s="77" t="s">
        <v>14</v>
      </c>
      <c r="E69" s="188" t="s">
        <v>320</v>
      </c>
      <c r="F69" s="196">
        <v>0</v>
      </c>
    </row>
    <row r="70" spans="2:6" ht="29">
      <c r="B70" s="77">
        <v>2026</v>
      </c>
      <c r="C70" s="182" t="s">
        <v>1</v>
      </c>
      <c r="D70" s="77" t="s">
        <v>14</v>
      </c>
      <c r="E70" s="190" t="s">
        <v>322</v>
      </c>
      <c r="F70" s="197">
        <v>0</v>
      </c>
    </row>
    <row r="71" spans="2:6">
      <c r="B71" s="77">
        <v>2026</v>
      </c>
      <c r="C71" s="182" t="s">
        <v>1</v>
      </c>
      <c r="D71" s="77" t="s">
        <v>13</v>
      </c>
      <c r="E71" s="184" t="s">
        <v>318</v>
      </c>
      <c r="F71" s="196">
        <v>117</v>
      </c>
    </row>
    <row r="72" spans="2:6">
      <c r="B72" s="77">
        <v>2026</v>
      </c>
      <c r="C72" s="182" t="s">
        <v>1</v>
      </c>
      <c r="D72" s="77" t="s">
        <v>13</v>
      </c>
      <c r="E72" s="186" t="s">
        <v>141</v>
      </c>
      <c r="F72" s="197">
        <v>2</v>
      </c>
    </row>
    <row r="73" spans="2:6">
      <c r="B73" s="77">
        <v>2026</v>
      </c>
      <c r="C73" s="182" t="s">
        <v>1</v>
      </c>
      <c r="D73" s="77" t="s">
        <v>13</v>
      </c>
      <c r="E73" s="188" t="s">
        <v>320</v>
      </c>
      <c r="F73" s="196">
        <v>0</v>
      </c>
    </row>
    <row r="74" spans="2:6" ht="29">
      <c r="B74" s="77">
        <v>2026</v>
      </c>
      <c r="C74" s="182" t="s">
        <v>1</v>
      </c>
      <c r="D74" s="77" t="s">
        <v>13</v>
      </c>
      <c r="E74" s="190" t="s">
        <v>322</v>
      </c>
      <c r="F74" s="197">
        <v>2</v>
      </c>
    </row>
    <row r="75" spans="2:6">
      <c r="B75" s="77">
        <v>2026</v>
      </c>
      <c r="C75" s="182" t="s">
        <v>1</v>
      </c>
      <c r="D75" s="77" t="s">
        <v>19</v>
      </c>
      <c r="E75" s="184" t="s">
        <v>318</v>
      </c>
      <c r="F75" s="196">
        <v>14</v>
      </c>
    </row>
    <row r="76" spans="2:6">
      <c r="B76" s="77">
        <v>2026</v>
      </c>
      <c r="C76" s="182" t="s">
        <v>1</v>
      </c>
      <c r="D76" s="77" t="s">
        <v>19</v>
      </c>
      <c r="E76" s="186" t="s">
        <v>141</v>
      </c>
      <c r="F76" s="197">
        <v>1</v>
      </c>
    </row>
    <row r="77" spans="2:6">
      <c r="B77" s="77">
        <v>2026</v>
      </c>
      <c r="C77" s="182" t="s">
        <v>1</v>
      </c>
      <c r="D77" s="77" t="s">
        <v>19</v>
      </c>
      <c r="E77" s="188" t="s">
        <v>320</v>
      </c>
      <c r="F77" s="196">
        <v>0</v>
      </c>
    </row>
    <row r="78" spans="2:6" ht="29">
      <c r="B78" s="77">
        <v>2026</v>
      </c>
      <c r="C78" s="182" t="s">
        <v>1</v>
      </c>
      <c r="D78" s="77" t="s">
        <v>19</v>
      </c>
      <c r="E78" s="190" t="s">
        <v>322</v>
      </c>
      <c r="F78" s="197">
        <v>0</v>
      </c>
    </row>
    <row r="79" spans="2:6">
      <c r="B79" s="77">
        <v>2026</v>
      </c>
      <c r="C79" s="182" t="s">
        <v>1</v>
      </c>
      <c r="D79" s="77" t="s">
        <v>12</v>
      </c>
      <c r="E79" s="184" t="s">
        <v>318</v>
      </c>
      <c r="F79" s="196">
        <v>42</v>
      </c>
    </row>
    <row r="80" spans="2:6">
      <c r="B80" s="77">
        <v>2026</v>
      </c>
      <c r="C80" s="182" t="s">
        <v>1</v>
      </c>
      <c r="D80" s="77" t="s">
        <v>12</v>
      </c>
      <c r="E80" s="186" t="s">
        <v>141</v>
      </c>
      <c r="F80" s="197">
        <v>0</v>
      </c>
    </row>
    <row r="81" spans="2:6">
      <c r="B81" s="77">
        <v>2026</v>
      </c>
      <c r="C81" s="182" t="s">
        <v>1</v>
      </c>
      <c r="D81" s="77" t="s">
        <v>12</v>
      </c>
      <c r="E81" s="188" t="s">
        <v>320</v>
      </c>
      <c r="F81" s="196">
        <v>1</v>
      </c>
    </row>
    <row r="82" spans="2:6" ht="29">
      <c r="B82" s="77">
        <v>2026</v>
      </c>
      <c r="C82" s="182" t="s">
        <v>1</v>
      </c>
      <c r="D82" s="77" t="s">
        <v>12</v>
      </c>
      <c r="E82" s="190" t="s">
        <v>322</v>
      </c>
      <c r="F82" s="197">
        <v>0</v>
      </c>
    </row>
    <row r="83" spans="2:6">
      <c r="B83" s="77">
        <v>2026</v>
      </c>
      <c r="C83" s="182" t="s">
        <v>1</v>
      </c>
      <c r="D83" s="77" t="s">
        <v>22</v>
      </c>
      <c r="E83" s="184" t="s">
        <v>318</v>
      </c>
      <c r="F83" s="196">
        <v>16</v>
      </c>
    </row>
    <row r="84" spans="2:6">
      <c r="B84" s="77">
        <v>2026</v>
      </c>
      <c r="C84" s="182" t="s">
        <v>1</v>
      </c>
      <c r="D84" s="77" t="s">
        <v>22</v>
      </c>
      <c r="E84" s="186" t="s">
        <v>141</v>
      </c>
      <c r="F84" s="197">
        <v>1</v>
      </c>
    </row>
    <row r="85" spans="2:6">
      <c r="B85" s="77">
        <v>2026</v>
      </c>
      <c r="C85" s="182" t="s">
        <v>1</v>
      </c>
      <c r="D85" s="77" t="s">
        <v>22</v>
      </c>
      <c r="E85" s="188" t="s">
        <v>320</v>
      </c>
      <c r="F85" s="196">
        <v>2</v>
      </c>
    </row>
    <row r="86" spans="2:6" ht="29">
      <c r="B86" s="77">
        <v>2026</v>
      </c>
      <c r="C86" s="182" t="s">
        <v>1</v>
      </c>
      <c r="D86" s="77" t="s">
        <v>22</v>
      </c>
      <c r="E86" s="190" t="s">
        <v>322</v>
      </c>
      <c r="F86" s="197">
        <v>0</v>
      </c>
    </row>
    <row r="87" spans="2:6">
      <c r="B87" s="77">
        <v>2026</v>
      </c>
      <c r="C87" s="182" t="s">
        <v>1</v>
      </c>
      <c r="D87" s="77" t="s">
        <v>11</v>
      </c>
      <c r="E87" s="184" t="s">
        <v>318</v>
      </c>
      <c r="F87" s="196">
        <v>148</v>
      </c>
    </row>
    <row r="88" spans="2:6">
      <c r="B88" s="77">
        <v>2026</v>
      </c>
      <c r="C88" s="182" t="s">
        <v>1</v>
      </c>
      <c r="D88" s="77" t="s">
        <v>11</v>
      </c>
      <c r="E88" s="186" t="s">
        <v>141</v>
      </c>
      <c r="F88" s="197">
        <v>2</v>
      </c>
    </row>
    <row r="89" spans="2:6">
      <c r="B89" s="77">
        <v>2026</v>
      </c>
      <c r="C89" s="182" t="s">
        <v>1</v>
      </c>
      <c r="D89" s="77" t="s">
        <v>11</v>
      </c>
      <c r="E89" s="188" t="s">
        <v>320</v>
      </c>
      <c r="F89" s="196">
        <v>0</v>
      </c>
    </row>
    <row r="90" spans="2:6" ht="29">
      <c r="B90" s="77">
        <v>2026</v>
      </c>
      <c r="C90" s="182" t="s">
        <v>1</v>
      </c>
      <c r="D90" s="77" t="s">
        <v>11</v>
      </c>
      <c r="E90" s="190" t="s">
        <v>322</v>
      </c>
      <c r="F90" s="197">
        <v>0</v>
      </c>
    </row>
    <row r="91" spans="2:6">
      <c r="B91" s="77">
        <v>2026</v>
      </c>
      <c r="C91" s="182" t="s">
        <v>1</v>
      </c>
      <c r="D91" s="77" t="s">
        <v>18</v>
      </c>
      <c r="E91" s="184" t="s">
        <v>318</v>
      </c>
      <c r="F91" s="196">
        <v>231</v>
      </c>
    </row>
    <row r="92" spans="2:6">
      <c r="B92" s="77">
        <v>2026</v>
      </c>
      <c r="C92" s="182" t="s">
        <v>1</v>
      </c>
      <c r="D92" s="77" t="s">
        <v>18</v>
      </c>
      <c r="E92" s="186" t="s">
        <v>141</v>
      </c>
      <c r="F92" s="197">
        <v>9</v>
      </c>
    </row>
    <row r="93" spans="2:6">
      <c r="B93" s="77">
        <v>2026</v>
      </c>
      <c r="C93" s="182" t="s">
        <v>1</v>
      </c>
      <c r="D93" s="77" t="s">
        <v>18</v>
      </c>
      <c r="E93" s="188" t="s">
        <v>320</v>
      </c>
      <c r="F93" s="196">
        <v>2</v>
      </c>
    </row>
    <row r="94" spans="2:6" ht="29">
      <c r="B94" s="77">
        <v>2026</v>
      </c>
      <c r="C94" s="182" t="s">
        <v>1</v>
      </c>
      <c r="D94" s="77" t="s">
        <v>18</v>
      </c>
      <c r="E94" s="190" t="s">
        <v>322</v>
      </c>
      <c r="F94" s="197">
        <v>0</v>
      </c>
    </row>
    <row r="95" spans="2:6">
      <c r="B95" s="77">
        <v>2026</v>
      </c>
      <c r="C95" s="182" t="s">
        <v>1</v>
      </c>
      <c r="D95" s="77" t="s">
        <v>20</v>
      </c>
      <c r="E95" s="184" t="s">
        <v>318</v>
      </c>
      <c r="F95" s="196">
        <v>618</v>
      </c>
    </row>
    <row r="96" spans="2:6">
      <c r="B96" s="77">
        <v>2026</v>
      </c>
      <c r="C96" s="182" t="s">
        <v>1</v>
      </c>
      <c r="D96" s="77" t="s">
        <v>20</v>
      </c>
      <c r="E96" s="186" t="s">
        <v>141</v>
      </c>
      <c r="F96" s="197">
        <v>10</v>
      </c>
    </row>
    <row r="97" spans="2:6">
      <c r="B97" s="77">
        <v>2026</v>
      </c>
      <c r="C97" s="182" t="s">
        <v>1</v>
      </c>
      <c r="D97" s="77" t="s">
        <v>20</v>
      </c>
      <c r="E97" s="188" t="s">
        <v>320</v>
      </c>
      <c r="F97" s="196">
        <v>4</v>
      </c>
    </row>
    <row r="98" spans="2:6" ht="29">
      <c r="B98" s="77">
        <v>2026</v>
      </c>
      <c r="C98" s="182" t="s">
        <v>1</v>
      </c>
      <c r="D98" s="77" t="s">
        <v>20</v>
      </c>
      <c r="E98" s="190" t="s">
        <v>322</v>
      </c>
      <c r="F98" s="197">
        <v>0</v>
      </c>
    </row>
    <row r="99" spans="2:6">
      <c r="B99" s="77">
        <v>2026</v>
      </c>
      <c r="C99" s="182" t="s">
        <v>2</v>
      </c>
      <c r="D99" s="77" t="s">
        <v>17</v>
      </c>
      <c r="E99" s="184" t="s">
        <v>318</v>
      </c>
      <c r="F99" s="196">
        <v>475</v>
      </c>
    </row>
    <row r="100" spans="2:6">
      <c r="B100" s="77">
        <v>2026</v>
      </c>
      <c r="C100" s="182" t="s">
        <v>2</v>
      </c>
      <c r="D100" s="77" t="s">
        <v>17</v>
      </c>
      <c r="E100" s="186" t="s">
        <v>141</v>
      </c>
      <c r="F100" s="197">
        <v>21</v>
      </c>
    </row>
    <row r="101" spans="2:6">
      <c r="B101" s="77">
        <v>2026</v>
      </c>
      <c r="C101" s="182" t="s">
        <v>2</v>
      </c>
      <c r="D101" s="77" t="s">
        <v>17</v>
      </c>
      <c r="E101" s="188" t="s">
        <v>320</v>
      </c>
      <c r="F101" s="196">
        <v>8</v>
      </c>
    </row>
    <row r="102" spans="2:6" ht="29">
      <c r="B102" s="77">
        <v>2026</v>
      </c>
      <c r="C102" s="182" t="s">
        <v>2</v>
      </c>
      <c r="D102" s="77" t="s">
        <v>17</v>
      </c>
      <c r="E102" s="190" t="s">
        <v>322</v>
      </c>
      <c r="F102" s="197">
        <v>0</v>
      </c>
    </row>
    <row r="103" spans="2:6">
      <c r="B103" s="77">
        <v>2026</v>
      </c>
      <c r="C103" s="182" t="s">
        <v>2</v>
      </c>
      <c r="D103" s="77" t="s">
        <v>21</v>
      </c>
      <c r="E103" s="184" t="s">
        <v>318</v>
      </c>
      <c r="F103" s="196">
        <v>198</v>
      </c>
    </row>
    <row r="104" spans="2:6">
      <c r="B104" s="77">
        <v>2026</v>
      </c>
      <c r="C104" s="182" t="s">
        <v>2</v>
      </c>
      <c r="D104" s="77" t="s">
        <v>21</v>
      </c>
      <c r="E104" s="186" t="s">
        <v>141</v>
      </c>
      <c r="F104" s="197">
        <v>23</v>
      </c>
    </row>
    <row r="105" spans="2:6">
      <c r="B105" s="77">
        <v>2026</v>
      </c>
      <c r="C105" s="182" t="s">
        <v>2</v>
      </c>
      <c r="D105" s="77" t="s">
        <v>21</v>
      </c>
      <c r="E105" s="188" t="s">
        <v>320</v>
      </c>
      <c r="F105" s="196">
        <v>10</v>
      </c>
    </row>
    <row r="106" spans="2:6" ht="29">
      <c r="B106" s="77">
        <v>2026</v>
      </c>
      <c r="C106" s="182" t="s">
        <v>2</v>
      </c>
      <c r="D106" s="77" t="s">
        <v>21</v>
      </c>
      <c r="E106" s="190" t="s">
        <v>322</v>
      </c>
      <c r="F106" s="197">
        <v>0</v>
      </c>
    </row>
    <row r="107" spans="2:6">
      <c r="B107" s="77">
        <v>2026</v>
      </c>
      <c r="C107" s="182" t="s">
        <v>2</v>
      </c>
      <c r="D107" s="77" t="s">
        <v>15</v>
      </c>
      <c r="E107" s="184" t="s">
        <v>318</v>
      </c>
      <c r="F107" s="196">
        <v>139</v>
      </c>
    </row>
    <row r="108" spans="2:6">
      <c r="B108" s="77">
        <v>2026</v>
      </c>
      <c r="C108" s="182" t="s">
        <v>2</v>
      </c>
      <c r="D108" s="77" t="s">
        <v>15</v>
      </c>
      <c r="E108" s="186" t="s">
        <v>141</v>
      </c>
      <c r="F108" s="197">
        <v>8</v>
      </c>
    </row>
    <row r="109" spans="2:6">
      <c r="B109" s="77">
        <v>2026</v>
      </c>
      <c r="C109" s="182" t="s">
        <v>2</v>
      </c>
      <c r="D109" s="77" t="s">
        <v>15</v>
      </c>
      <c r="E109" s="188" t="s">
        <v>320</v>
      </c>
      <c r="F109" s="196">
        <v>7</v>
      </c>
    </row>
    <row r="110" spans="2:6" ht="29">
      <c r="B110" s="77">
        <v>2026</v>
      </c>
      <c r="C110" s="182" t="s">
        <v>2</v>
      </c>
      <c r="D110" s="77" t="s">
        <v>15</v>
      </c>
      <c r="E110" s="190" t="s">
        <v>322</v>
      </c>
      <c r="F110" s="197">
        <v>0</v>
      </c>
    </row>
    <row r="111" spans="2:6">
      <c r="B111" s="77">
        <v>2026</v>
      </c>
      <c r="C111" s="182" t="s">
        <v>2</v>
      </c>
      <c r="D111" s="77" t="s">
        <v>16</v>
      </c>
      <c r="E111" s="184" t="s">
        <v>318</v>
      </c>
      <c r="F111" s="196">
        <v>228</v>
      </c>
    </row>
    <row r="112" spans="2:6">
      <c r="B112" s="77">
        <v>2026</v>
      </c>
      <c r="C112" s="182" t="s">
        <v>2</v>
      </c>
      <c r="D112" s="77" t="s">
        <v>16</v>
      </c>
      <c r="E112" s="186" t="s">
        <v>141</v>
      </c>
      <c r="F112" s="197">
        <v>29</v>
      </c>
    </row>
    <row r="113" spans="2:6">
      <c r="B113" s="77">
        <v>2026</v>
      </c>
      <c r="C113" s="182" t="s">
        <v>2</v>
      </c>
      <c r="D113" s="77" t="s">
        <v>16</v>
      </c>
      <c r="E113" s="188" t="s">
        <v>320</v>
      </c>
      <c r="F113" s="196">
        <v>9</v>
      </c>
    </row>
    <row r="114" spans="2:6" ht="29">
      <c r="B114" s="77">
        <v>2026</v>
      </c>
      <c r="C114" s="182" t="s">
        <v>2</v>
      </c>
      <c r="D114" s="77" t="s">
        <v>16</v>
      </c>
      <c r="E114" s="190" t="s">
        <v>322</v>
      </c>
      <c r="F114" s="197">
        <v>0</v>
      </c>
    </row>
    <row r="115" spans="2:6">
      <c r="B115" s="77">
        <v>2026</v>
      </c>
      <c r="C115" s="182" t="s">
        <v>2</v>
      </c>
      <c r="D115" s="77" t="s">
        <v>14</v>
      </c>
      <c r="E115" s="184" t="s">
        <v>318</v>
      </c>
      <c r="F115" s="196">
        <v>204</v>
      </c>
    </row>
    <row r="116" spans="2:6">
      <c r="B116" s="77">
        <v>2026</v>
      </c>
      <c r="C116" s="182" t="s">
        <v>2</v>
      </c>
      <c r="D116" s="77" t="s">
        <v>14</v>
      </c>
      <c r="E116" s="186" t="s">
        <v>141</v>
      </c>
      <c r="F116" s="197">
        <v>24</v>
      </c>
    </row>
    <row r="117" spans="2:6">
      <c r="B117" s="77">
        <v>2026</v>
      </c>
      <c r="C117" s="182" t="s">
        <v>2</v>
      </c>
      <c r="D117" s="77" t="s">
        <v>14</v>
      </c>
      <c r="E117" s="188" t="s">
        <v>320</v>
      </c>
      <c r="F117" s="196">
        <v>11</v>
      </c>
    </row>
    <row r="118" spans="2:6" ht="29">
      <c r="B118" s="77">
        <v>2026</v>
      </c>
      <c r="C118" s="182" t="s">
        <v>2</v>
      </c>
      <c r="D118" s="77" t="s">
        <v>14</v>
      </c>
      <c r="E118" s="190" t="s">
        <v>322</v>
      </c>
      <c r="F118" s="197">
        <v>0</v>
      </c>
    </row>
    <row r="119" spans="2:6">
      <c r="B119" s="77">
        <v>2026</v>
      </c>
      <c r="C119" s="182" t="s">
        <v>2</v>
      </c>
      <c r="D119" s="77" t="s">
        <v>13</v>
      </c>
      <c r="E119" s="184" t="s">
        <v>318</v>
      </c>
      <c r="F119" s="196">
        <v>113</v>
      </c>
    </row>
    <row r="120" spans="2:6">
      <c r="B120" s="77">
        <v>2026</v>
      </c>
      <c r="C120" s="182" t="s">
        <v>2</v>
      </c>
      <c r="D120" s="77" t="s">
        <v>13</v>
      </c>
      <c r="E120" s="186" t="s">
        <v>141</v>
      </c>
      <c r="F120" s="197">
        <v>12</v>
      </c>
    </row>
    <row r="121" spans="2:6">
      <c r="B121" s="77">
        <v>2026</v>
      </c>
      <c r="C121" s="182" t="s">
        <v>2</v>
      </c>
      <c r="D121" s="77" t="s">
        <v>13</v>
      </c>
      <c r="E121" s="188" t="s">
        <v>320</v>
      </c>
      <c r="F121" s="196">
        <v>6</v>
      </c>
    </row>
    <row r="122" spans="2:6" ht="29">
      <c r="B122" s="77">
        <v>2026</v>
      </c>
      <c r="C122" s="182" t="s">
        <v>2</v>
      </c>
      <c r="D122" s="77" t="s">
        <v>13</v>
      </c>
      <c r="E122" s="190" t="s">
        <v>322</v>
      </c>
      <c r="F122" s="197">
        <v>0</v>
      </c>
    </row>
    <row r="123" spans="2:6">
      <c r="B123" s="77">
        <v>2026</v>
      </c>
      <c r="C123" s="182" t="s">
        <v>2</v>
      </c>
      <c r="D123" s="77" t="s">
        <v>19</v>
      </c>
      <c r="E123" s="184" t="s">
        <v>318</v>
      </c>
      <c r="F123" s="196">
        <v>1120</v>
      </c>
    </row>
    <row r="124" spans="2:6">
      <c r="B124" s="77">
        <v>2026</v>
      </c>
      <c r="C124" s="182" t="s">
        <v>2</v>
      </c>
      <c r="D124" s="77" t="s">
        <v>19</v>
      </c>
      <c r="E124" s="186" t="s">
        <v>141</v>
      </c>
      <c r="F124" s="197">
        <v>152</v>
      </c>
    </row>
    <row r="125" spans="2:6">
      <c r="B125" s="77">
        <v>2026</v>
      </c>
      <c r="C125" s="182" t="s">
        <v>2</v>
      </c>
      <c r="D125" s="77" t="s">
        <v>19</v>
      </c>
      <c r="E125" s="188" t="s">
        <v>320</v>
      </c>
      <c r="F125" s="196">
        <v>61</v>
      </c>
    </row>
    <row r="126" spans="2:6" ht="29">
      <c r="B126" s="77">
        <v>2026</v>
      </c>
      <c r="C126" s="182" t="s">
        <v>2</v>
      </c>
      <c r="D126" s="77" t="s">
        <v>19</v>
      </c>
      <c r="E126" s="190" t="s">
        <v>322</v>
      </c>
      <c r="F126" s="197">
        <v>0</v>
      </c>
    </row>
    <row r="127" spans="2:6">
      <c r="B127" s="77">
        <v>2026</v>
      </c>
      <c r="C127" s="182" t="s">
        <v>2</v>
      </c>
      <c r="D127" s="77" t="s">
        <v>12</v>
      </c>
      <c r="E127" s="184" t="s">
        <v>318</v>
      </c>
      <c r="F127" s="196">
        <v>778</v>
      </c>
    </row>
    <row r="128" spans="2:6">
      <c r="B128" s="77">
        <v>2026</v>
      </c>
      <c r="C128" s="182" t="s">
        <v>2</v>
      </c>
      <c r="D128" s="77" t="s">
        <v>12</v>
      </c>
      <c r="E128" s="186" t="s">
        <v>141</v>
      </c>
      <c r="F128" s="197">
        <v>76</v>
      </c>
    </row>
    <row r="129" spans="2:6">
      <c r="B129" s="77">
        <v>2026</v>
      </c>
      <c r="C129" s="182" t="s">
        <v>2</v>
      </c>
      <c r="D129" s="77" t="s">
        <v>12</v>
      </c>
      <c r="E129" s="188" t="s">
        <v>320</v>
      </c>
      <c r="F129" s="196">
        <v>16</v>
      </c>
    </row>
    <row r="130" spans="2:6" ht="29">
      <c r="B130" s="77">
        <v>2026</v>
      </c>
      <c r="C130" s="182" t="s">
        <v>2</v>
      </c>
      <c r="D130" s="77" t="s">
        <v>12</v>
      </c>
      <c r="E130" s="190" t="s">
        <v>322</v>
      </c>
      <c r="F130" s="197">
        <v>0</v>
      </c>
    </row>
    <row r="131" spans="2:6">
      <c r="B131" s="77">
        <v>2026</v>
      </c>
      <c r="C131" s="182" t="s">
        <v>2</v>
      </c>
      <c r="D131" s="77" t="s">
        <v>22</v>
      </c>
      <c r="E131" s="184" t="s">
        <v>318</v>
      </c>
      <c r="F131" s="196">
        <v>843</v>
      </c>
    </row>
    <row r="132" spans="2:6">
      <c r="B132" s="77">
        <v>2026</v>
      </c>
      <c r="C132" s="182" t="s">
        <v>2</v>
      </c>
      <c r="D132" s="77" t="s">
        <v>22</v>
      </c>
      <c r="E132" s="186" t="s">
        <v>141</v>
      </c>
      <c r="F132" s="197">
        <v>118</v>
      </c>
    </row>
    <row r="133" spans="2:6">
      <c r="B133" s="77">
        <v>2026</v>
      </c>
      <c r="C133" s="182" t="s">
        <v>2</v>
      </c>
      <c r="D133" s="77" t="s">
        <v>22</v>
      </c>
      <c r="E133" s="188" t="s">
        <v>320</v>
      </c>
      <c r="F133" s="196">
        <v>35</v>
      </c>
    </row>
    <row r="134" spans="2:6" ht="29">
      <c r="B134" s="77">
        <v>2026</v>
      </c>
      <c r="C134" s="182" t="s">
        <v>2</v>
      </c>
      <c r="D134" s="77" t="s">
        <v>22</v>
      </c>
      <c r="E134" s="190" t="s">
        <v>322</v>
      </c>
      <c r="F134" s="197">
        <v>0</v>
      </c>
    </row>
    <row r="135" spans="2:6">
      <c r="B135" s="77">
        <v>2026</v>
      </c>
      <c r="C135" s="182" t="s">
        <v>2</v>
      </c>
      <c r="D135" s="77" t="s">
        <v>11</v>
      </c>
      <c r="E135" s="184" t="s">
        <v>318</v>
      </c>
      <c r="F135" s="196">
        <v>770</v>
      </c>
    </row>
    <row r="136" spans="2:6">
      <c r="B136" s="77">
        <v>2026</v>
      </c>
      <c r="C136" s="182" t="s">
        <v>2</v>
      </c>
      <c r="D136" s="77" t="s">
        <v>11</v>
      </c>
      <c r="E136" s="186" t="s">
        <v>141</v>
      </c>
      <c r="F136" s="197">
        <v>79</v>
      </c>
    </row>
    <row r="137" spans="2:6">
      <c r="B137" s="77">
        <v>2026</v>
      </c>
      <c r="C137" s="182" t="s">
        <v>2</v>
      </c>
      <c r="D137" s="77" t="s">
        <v>11</v>
      </c>
      <c r="E137" s="188" t="s">
        <v>320</v>
      </c>
      <c r="F137" s="196">
        <v>23</v>
      </c>
    </row>
    <row r="138" spans="2:6" ht="29">
      <c r="B138" s="77">
        <v>2026</v>
      </c>
      <c r="C138" s="182" t="s">
        <v>2</v>
      </c>
      <c r="D138" s="77" t="s">
        <v>11</v>
      </c>
      <c r="E138" s="190" t="s">
        <v>322</v>
      </c>
      <c r="F138" s="197">
        <v>0</v>
      </c>
    </row>
    <row r="139" spans="2:6">
      <c r="B139" s="77">
        <v>2026</v>
      </c>
      <c r="C139" s="182" t="s">
        <v>2</v>
      </c>
      <c r="D139" s="77" t="s">
        <v>18</v>
      </c>
      <c r="E139" s="184" t="s">
        <v>318</v>
      </c>
      <c r="F139" s="196">
        <v>535</v>
      </c>
    </row>
    <row r="140" spans="2:6">
      <c r="B140" s="77">
        <v>2026</v>
      </c>
      <c r="C140" s="182" t="s">
        <v>2</v>
      </c>
      <c r="D140" s="77" t="s">
        <v>18</v>
      </c>
      <c r="E140" s="186" t="s">
        <v>141</v>
      </c>
      <c r="F140" s="197">
        <v>70</v>
      </c>
    </row>
    <row r="141" spans="2:6">
      <c r="B141" s="77">
        <v>2026</v>
      </c>
      <c r="C141" s="182" t="s">
        <v>2</v>
      </c>
      <c r="D141" s="77" t="s">
        <v>18</v>
      </c>
      <c r="E141" s="188" t="s">
        <v>320</v>
      </c>
      <c r="F141" s="196">
        <v>14</v>
      </c>
    </row>
    <row r="142" spans="2:6" ht="29">
      <c r="B142" s="77">
        <v>2026</v>
      </c>
      <c r="C142" s="182" t="s">
        <v>2</v>
      </c>
      <c r="D142" s="77" t="s">
        <v>18</v>
      </c>
      <c r="E142" s="190" t="s">
        <v>322</v>
      </c>
      <c r="F142" s="197">
        <v>0</v>
      </c>
    </row>
    <row r="143" spans="2:6">
      <c r="B143" s="77">
        <v>2026</v>
      </c>
      <c r="C143" s="182" t="s">
        <v>2</v>
      </c>
      <c r="D143" s="77" t="s">
        <v>20</v>
      </c>
      <c r="E143" s="184" t="s">
        <v>318</v>
      </c>
      <c r="F143" s="196">
        <v>943</v>
      </c>
    </row>
    <row r="144" spans="2:6">
      <c r="B144" s="77">
        <v>2026</v>
      </c>
      <c r="C144" s="182" t="s">
        <v>2</v>
      </c>
      <c r="D144" s="77" t="s">
        <v>20</v>
      </c>
      <c r="E144" s="186" t="s">
        <v>141</v>
      </c>
      <c r="F144" s="197">
        <v>100</v>
      </c>
    </row>
    <row r="145" spans="2:6">
      <c r="B145" s="77">
        <v>2026</v>
      </c>
      <c r="C145" s="182" t="s">
        <v>2</v>
      </c>
      <c r="D145" s="77" t="s">
        <v>20</v>
      </c>
      <c r="E145" s="188" t="s">
        <v>320</v>
      </c>
      <c r="F145" s="196">
        <v>21</v>
      </c>
    </row>
    <row r="146" spans="2:6" ht="29">
      <c r="B146" s="77">
        <v>2026</v>
      </c>
      <c r="C146" s="182" t="s">
        <v>2</v>
      </c>
      <c r="D146" s="77" t="s">
        <v>20</v>
      </c>
      <c r="E146" s="190" t="s">
        <v>322</v>
      </c>
      <c r="F146" s="197">
        <v>0</v>
      </c>
    </row>
    <row r="147" spans="2:6">
      <c r="B147" s="77">
        <v>2026</v>
      </c>
      <c r="C147" s="182" t="s">
        <v>3</v>
      </c>
      <c r="D147" s="77" t="s">
        <v>17</v>
      </c>
      <c r="E147" s="184" t="s">
        <v>318</v>
      </c>
      <c r="F147" s="196">
        <v>48</v>
      </c>
    </row>
    <row r="148" spans="2:6">
      <c r="B148" s="77">
        <v>2026</v>
      </c>
      <c r="C148" s="182" t="s">
        <v>3</v>
      </c>
      <c r="D148" s="77" t="s">
        <v>17</v>
      </c>
      <c r="E148" s="186" t="s">
        <v>141</v>
      </c>
      <c r="F148" s="197">
        <v>22</v>
      </c>
    </row>
    <row r="149" spans="2:6">
      <c r="B149" s="77">
        <v>2026</v>
      </c>
      <c r="C149" s="182" t="s">
        <v>3</v>
      </c>
      <c r="D149" s="77" t="s">
        <v>17</v>
      </c>
      <c r="E149" s="188" t="s">
        <v>320</v>
      </c>
      <c r="F149" s="196">
        <v>0</v>
      </c>
    </row>
    <row r="150" spans="2:6" ht="29">
      <c r="B150" s="77">
        <v>2026</v>
      </c>
      <c r="C150" s="182" t="s">
        <v>3</v>
      </c>
      <c r="D150" s="77" t="s">
        <v>17</v>
      </c>
      <c r="E150" s="190" t="s">
        <v>322</v>
      </c>
      <c r="F150" s="197">
        <v>0</v>
      </c>
    </row>
    <row r="151" spans="2:6">
      <c r="B151" s="77">
        <v>2026</v>
      </c>
      <c r="C151" s="182" t="s">
        <v>3</v>
      </c>
      <c r="D151" s="77" t="s">
        <v>21</v>
      </c>
      <c r="E151" s="184" t="s">
        <v>318</v>
      </c>
      <c r="F151" s="196">
        <v>70</v>
      </c>
    </row>
    <row r="152" spans="2:6">
      <c r="B152" s="77">
        <v>2026</v>
      </c>
      <c r="C152" s="182" t="s">
        <v>3</v>
      </c>
      <c r="D152" s="77" t="s">
        <v>21</v>
      </c>
      <c r="E152" s="186" t="s">
        <v>141</v>
      </c>
      <c r="F152" s="197">
        <v>23</v>
      </c>
    </row>
    <row r="153" spans="2:6">
      <c r="B153" s="77">
        <v>2026</v>
      </c>
      <c r="C153" s="182" t="s">
        <v>3</v>
      </c>
      <c r="D153" s="77" t="s">
        <v>21</v>
      </c>
      <c r="E153" s="188" t="s">
        <v>320</v>
      </c>
      <c r="F153" s="196">
        <v>0</v>
      </c>
    </row>
    <row r="154" spans="2:6" ht="29">
      <c r="B154" s="77">
        <v>2026</v>
      </c>
      <c r="C154" s="182" t="s">
        <v>3</v>
      </c>
      <c r="D154" s="77" t="s">
        <v>21</v>
      </c>
      <c r="E154" s="190" t="s">
        <v>322</v>
      </c>
      <c r="F154" s="197">
        <v>0</v>
      </c>
    </row>
    <row r="155" spans="2:6">
      <c r="B155" s="77">
        <v>2026</v>
      </c>
      <c r="C155" s="182" t="s">
        <v>3</v>
      </c>
      <c r="D155" s="77" t="s">
        <v>15</v>
      </c>
      <c r="E155" s="184" t="s">
        <v>318</v>
      </c>
      <c r="F155" s="196">
        <v>231</v>
      </c>
    </row>
    <row r="156" spans="2:6">
      <c r="B156" s="77">
        <v>2026</v>
      </c>
      <c r="C156" s="182" t="s">
        <v>3</v>
      </c>
      <c r="D156" s="77" t="s">
        <v>15</v>
      </c>
      <c r="E156" s="186" t="s">
        <v>141</v>
      </c>
      <c r="F156" s="197">
        <v>11</v>
      </c>
    </row>
    <row r="157" spans="2:6">
      <c r="B157" s="77">
        <v>2026</v>
      </c>
      <c r="C157" s="182" t="s">
        <v>3</v>
      </c>
      <c r="D157" s="77" t="s">
        <v>15</v>
      </c>
      <c r="E157" s="188" t="s">
        <v>320</v>
      </c>
      <c r="F157" s="196">
        <v>8</v>
      </c>
    </row>
    <row r="158" spans="2:6" ht="29">
      <c r="B158" s="77">
        <v>2026</v>
      </c>
      <c r="C158" s="182" t="s">
        <v>3</v>
      </c>
      <c r="D158" s="77" t="s">
        <v>15</v>
      </c>
      <c r="E158" s="190" t="s">
        <v>322</v>
      </c>
      <c r="F158" s="197">
        <v>0</v>
      </c>
    </row>
    <row r="159" spans="2:6">
      <c r="B159" s="77">
        <v>2026</v>
      </c>
      <c r="C159" s="182" t="s">
        <v>3</v>
      </c>
      <c r="D159" s="77" t="s">
        <v>16</v>
      </c>
      <c r="E159" s="184" t="s">
        <v>318</v>
      </c>
      <c r="F159" s="196">
        <v>257</v>
      </c>
    </row>
    <row r="160" spans="2:6">
      <c r="B160" s="77">
        <v>2026</v>
      </c>
      <c r="C160" s="182" t="s">
        <v>3</v>
      </c>
      <c r="D160" s="77" t="s">
        <v>16</v>
      </c>
      <c r="E160" s="186" t="s">
        <v>141</v>
      </c>
      <c r="F160" s="197">
        <v>1</v>
      </c>
    </row>
    <row r="161" spans="2:6">
      <c r="B161" s="77">
        <v>2026</v>
      </c>
      <c r="C161" s="182" t="s">
        <v>3</v>
      </c>
      <c r="D161" s="77" t="s">
        <v>16</v>
      </c>
      <c r="E161" s="188" t="s">
        <v>320</v>
      </c>
      <c r="F161" s="196">
        <v>0</v>
      </c>
    </row>
    <row r="162" spans="2:6" ht="29">
      <c r="B162" s="77">
        <v>2026</v>
      </c>
      <c r="C162" s="182" t="s">
        <v>3</v>
      </c>
      <c r="D162" s="77" t="s">
        <v>16</v>
      </c>
      <c r="E162" s="190" t="s">
        <v>322</v>
      </c>
      <c r="F162" s="197">
        <v>0</v>
      </c>
    </row>
    <row r="163" spans="2:6">
      <c r="B163" s="77">
        <v>2026</v>
      </c>
      <c r="C163" s="182" t="s">
        <v>3</v>
      </c>
      <c r="D163" s="77" t="s">
        <v>14</v>
      </c>
      <c r="E163" s="184" t="s">
        <v>318</v>
      </c>
      <c r="F163" s="196">
        <v>311</v>
      </c>
    </row>
    <row r="164" spans="2:6">
      <c r="B164" s="77">
        <v>2026</v>
      </c>
      <c r="C164" s="182" t="s">
        <v>3</v>
      </c>
      <c r="D164" s="77" t="s">
        <v>14</v>
      </c>
      <c r="E164" s="186" t="s">
        <v>141</v>
      </c>
      <c r="F164" s="197">
        <v>4</v>
      </c>
    </row>
    <row r="165" spans="2:6">
      <c r="B165" s="77">
        <v>2026</v>
      </c>
      <c r="C165" s="182" t="s">
        <v>3</v>
      </c>
      <c r="D165" s="77" t="s">
        <v>14</v>
      </c>
      <c r="E165" s="188" t="s">
        <v>320</v>
      </c>
      <c r="F165" s="196">
        <v>1</v>
      </c>
    </row>
    <row r="166" spans="2:6" ht="29">
      <c r="B166" s="77">
        <v>2026</v>
      </c>
      <c r="C166" s="182" t="s">
        <v>3</v>
      </c>
      <c r="D166" s="77" t="s">
        <v>14</v>
      </c>
      <c r="E166" s="190" t="s">
        <v>322</v>
      </c>
      <c r="F166" s="197">
        <v>0</v>
      </c>
    </row>
    <row r="167" spans="2:6">
      <c r="B167" s="77">
        <v>2026</v>
      </c>
      <c r="C167" s="182" t="s">
        <v>3</v>
      </c>
      <c r="D167" s="77" t="s">
        <v>13</v>
      </c>
      <c r="E167" s="184" t="s">
        <v>318</v>
      </c>
      <c r="F167" s="196">
        <v>55</v>
      </c>
    </row>
    <row r="168" spans="2:6">
      <c r="B168" s="77">
        <v>2026</v>
      </c>
      <c r="C168" s="182" t="s">
        <v>3</v>
      </c>
      <c r="D168" s="77" t="s">
        <v>13</v>
      </c>
      <c r="E168" s="186" t="s">
        <v>141</v>
      </c>
      <c r="F168" s="197">
        <v>22</v>
      </c>
    </row>
    <row r="169" spans="2:6">
      <c r="B169" s="77">
        <v>2026</v>
      </c>
      <c r="C169" s="182" t="s">
        <v>3</v>
      </c>
      <c r="D169" s="77" t="s">
        <v>13</v>
      </c>
      <c r="E169" s="188" t="s">
        <v>320</v>
      </c>
      <c r="F169" s="196">
        <v>10</v>
      </c>
    </row>
    <row r="170" spans="2:6" ht="29">
      <c r="B170" s="77">
        <v>2026</v>
      </c>
      <c r="C170" s="182" t="s">
        <v>3</v>
      </c>
      <c r="D170" s="77" t="s">
        <v>13</v>
      </c>
      <c r="E170" s="190" t="s">
        <v>322</v>
      </c>
      <c r="F170" s="197">
        <v>13</v>
      </c>
    </row>
    <row r="171" spans="2:6">
      <c r="B171" s="77">
        <v>2026</v>
      </c>
      <c r="C171" s="182" t="s">
        <v>3</v>
      </c>
      <c r="D171" s="77" t="s">
        <v>19</v>
      </c>
      <c r="E171" s="184" t="s">
        <v>318</v>
      </c>
      <c r="F171" s="196">
        <v>114</v>
      </c>
    </row>
    <row r="172" spans="2:6">
      <c r="B172" s="77">
        <v>2026</v>
      </c>
      <c r="C172" s="182" t="s">
        <v>3</v>
      </c>
      <c r="D172" s="77" t="s">
        <v>19</v>
      </c>
      <c r="E172" s="186" t="s">
        <v>141</v>
      </c>
      <c r="F172" s="197">
        <v>8</v>
      </c>
    </row>
    <row r="173" spans="2:6">
      <c r="B173" s="77">
        <v>2026</v>
      </c>
      <c r="C173" s="182" t="s">
        <v>3</v>
      </c>
      <c r="D173" s="77" t="s">
        <v>19</v>
      </c>
      <c r="E173" s="188" t="s">
        <v>320</v>
      </c>
      <c r="F173" s="196">
        <v>1</v>
      </c>
    </row>
    <row r="174" spans="2:6" ht="29">
      <c r="B174" s="77">
        <v>2026</v>
      </c>
      <c r="C174" s="182" t="s">
        <v>3</v>
      </c>
      <c r="D174" s="77" t="s">
        <v>19</v>
      </c>
      <c r="E174" s="190" t="s">
        <v>322</v>
      </c>
      <c r="F174" s="197">
        <v>0</v>
      </c>
    </row>
    <row r="175" spans="2:6">
      <c r="B175" s="77">
        <v>2026</v>
      </c>
      <c r="C175" s="182" t="s">
        <v>3</v>
      </c>
      <c r="D175" s="77" t="s">
        <v>12</v>
      </c>
      <c r="E175" s="184" t="s">
        <v>318</v>
      </c>
      <c r="F175" s="196">
        <v>106</v>
      </c>
    </row>
    <row r="176" spans="2:6">
      <c r="B176" s="77">
        <v>2026</v>
      </c>
      <c r="C176" s="182" t="s">
        <v>3</v>
      </c>
      <c r="D176" s="77" t="s">
        <v>12</v>
      </c>
      <c r="E176" s="186" t="s">
        <v>141</v>
      </c>
      <c r="F176" s="197">
        <v>11</v>
      </c>
    </row>
    <row r="177" spans="2:6">
      <c r="B177" s="77">
        <v>2026</v>
      </c>
      <c r="C177" s="182" t="s">
        <v>3</v>
      </c>
      <c r="D177" s="77" t="s">
        <v>12</v>
      </c>
      <c r="E177" s="188" t="s">
        <v>320</v>
      </c>
      <c r="F177" s="196">
        <v>1</v>
      </c>
    </row>
    <row r="178" spans="2:6" ht="29">
      <c r="B178" s="77">
        <v>2026</v>
      </c>
      <c r="C178" s="182" t="s">
        <v>3</v>
      </c>
      <c r="D178" s="77" t="s">
        <v>12</v>
      </c>
      <c r="E178" s="190" t="s">
        <v>322</v>
      </c>
      <c r="F178" s="197">
        <v>0</v>
      </c>
    </row>
    <row r="179" spans="2:6">
      <c r="B179" s="77">
        <v>2026</v>
      </c>
      <c r="C179" s="182" t="s">
        <v>3</v>
      </c>
      <c r="D179" s="77" t="s">
        <v>22</v>
      </c>
      <c r="E179" s="184" t="s">
        <v>318</v>
      </c>
      <c r="F179" s="196">
        <v>148</v>
      </c>
    </row>
    <row r="180" spans="2:6">
      <c r="B180" s="77">
        <v>2026</v>
      </c>
      <c r="C180" s="182" t="s">
        <v>3</v>
      </c>
      <c r="D180" s="77" t="s">
        <v>22</v>
      </c>
      <c r="E180" s="186" t="s">
        <v>141</v>
      </c>
      <c r="F180" s="197">
        <v>23</v>
      </c>
    </row>
    <row r="181" spans="2:6">
      <c r="B181" s="77">
        <v>2026</v>
      </c>
      <c r="C181" s="182" t="s">
        <v>3</v>
      </c>
      <c r="D181" s="77" t="s">
        <v>22</v>
      </c>
      <c r="E181" s="188" t="s">
        <v>320</v>
      </c>
      <c r="F181" s="196">
        <v>0</v>
      </c>
    </row>
    <row r="182" spans="2:6" ht="29">
      <c r="B182" s="77">
        <v>2026</v>
      </c>
      <c r="C182" s="182" t="s">
        <v>3</v>
      </c>
      <c r="D182" s="77" t="s">
        <v>22</v>
      </c>
      <c r="E182" s="190" t="s">
        <v>322</v>
      </c>
      <c r="F182" s="197">
        <v>0</v>
      </c>
    </row>
    <row r="183" spans="2:6">
      <c r="B183" s="77">
        <v>2026</v>
      </c>
      <c r="C183" s="182" t="s">
        <v>3</v>
      </c>
      <c r="D183" s="77" t="s">
        <v>11</v>
      </c>
      <c r="E183" s="184" t="s">
        <v>318</v>
      </c>
      <c r="F183" s="196">
        <v>941</v>
      </c>
    </row>
    <row r="184" spans="2:6">
      <c r="B184" s="77">
        <v>2026</v>
      </c>
      <c r="C184" s="182" t="s">
        <v>3</v>
      </c>
      <c r="D184" s="77" t="s">
        <v>11</v>
      </c>
      <c r="E184" s="186" t="s">
        <v>141</v>
      </c>
      <c r="F184" s="197">
        <v>6</v>
      </c>
    </row>
    <row r="185" spans="2:6">
      <c r="B185" s="77">
        <v>2026</v>
      </c>
      <c r="C185" s="182" t="s">
        <v>3</v>
      </c>
      <c r="D185" s="77" t="s">
        <v>11</v>
      </c>
      <c r="E185" s="188" t="s">
        <v>320</v>
      </c>
      <c r="F185" s="196">
        <v>0</v>
      </c>
    </row>
    <row r="186" spans="2:6" ht="29">
      <c r="B186" s="77">
        <v>2026</v>
      </c>
      <c r="C186" s="182" t="s">
        <v>3</v>
      </c>
      <c r="D186" s="77" t="s">
        <v>11</v>
      </c>
      <c r="E186" s="190" t="s">
        <v>322</v>
      </c>
      <c r="F186" s="197">
        <v>0</v>
      </c>
    </row>
    <row r="187" spans="2:6">
      <c r="B187" s="77">
        <v>2026</v>
      </c>
      <c r="C187" s="182" t="s">
        <v>3</v>
      </c>
      <c r="D187" s="77" t="s">
        <v>18</v>
      </c>
      <c r="E187" s="184" t="s">
        <v>318</v>
      </c>
      <c r="F187" s="196">
        <v>122</v>
      </c>
    </row>
    <row r="188" spans="2:6">
      <c r="B188" s="77">
        <v>2026</v>
      </c>
      <c r="C188" s="182" t="s">
        <v>3</v>
      </c>
      <c r="D188" s="77" t="s">
        <v>18</v>
      </c>
      <c r="E188" s="186" t="s">
        <v>141</v>
      </c>
      <c r="F188" s="197">
        <v>29</v>
      </c>
    </row>
    <row r="189" spans="2:6">
      <c r="B189" s="77">
        <v>2026</v>
      </c>
      <c r="C189" s="182" t="s">
        <v>3</v>
      </c>
      <c r="D189" s="77" t="s">
        <v>18</v>
      </c>
      <c r="E189" s="188" t="s">
        <v>320</v>
      </c>
      <c r="F189" s="196">
        <v>4</v>
      </c>
    </row>
    <row r="190" spans="2:6" ht="29">
      <c r="B190" s="77">
        <v>2026</v>
      </c>
      <c r="C190" s="182" t="s">
        <v>3</v>
      </c>
      <c r="D190" s="77" t="s">
        <v>18</v>
      </c>
      <c r="E190" s="190" t="s">
        <v>322</v>
      </c>
      <c r="F190" s="197">
        <v>10</v>
      </c>
    </row>
    <row r="191" spans="2:6">
      <c r="B191" s="77">
        <v>2026</v>
      </c>
      <c r="C191" s="182" t="s">
        <v>3</v>
      </c>
      <c r="D191" s="77" t="s">
        <v>20</v>
      </c>
      <c r="E191" s="184" t="s">
        <v>318</v>
      </c>
      <c r="F191" s="196">
        <v>122</v>
      </c>
    </row>
    <row r="192" spans="2:6">
      <c r="B192" s="77">
        <v>2026</v>
      </c>
      <c r="C192" s="182" t="s">
        <v>3</v>
      </c>
      <c r="D192" s="77" t="s">
        <v>20</v>
      </c>
      <c r="E192" s="186" t="s">
        <v>141</v>
      </c>
      <c r="F192" s="197">
        <v>42</v>
      </c>
    </row>
    <row r="193" spans="2:6">
      <c r="B193" s="77">
        <v>2026</v>
      </c>
      <c r="C193" s="182" t="s">
        <v>3</v>
      </c>
      <c r="D193" s="77" t="s">
        <v>20</v>
      </c>
      <c r="E193" s="188" t="s">
        <v>320</v>
      </c>
      <c r="F193" s="196">
        <v>4</v>
      </c>
    </row>
    <row r="194" spans="2:6" ht="29">
      <c r="B194" s="77">
        <v>2026</v>
      </c>
      <c r="C194" s="182" t="s">
        <v>3</v>
      </c>
      <c r="D194" s="77" t="s">
        <v>20</v>
      </c>
      <c r="E194" s="190" t="s">
        <v>322</v>
      </c>
      <c r="F194" s="197">
        <v>13</v>
      </c>
    </row>
    <row r="195" spans="2:6">
      <c r="B195" s="77">
        <v>2026</v>
      </c>
      <c r="C195" s="182" t="s">
        <v>4</v>
      </c>
      <c r="D195" s="77" t="s">
        <v>17</v>
      </c>
      <c r="E195" s="184" t="s">
        <v>318</v>
      </c>
      <c r="F195" s="196">
        <v>0</v>
      </c>
    </row>
    <row r="196" spans="2:6">
      <c r="B196" s="77">
        <v>2026</v>
      </c>
      <c r="C196" s="182" t="s">
        <v>4</v>
      </c>
      <c r="D196" s="77" t="s">
        <v>17</v>
      </c>
      <c r="E196" s="186" t="s">
        <v>141</v>
      </c>
      <c r="F196" s="197">
        <v>1</v>
      </c>
    </row>
    <row r="197" spans="2:6">
      <c r="B197" s="77">
        <v>2026</v>
      </c>
      <c r="C197" s="182" t="s">
        <v>4</v>
      </c>
      <c r="D197" s="77" t="s">
        <v>17</v>
      </c>
      <c r="E197" s="188" t="s">
        <v>320</v>
      </c>
      <c r="F197" s="196">
        <v>5</v>
      </c>
    </row>
    <row r="198" spans="2:6" ht="29">
      <c r="B198" s="77">
        <v>2026</v>
      </c>
      <c r="C198" s="182" t="s">
        <v>4</v>
      </c>
      <c r="D198" s="77" t="s">
        <v>17</v>
      </c>
      <c r="E198" s="190" t="s">
        <v>322</v>
      </c>
      <c r="F198" s="197">
        <v>0</v>
      </c>
    </row>
    <row r="199" spans="2:6">
      <c r="B199" s="77">
        <v>2026</v>
      </c>
      <c r="C199" s="182" t="s">
        <v>4</v>
      </c>
      <c r="D199" s="77" t="s">
        <v>21</v>
      </c>
      <c r="E199" s="184" t="s">
        <v>318</v>
      </c>
      <c r="F199" s="196">
        <v>1493</v>
      </c>
    </row>
    <row r="200" spans="2:6">
      <c r="B200" s="77">
        <v>2026</v>
      </c>
      <c r="C200" s="182" t="s">
        <v>4</v>
      </c>
      <c r="D200" s="77" t="s">
        <v>21</v>
      </c>
      <c r="E200" s="186" t="s">
        <v>141</v>
      </c>
      <c r="F200" s="197">
        <v>0</v>
      </c>
    </row>
    <row r="201" spans="2:6">
      <c r="B201" s="77">
        <v>2026</v>
      </c>
      <c r="C201" s="182" t="s">
        <v>4</v>
      </c>
      <c r="D201" s="77" t="s">
        <v>21</v>
      </c>
      <c r="E201" s="188" t="s">
        <v>320</v>
      </c>
      <c r="F201" s="196">
        <v>0</v>
      </c>
    </row>
    <row r="202" spans="2:6" ht="29">
      <c r="B202" s="77">
        <v>2026</v>
      </c>
      <c r="C202" s="182" t="s">
        <v>4</v>
      </c>
      <c r="D202" s="77" t="s">
        <v>21</v>
      </c>
      <c r="E202" s="190" t="s">
        <v>322</v>
      </c>
      <c r="F202" s="197">
        <v>0</v>
      </c>
    </row>
    <row r="203" spans="2:6">
      <c r="B203" s="77">
        <v>2026</v>
      </c>
      <c r="C203" s="182" t="s">
        <v>4</v>
      </c>
      <c r="D203" s="77" t="s">
        <v>15</v>
      </c>
      <c r="E203" s="184" t="s">
        <v>318</v>
      </c>
      <c r="F203" s="196">
        <v>15</v>
      </c>
    </row>
    <row r="204" spans="2:6">
      <c r="B204" s="77">
        <v>2026</v>
      </c>
      <c r="C204" s="182" t="s">
        <v>4</v>
      </c>
      <c r="D204" s="77" t="s">
        <v>15</v>
      </c>
      <c r="E204" s="186" t="s">
        <v>141</v>
      </c>
      <c r="F204" s="197">
        <v>7</v>
      </c>
    </row>
    <row r="205" spans="2:6">
      <c r="B205" s="77">
        <v>2026</v>
      </c>
      <c r="C205" s="182" t="s">
        <v>4</v>
      </c>
      <c r="D205" s="77" t="s">
        <v>15</v>
      </c>
      <c r="E205" s="188" t="s">
        <v>320</v>
      </c>
      <c r="F205" s="196">
        <v>2</v>
      </c>
    </row>
    <row r="206" spans="2:6" ht="29">
      <c r="B206" s="77">
        <v>2026</v>
      </c>
      <c r="C206" s="182" t="s">
        <v>4</v>
      </c>
      <c r="D206" s="77" t="s">
        <v>15</v>
      </c>
      <c r="E206" s="190" t="s">
        <v>322</v>
      </c>
      <c r="F206" s="197">
        <v>0</v>
      </c>
    </row>
    <row r="207" spans="2:6">
      <c r="B207" s="77">
        <v>2026</v>
      </c>
      <c r="C207" s="182" t="s">
        <v>4</v>
      </c>
      <c r="D207" s="77" t="s">
        <v>16</v>
      </c>
      <c r="E207" s="184" t="s">
        <v>318</v>
      </c>
      <c r="F207" s="196">
        <v>1082</v>
      </c>
    </row>
    <row r="208" spans="2:6">
      <c r="B208" s="77">
        <v>2026</v>
      </c>
      <c r="C208" s="182" t="s">
        <v>4</v>
      </c>
      <c r="D208" s="77" t="s">
        <v>16</v>
      </c>
      <c r="E208" s="186" t="s">
        <v>141</v>
      </c>
      <c r="F208" s="197">
        <v>16</v>
      </c>
    </row>
    <row r="209" spans="2:6">
      <c r="B209" s="77">
        <v>2026</v>
      </c>
      <c r="C209" s="182" t="s">
        <v>4</v>
      </c>
      <c r="D209" s="77" t="s">
        <v>16</v>
      </c>
      <c r="E209" s="188" t="s">
        <v>320</v>
      </c>
      <c r="F209" s="196">
        <v>3</v>
      </c>
    </row>
    <row r="210" spans="2:6" ht="29">
      <c r="B210" s="77">
        <v>2026</v>
      </c>
      <c r="C210" s="182" t="s">
        <v>4</v>
      </c>
      <c r="D210" s="77" t="s">
        <v>16</v>
      </c>
      <c r="E210" s="190" t="s">
        <v>322</v>
      </c>
      <c r="F210" s="197">
        <v>22</v>
      </c>
    </row>
    <row r="211" spans="2:6">
      <c r="B211" s="77">
        <v>2026</v>
      </c>
      <c r="C211" s="182" t="s">
        <v>4</v>
      </c>
      <c r="D211" s="77" t="s">
        <v>14</v>
      </c>
      <c r="E211" s="184" t="s">
        <v>318</v>
      </c>
      <c r="F211" s="196">
        <v>980</v>
      </c>
    </row>
    <row r="212" spans="2:6">
      <c r="B212" s="77">
        <v>2026</v>
      </c>
      <c r="C212" s="182" t="s">
        <v>4</v>
      </c>
      <c r="D212" s="77" t="s">
        <v>14</v>
      </c>
      <c r="E212" s="186" t="s">
        <v>141</v>
      </c>
      <c r="F212" s="197">
        <v>28</v>
      </c>
    </row>
    <row r="213" spans="2:6">
      <c r="B213" s="77">
        <v>2026</v>
      </c>
      <c r="C213" s="182" t="s">
        <v>4</v>
      </c>
      <c r="D213" s="77" t="s">
        <v>14</v>
      </c>
      <c r="E213" s="188" t="s">
        <v>320</v>
      </c>
      <c r="F213" s="196">
        <v>5</v>
      </c>
    </row>
    <row r="214" spans="2:6" ht="29">
      <c r="B214" s="77">
        <v>2026</v>
      </c>
      <c r="C214" s="182" t="s">
        <v>4</v>
      </c>
      <c r="D214" s="77" t="s">
        <v>14</v>
      </c>
      <c r="E214" s="190" t="s">
        <v>322</v>
      </c>
      <c r="F214" s="197">
        <v>0</v>
      </c>
    </row>
    <row r="215" spans="2:6">
      <c r="B215" s="77">
        <v>2026</v>
      </c>
      <c r="C215" s="182" t="s">
        <v>4</v>
      </c>
      <c r="D215" s="77" t="s">
        <v>13</v>
      </c>
      <c r="E215" s="184" t="s">
        <v>318</v>
      </c>
      <c r="F215" s="196">
        <v>587</v>
      </c>
    </row>
    <row r="216" spans="2:6">
      <c r="B216" s="77">
        <v>2026</v>
      </c>
      <c r="C216" s="182" t="s">
        <v>4</v>
      </c>
      <c r="D216" s="77" t="s">
        <v>13</v>
      </c>
      <c r="E216" s="186" t="s">
        <v>141</v>
      </c>
      <c r="F216" s="197">
        <v>33</v>
      </c>
    </row>
    <row r="217" spans="2:6">
      <c r="B217" s="77">
        <v>2026</v>
      </c>
      <c r="C217" s="182" t="s">
        <v>4</v>
      </c>
      <c r="D217" s="77" t="s">
        <v>13</v>
      </c>
      <c r="E217" s="188" t="s">
        <v>320</v>
      </c>
      <c r="F217" s="196">
        <v>4</v>
      </c>
    </row>
    <row r="218" spans="2:6" ht="29">
      <c r="B218" s="77">
        <v>2026</v>
      </c>
      <c r="C218" s="182" t="s">
        <v>4</v>
      </c>
      <c r="D218" s="77" t="s">
        <v>13</v>
      </c>
      <c r="E218" s="190" t="s">
        <v>322</v>
      </c>
      <c r="F218" s="197">
        <v>0</v>
      </c>
    </row>
    <row r="219" spans="2:6">
      <c r="B219" s="77">
        <v>2026</v>
      </c>
      <c r="C219" s="182" t="s">
        <v>4</v>
      </c>
      <c r="D219" s="77" t="s">
        <v>19</v>
      </c>
      <c r="E219" s="184" t="s">
        <v>318</v>
      </c>
      <c r="F219" s="196">
        <v>138</v>
      </c>
    </row>
    <row r="220" spans="2:6">
      <c r="B220" s="77">
        <v>2026</v>
      </c>
      <c r="C220" s="182" t="s">
        <v>4</v>
      </c>
      <c r="D220" s="77" t="s">
        <v>19</v>
      </c>
      <c r="E220" s="186" t="s">
        <v>141</v>
      </c>
      <c r="F220" s="197">
        <v>9</v>
      </c>
    </row>
    <row r="221" spans="2:6">
      <c r="B221" s="77">
        <v>2026</v>
      </c>
      <c r="C221" s="182" t="s">
        <v>4</v>
      </c>
      <c r="D221" s="77" t="s">
        <v>19</v>
      </c>
      <c r="E221" s="188" t="s">
        <v>320</v>
      </c>
      <c r="F221" s="196">
        <v>2</v>
      </c>
    </row>
    <row r="222" spans="2:6" ht="29">
      <c r="B222" s="77">
        <v>2026</v>
      </c>
      <c r="C222" s="182" t="s">
        <v>4</v>
      </c>
      <c r="D222" s="77" t="s">
        <v>19</v>
      </c>
      <c r="E222" s="190" t="s">
        <v>322</v>
      </c>
      <c r="F222" s="197">
        <v>0</v>
      </c>
    </row>
    <row r="223" spans="2:6">
      <c r="B223" s="77">
        <v>2026</v>
      </c>
      <c r="C223" s="182" t="s">
        <v>4</v>
      </c>
      <c r="D223" s="77" t="s">
        <v>12</v>
      </c>
      <c r="E223" s="184" t="s">
        <v>318</v>
      </c>
      <c r="F223" s="196">
        <v>108</v>
      </c>
    </row>
    <row r="224" spans="2:6">
      <c r="B224" s="77">
        <v>2026</v>
      </c>
      <c r="C224" s="182" t="s">
        <v>4</v>
      </c>
      <c r="D224" s="77" t="s">
        <v>12</v>
      </c>
      <c r="E224" s="186" t="s">
        <v>141</v>
      </c>
      <c r="F224" s="197">
        <v>1</v>
      </c>
    </row>
    <row r="225" spans="2:6">
      <c r="B225" s="77">
        <v>2026</v>
      </c>
      <c r="C225" s="182" t="s">
        <v>4</v>
      </c>
      <c r="D225" s="77" t="s">
        <v>12</v>
      </c>
      <c r="E225" s="188" t="s">
        <v>320</v>
      </c>
      <c r="F225" s="196">
        <v>2</v>
      </c>
    </row>
    <row r="226" spans="2:6" ht="29">
      <c r="B226" s="77">
        <v>2026</v>
      </c>
      <c r="C226" s="182" t="s">
        <v>4</v>
      </c>
      <c r="D226" s="77" t="s">
        <v>12</v>
      </c>
      <c r="E226" s="190" t="s">
        <v>322</v>
      </c>
      <c r="F226" s="197">
        <v>0</v>
      </c>
    </row>
    <row r="227" spans="2:6">
      <c r="B227" s="77">
        <v>2026</v>
      </c>
      <c r="C227" s="182" t="s">
        <v>4</v>
      </c>
      <c r="D227" s="77" t="s">
        <v>22</v>
      </c>
      <c r="E227" s="184" t="s">
        <v>318</v>
      </c>
      <c r="F227" s="196">
        <v>121</v>
      </c>
    </row>
    <row r="228" spans="2:6">
      <c r="B228" s="77">
        <v>2026</v>
      </c>
      <c r="C228" s="182" t="s">
        <v>4</v>
      </c>
      <c r="D228" s="77" t="s">
        <v>22</v>
      </c>
      <c r="E228" s="186" t="s">
        <v>141</v>
      </c>
      <c r="F228" s="197">
        <v>2</v>
      </c>
    </row>
    <row r="229" spans="2:6">
      <c r="B229" s="77">
        <v>2026</v>
      </c>
      <c r="C229" s="182" t="s">
        <v>4</v>
      </c>
      <c r="D229" s="77" t="s">
        <v>22</v>
      </c>
      <c r="E229" s="188" t="s">
        <v>320</v>
      </c>
      <c r="F229" s="196">
        <v>0</v>
      </c>
    </row>
    <row r="230" spans="2:6" ht="29">
      <c r="B230" s="77">
        <v>2026</v>
      </c>
      <c r="C230" s="182" t="s">
        <v>4</v>
      </c>
      <c r="D230" s="77" t="s">
        <v>22</v>
      </c>
      <c r="E230" s="190" t="s">
        <v>322</v>
      </c>
      <c r="F230" s="197">
        <v>0</v>
      </c>
    </row>
    <row r="231" spans="2:6">
      <c r="B231" s="77">
        <v>2026</v>
      </c>
      <c r="C231" s="182" t="s">
        <v>4</v>
      </c>
      <c r="D231" s="77" t="s">
        <v>11</v>
      </c>
      <c r="E231" s="184" t="s">
        <v>318</v>
      </c>
      <c r="F231" s="196">
        <v>1218</v>
      </c>
    </row>
    <row r="232" spans="2:6">
      <c r="B232" s="77">
        <v>2026</v>
      </c>
      <c r="C232" s="182" t="s">
        <v>4</v>
      </c>
      <c r="D232" s="77" t="s">
        <v>11</v>
      </c>
      <c r="E232" s="186" t="s">
        <v>141</v>
      </c>
      <c r="F232" s="197">
        <v>3</v>
      </c>
    </row>
    <row r="233" spans="2:6">
      <c r="B233" s="77">
        <v>2026</v>
      </c>
      <c r="C233" s="182" t="s">
        <v>4</v>
      </c>
      <c r="D233" s="77" t="s">
        <v>11</v>
      </c>
      <c r="E233" s="188" t="s">
        <v>320</v>
      </c>
      <c r="F233" s="196">
        <v>8</v>
      </c>
    </row>
    <row r="234" spans="2:6" ht="29">
      <c r="B234" s="77">
        <v>2026</v>
      </c>
      <c r="C234" s="182" t="s">
        <v>4</v>
      </c>
      <c r="D234" s="77" t="s">
        <v>11</v>
      </c>
      <c r="E234" s="190" t="s">
        <v>322</v>
      </c>
      <c r="F234" s="197">
        <v>0</v>
      </c>
    </row>
    <row r="235" spans="2:6">
      <c r="B235" s="77">
        <v>2026</v>
      </c>
      <c r="C235" s="182" t="s">
        <v>4</v>
      </c>
      <c r="D235" s="77" t="s">
        <v>18</v>
      </c>
      <c r="E235" s="184" t="s">
        <v>318</v>
      </c>
      <c r="F235" s="196">
        <v>342</v>
      </c>
    </row>
    <row r="236" spans="2:6">
      <c r="B236" s="77">
        <v>2026</v>
      </c>
      <c r="C236" s="182" t="s">
        <v>4</v>
      </c>
      <c r="D236" s="77" t="s">
        <v>18</v>
      </c>
      <c r="E236" s="186" t="s">
        <v>141</v>
      </c>
      <c r="F236" s="197">
        <v>4</v>
      </c>
    </row>
    <row r="237" spans="2:6">
      <c r="B237" s="77">
        <v>2026</v>
      </c>
      <c r="C237" s="182" t="s">
        <v>4</v>
      </c>
      <c r="D237" s="77" t="s">
        <v>18</v>
      </c>
      <c r="E237" s="188" t="s">
        <v>320</v>
      </c>
      <c r="F237" s="196">
        <v>10</v>
      </c>
    </row>
    <row r="238" spans="2:6" ht="29">
      <c r="B238" s="77">
        <v>2026</v>
      </c>
      <c r="C238" s="182" t="s">
        <v>4</v>
      </c>
      <c r="D238" s="77" t="s">
        <v>18</v>
      </c>
      <c r="E238" s="190" t="s">
        <v>322</v>
      </c>
      <c r="F238" s="197">
        <v>23</v>
      </c>
    </row>
    <row r="239" spans="2:6">
      <c r="B239" s="77">
        <v>2026</v>
      </c>
      <c r="C239" s="182" t="s">
        <v>4</v>
      </c>
      <c r="D239" s="77" t="s">
        <v>20</v>
      </c>
      <c r="E239" s="184" t="s">
        <v>318</v>
      </c>
      <c r="F239" s="196">
        <v>13</v>
      </c>
    </row>
    <row r="240" spans="2:6">
      <c r="B240" s="77">
        <v>2026</v>
      </c>
      <c r="C240" s="182" t="s">
        <v>4</v>
      </c>
      <c r="D240" s="77" t="s">
        <v>20</v>
      </c>
      <c r="E240" s="186" t="s">
        <v>141</v>
      </c>
      <c r="F240" s="197">
        <v>0</v>
      </c>
    </row>
    <row r="241" spans="2:6">
      <c r="B241" s="77">
        <v>2026</v>
      </c>
      <c r="C241" s="182" t="s">
        <v>4</v>
      </c>
      <c r="D241" s="77" t="s">
        <v>20</v>
      </c>
      <c r="E241" s="188" t="s">
        <v>320</v>
      </c>
      <c r="F241" s="196">
        <v>2</v>
      </c>
    </row>
    <row r="242" spans="2:6" ht="29">
      <c r="B242" s="77">
        <v>2026</v>
      </c>
      <c r="C242" s="182" t="s">
        <v>4</v>
      </c>
      <c r="D242" s="77" t="s">
        <v>20</v>
      </c>
      <c r="E242" s="190" t="s">
        <v>322</v>
      </c>
      <c r="F242" s="197">
        <v>0</v>
      </c>
    </row>
    <row r="243" spans="2:6">
      <c r="B243" s="77">
        <v>2026</v>
      </c>
      <c r="C243" s="182" t="s">
        <v>5</v>
      </c>
      <c r="D243" s="77" t="s">
        <v>17</v>
      </c>
      <c r="E243" s="184" t="s">
        <v>318</v>
      </c>
      <c r="F243" s="196">
        <v>302</v>
      </c>
    </row>
    <row r="244" spans="2:6">
      <c r="B244" s="77">
        <v>2026</v>
      </c>
      <c r="C244" s="182" t="s">
        <v>5</v>
      </c>
      <c r="D244" s="77" t="s">
        <v>17</v>
      </c>
      <c r="E244" s="186" t="s">
        <v>141</v>
      </c>
      <c r="F244" s="197">
        <v>38</v>
      </c>
    </row>
    <row r="245" spans="2:6">
      <c r="B245" s="77">
        <v>2026</v>
      </c>
      <c r="C245" s="182" t="s">
        <v>5</v>
      </c>
      <c r="D245" s="77" t="s">
        <v>17</v>
      </c>
      <c r="E245" s="188" t="s">
        <v>320</v>
      </c>
      <c r="F245" s="196">
        <v>9</v>
      </c>
    </row>
    <row r="246" spans="2:6" ht="29">
      <c r="B246" s="77">
        <v>2026</v>
      </c>
      <c r="C246" s="182" t="s">
        <v>5</v>
      </c>
      <c r="D246" s="77" t="s">
        <v>17</v>
      </c>
      <c r="E246" s="190" t="s">
        <v>322</v>
      </c>
      <c r="F246" s="197">
        <v>0</v>
      </c>
    </row>
    <row r="247" spans="2:6">
      <c r="B247" s="77">
        <v>2026</v>
      </c>
      <c r="C247" s="182" t="s">
        <v>5</v>
      </c>
      <c r="D247" s="77" t="s">
        <v>21</v>
      </c>
      <c r="E247" s="184" t="s">
        <v>318</v>
      </c>
      <c r="F247" s="196">
        <v>273</v>
      </c>
    </row>
    <row r="248" spans="2:6">
      <c r="B248" s="77">
        <v>2026</v>
      </c>
      <c r="C248" s="182" t="s">
        <v>5</v>
      </c>
      <c r="D248" s="77" t="s">
        <v>21</v>
      </c>
      <c r="E248" s="186" t="s">
        <v>141</v>
      </c>
      <c r="F248" s="197">
        <v>48</v>
      </c>
    </row>
    <row r="249" spans="2:6">
      <c r="B249" s="77">
        <v>2026</v>
      </c>
      <c r="C249" s="182" t="s">
        <v>5</v>
      </c>
      <c r="D249" s="77" t="s">
        <v>21</v>
      </c>
      <c r="E249" s="188" t="s">
        <v>320</v>
      </c>
      <c r="F249" s="196">
        <v>9</v>
      </c>
    </row>
    <row r="250" spans="2:6" ht="29">
      <c r="B250" s="77">
        <v>2026</v>
      </c>
      <c r="C250" s="182" t="s">
        <v>5</v>
      </c>
      <c r="D250" s="77" t="s">
        <v>21</v>
      </c>
      <c r="E250" s="190" t="s">
        <v>322</v>
      </c>
      <c r="F250" s="197">
        <v>0</v>
      </c>
    </row>
    <row r="251" spans="2:6">
      <c r="B251" s="77">
        <v>2026</v>
      </c>
      <c r="C251" s="182" t="s">
        <v>5</v>
      </c>
      <c r="D251" s="77" t="s">
        <v>15</v>
      </c>
      <c r="E251" s="184" t="s">
        <v>318</v>
      </c>
      <c r="F251" s="196">
        <v>373</v>
      </c>
    </row>
    <row r="252" spans="2:6">
      <c r="B252" s="77">
        <v>2026</v>
      </c>
      <c r="C252" s="182" t="s">
        <v>5</v>
      </c>
      <c r="D252" s="77" t="s">
        <v>15</v>
      </c>
      <c r="E252" s="186" t="s">
        <v>141</v>
      </c>
      <c r="F252" s="197">
        <v>32</v>
      </c>
    </row>
    <row r="253" spans="2:6">
      <c r="B253" s="77">
        <v>2026</v>
      </c>
      <c r="C253" s="182" t="s">
        <v>5</v>
      </c>
      <c r="D253" s="77" t="s">
        <v>15</v>
      </c>
      <c r="E253" s="188" t="s">
        <v>320</v>
      </c>
      <c r="F253" s="196">
        <v>3</v>
      </c>
    </row>
    <row r="254" spans="2:6" ht="29">
      <c r="B254" s="77">
        <v>2026</v>
      </c>
      <c r="C254" s="182" t="s">
        <v>5</v>
      </c>
      <c r="D254" s="77" t="s">
        <v>15</v>
      </c>
      <c r="E254" s="190" t="s">
        <v>322</v>
      </c>
      <c r="F254" s="197">
        <v>20</v>
      </c>
    </row>
    <row r="255" spans="2:6">
      <c r="B255" s="77">
        <v>2026</v>
      </c>
      <c r="C255" s="182" t="s">
        <v>5</v>
      </c>
      <c r="D255" s="77" t="s">
        <v>16</v>
      </c>
      <c r="E255" s="184" t="s">
        <v>318</v>
      </c>
      <c r="F255" s="196">
        <v>261</v>
      </c>
    </row>
    <row r="256" spans="2:6">
      <c r="B256" s="77">
        <v>2026</v>
      </c>
      <c r="C256" s="182" t="s">
        <v>5</v>
      </c>
      <c r="D256" s="77" t="s">
        <v>16</v>
      </c>
      <c r="E256" s="186" t="s">
        <v>141</v>
      </c>
      <c r="F256" s="197">
        <v>19</v>
      </c>
    </row>
    <row r="257" spans="2:6">
      <c r="B257" s="77">
        <v>2026</v>
      </c>
      <c r="C257" s="182" t="s">
        <v>5</v>
      </c>
      <c r="D257" s="77" t="s">
        <v>16</v>
      </c>
      <c r="E257" s="188" t="s">
        <v>320</v>
      </c>
      <c r="F257" s="196">
        <v>3</v>
      </c>
    </row>
    <row r="258" spans="2:6" ht="29">
      <c r="B258" s="77">
        <v>2026</v>
      </c>
      <c r="C258" s="182" t="s">
        <v>5</v>
      </c>
      <c r="D258" s="77" t="s">
        <v>16</v>
      </c>
      <c r="E258" s="190" t="s">
        <v>322</v>
      </c>
      <c r="F258" s="197">
        <v>0</v>
      </c>
    </row>
    <row r="259" spans="2:6">
      <c r="B259" s="77">
        <v>2026</v>
      </c>
      <c r="C259" s="182" t="s">
        <v>5</v>
      </c>
      <c r="D259" s="77" t="s">
        <v>14</v>
      </c>
      <c r="E259" s="184" t="s">
        <v>318</v>
      </c>
      <c r="F259" s="196">
        <v>172</v>
      </c>
    </row>
    <row r="260" spans="2:6">
      <c r="B260" s="77">
        <v>2026</v>
      </c>
      <c r="C260" s="182" t="s">
        <v>5</v>
      </c>
      <c r="D260" s="77" t="s">
        <v>14</v>
      </c>
      <c r="E260" s="186" t="s">
        <v>141</v>
      </c>
      <c r="F260" s="197">
        <v>27</v>
      </c>
    </row>
    <row r="261" spans="2:6">
      <c r="B261" s="77">
        <v>2026</v>
      </c>
      <c r="C261" s="182" t="s">
        <v>5</v>
      </c>
      <c r="D261" s="77" t="s">
        <v>14</v>
      </c>
      <c r="E261" s="188" t="s">
        <v>320</v>
      </c>
      <c r="F261" s="196">
        <v>5</v>
      </c>
    </row>
    <row r="262" spans="2:6" ht="29">
      <c r="B262" s="77">
        <v>2026</v>
      </c>
      <c r="C262" s="182" t="s">
        <v>5</v>
      </c>
      <c r="D262" s="77" t="s">
        <v>14</v>
      </c>
      <c r="E262" s="190" t="s">
        <v>322</v>
      </c>
      <c r="F262" s="197">
        <v>0</v>
      </c>
    </row>
    <row r="263" spans="2:6">
      <c r="B263" s="77">
        <v>2026</v>
      </c>
      <c r="C263" s="182" t="s">
        <v>5</v>
      </c>
      <c r="D263" s="77" t="s">
        <v>13</v>
      </c>
      <c r="E263" s="184" t="s">
        <v>318</v>
      </c>
      <c r="F263" s="196">
        <v>157</v>
      </c>
    </row>
    <row r="264" spans="2:6">
      <c r="B264" s="77">
        <v>2026</v>
      </c>
      <c r="C264" s="182" t="s">
        <v>5</v>
      </c>
      <c r="D264" s="77" t="s">
        <v>13</v>
      </c>
      <c r="E264" s="186" t="s">
        <v>141</v>
      </c>
      <c r="F264" s="197">
        <v>25</v>
      </c>
    </row>
    <row r="265" spans="2:6">
      <c r="B265" s="77">
        <v>2026</v>
      </c>
      <c r="C265" s="182" t="s">
        <v>5</v>
      </c>
      <c r="D265" s="77" t="s">
        <v>13</v>
      </c>
      <c r="E265" s="188" t="s">
        <v>320</v>
      </c>
      <c r="F265" s="196">
        <v>4</v>
      </c>
    </row>
    <row r="266" spans="2:6" ht="29">
      <c r="B266" s="77">
        <v>2026</v>
      </c>
      <c r="C266" s="182" t="s">
        <v>5</v>
      </c>
      <c r="D266" s="77" t="s">
        <v>13</v>
      </c>
      <c r="E266" s="190" t="s">
        <v>322</v>
      </c>
      <c r="F266" s="197">
        <v>21</v>
      </c>
    </row>
    <row r="267" spans="2:6">
      <c r="B267" s="77">
        <v>2026</v>
      </c>
      <c r="C267" s="182" t="s">
        <v>5</v>
      </c>
      <c r="D267" s="77" t="s">
        <v>19</v>
      </c>
      <c r="E267" s="184" t="s">
        <v>318</v>
      </c>
      <c r="F267" s="196">
        <v>66</v>
      </c>
    </row>
    <row r="268" spans="2:6">
      <c r="B268" s="77">
        <v>2026</v>
      </c>
      <c r="C268" s="182" t="s">
        <v>5</v>
      </c>
      <c r="D268" s="77" t="s">
        <v>19</v>
      </c>
      <c r="E268" s="186" t="s">
        <v>141</v>
      </c>
      <c r="F268" s="197">
        <v>3</v>
      </c>
    </row>
    <row r="269" spans="2:6">
      <c r="B269" s="77">
        <v>2026</v>
      </c>
      <c r="C269" s="182" t="s">
        <v>5</v>
      </c>
      <c r="D269" s="77" t="s">
        <v>19</v>
      </c>
      <c r="E269" s="188" t="s">
        <v>320</v>
      </c>
      <c r="F269" s="196">
        <v>2</v>
      </c>
    </row>
    <row r="270" spans="2:6" ht="29">
      <c r="B270" s="77">
        <v>2026</v>
      </c>
      <c r="C270" s="182" t="s">
        <v>5</v>
      </c>
      <c r="D270" s="77" t="s">
        <v>19</v>
      </c>
      <c r="E270" s="190" t="s">
        <v>322</v>
      </c>
      <c r="F270" s="197">
        <v>0</v>
      </c>
    </row>
    <row r="271" spans="2:6">
      <c r="B271" s="77">
        <v>2026</v>
      </c>
      <c r="C271" s="182" t="s">
        <v>5</v>
      </c>
      <c r="D271" s="77" t="s">
        <v>12</v>
      </c>
      <c r="E271" s="184" t="s">
        <v>318</v>
      </c>
      <c r="F271" s="196">
        <v>15</v>
      </c>
    </row>
    <row r="272" spans="2:6">
      <c r="B272" s="77">
        <v>2026</v>
      </c>
      <c r="C272" s="182" t="s">
        <v>5</v>
      </c>
      <c r="D272" s="77" t="s">
        <v>12</v>
      </c>
      <c r="E272" s="186" t="s">
        <v>141</v>
      </c>
      <c r="F272" s="197">
        <v>4</v>
      </c>
    </row>
    <row r="273" spans="2:6">
      <c r="B273" s="77">
        <v>2026</v>
      </c>
      <c r="C273" s="182" t="s">
        <v>5</v>
      </c>
      <c r="D273" s="77" t="s">
        <v>12</v>
      </c>
      <c r="E273" s="188" t="s">
        <v>320</v>
      </c>
      <c r="F273" s="196">
        <v>0</v>
      </c>
    </row>
    <row r="274" spans="2:6" ht="29">
      <c r="B274" s="77">
        <v>2026</v>
      </c>
      <c r="C274" s="182" t="s">
        <v>5</v>
      </c>
      <c r="D274" s="77" t="s">
        <v>12</v>
      </c>
      <c r="E274" s="190" t="s">
        <v>322</v>
      </c>
      <c r="F274" s="197">
        <v>0</v>
      </c>
    </row>
    <row r="275" spans="2:6">
      <c r="B275" s="77">
        <v>2026</v>
      </c>
      <c r="C275" s="182" t="s">
        <v>5</v>
      </c>
      <c r="D275" s="77" t="s">
        <v>22</v>
      </c>
      <c r="E275" s="184" t="s">
        <v>318</v>
      </c>
      <c r="F275" s="196">
        <v>22</v>
      </c>
    </row>
    <row r="276" spans="2:6">
      <c r="B276" s="77">
        <v>2026</v>
      </c>
      <c r="C276" s="182" t="s">
        <v>5</v>
      </c>
      <c r="D276" s="77" t="s">
        <v>22</v>
      </c>
      <c r="E276" s="186" t="s">
        <v>141</v>
      </c>
      <c r="F276" s="197">
        <v>5</v>
      </c>
    </row>
    <row r="277" spans="2:6">
      <c r="B277" s="77">
        <v>2026</v>
      </c>
      <c r="C277" s="182" t="s">
        <v>5</v>
      </c>
      <c r="D277" s="77" t="s">
        <v>22</v>
      </c>
      <c r="E277" s="188" t="s">
        <v>320</v>
      </c>
      <c r="F277" s="196">
        <v>0</v>
      </c>
    </row>
    <row r="278" spans="2:6" ht="29">
      <c r="B278" s="77">
        <v>2026</v>
      </c>
      <c r="C278" s="182" t="s">
        <v>5</v>
      </c>
      <c r="D278" s="77" t="s">
        <v>22</v>
      </c>
      <c r="E278" s="190" t="s">
        <v>322</v>
      </c>
      <c r="F278" s="197">
        <v>0</v>
      </c>
    </row>
    <row r="279" spans="2:6">
      <c r="B279" s="77">
        <v>2026</v>
      </c>
      <c r="C279" s="182" t="s">
        <v>5</v>
      </c>
      <c r="D279" s="77" t="s">
        <v>11</v>
      </c>
      <c r="E279" s="184" t="s">
        <v>318</v>
      </c>
      <c r="F279" s="196">
        <v>25</v>
      </c>
    </row>
    <row r="280" spans="2:6">
      <c r="B280" s="77">
        <v>2026</v>
      </c>
      <c r="C280" s="182" t="s">
        <v>5</v>
      </c>
      <c r="D280" s="77" t="s">
        <v>11</v>
      </c>
      <c r="E280" s="186" t="s">
        <v>141</v>
      </c>
      <c r="F280" s="197">
        <v>1</v>
      </c>
    </row>
    <row r="281" spans="2:6">
      <c r="B281" s="77">
        <v>2026</v>
      </c>
      <c r="C281" s="182" t="s">
        <v>5</v>
      </c>
      <c r="D281" s="77" t="s">
        <v>11</v>
      </c>
      <c r="E281" s="188" t="s">
        <v>320</v>
      </c>
      <c r="F281" s="196">
        <v>0</v>
      </c>
    </row>
    <row r="282" spans="2:6" ht="29">
      <c r="B282" s="77">
        <v>2026</v>
      </c>
      <c r="C282" s="182" t="s">
        <v>5</v>
      </c>
      <c r="D282" s="77" t="s">
        <v>11</v>
      </c>
      <c r="E282" s="190" t="s">
        <v>322</v>
      </c>
      <c r="F282" s="197">
        <v>0</v>
      </c>
    </row>
    <row r="283" spans="2:6">
      <c r="B283" s="77">
        <v>2026</v>
      </c>
      <c r="C283" s="182" t="s">
        <v>5</v>
      </c>
      <c r="D283" s="77" t="s">
        <v>18</v>
      </c>
      <c r="E283" s="184" t="s">
        <v>318</v>
      </c>
      <c r="F283" s="196">
        <v>22</v>
      </c>
    </row>
    <row r="284" spans="2:6">
      <c r="B284" s="77">
        <v>2026</v>
      </c>
      <c r="C284" s="182" t="s">
        <v>5</v>
      </c>
      <c r="D284" s="77" t="s">
        <v>18</v>
      </c>
      <c r="E284" s="186" t="s">
        <v>141</v>
      </c>
      <c r="F284" s="197">
        <v>1</v>
      </c>
    </row>
    <row r="285" spans="2:6">
      <c r="B285" s="77">
        <v>2026</v>
      </c>
      <c r="C285" s="182" t="s">
        <v>5</v>
      </c>
      <c r="D285" s="77" t="s">
        <v>18</v>
      </c>
      <c r="E285" s="188" t="s">
        <v>320</v>
      </c>
      <c r="F285" s="196">
        <v>1</v>
      </c>
    </row>
    <row r="286" spans="2:6" ht="29">
      <c r="B286" s="77">
        <v>2026</v>
      </c>
      <c r="C286" s="182" t="s">
        <v>5</v>
      </c>
      <c r="D286" s="77" t="s">
        <v>18</v>
      </c>
      <c r="E286" s="190" t="s">
        <v>322</v>
      </c>
      <c r="F286" s="197">
        <v>0</v>
      </c>
    </row>
    <row r="287" spans="2:6">
      <c r="B287" s="77">
        <v>2026</v>
      </c>
      <c r="C287" s="182" t="s">
        <v>5</v>
      </c>
      <c r="D287" s="77" t="s">
        <v>20</v>
      </c>
      <c r="E287" s="184" t="s">
        <v>318</v>
      </c>
      <c r="F287" s="196">
        <v>20</v>
      </c>
    </row>
    <row r="288" spans="2:6">
      <c r="B288" s="77">
        <v>2026</v>
      </c>
      <c r="C288" s="182" t="s">
        <v>5</v>
      </c>
      <c r="D288" s="77" t="s">
        <v>20</v>
      </c>
      <c r="E288" s="186" t="s">
        <v>141</v>
      </c>
      <c r="F288" s="197">
        <v>5</v>
      </c>
    </row>
    <row r="289" spans="2:6">
      <c r="B289" s="77">
        <v>2026</v>
      </c>
      <c r="C289" s="182" t="s">
        <v>5</v>
      </c>
      <c r="D289" s="77" t="s">
        <v>20</v>
      </c>
      <c r="E289" s="188" t="s">
        <v>320</v>
      </c>
      <c r="F289" s="196">
        <v>0</v>
      </c>
    </row>
    <row r="290" spans="2:6" ht="29">
      <c r="B290" s="77">
        <v>2026</v>
      </c>
      <c r="C290" s="182" t="s">
        <v>5</v>
      </c>
      <c r="D290" s="77" t="s">
        <v>20</v>
      </c>
      <c r="E290" s="190" t="s">
        <v>322</v>
      </c>
      <c r="F290" s="198">
        <v>0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1002"/>
  <sheetViews>
    <sheetView workbookViewId="0"/>
  </sheetViews>
  <sheetFormatPr defaultColWidth="14.453125" defaultRowHeight="15" customHeight="1"/>
  <cols>
    <col min="3" max="3" width="12" customWidth="1"/>
    <col min="4" max="4" width="17.54296875" customWidth="1"/>
    <col min="5" max="6" width="21.08984375" customWidth="1"/>
  </cols>
  <sheetData>
    <row r="1" spans="1:33" ht="14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5">
      <c r="A2" s="15"/>
      <c r="B2" s="15" t="s">
        <v>66</v>
      </c>
      <c r="C2" s="30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4.5">
      <c r="A3" s="15"/>
      <c r="B3" s="15" t="s">
        <v>67</v>
      </c>
      <c r="C3" s="30"/>
      <c r="D3" s="3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4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4.5">
      <c r="A5" s="1"/>
      <c r="B5" s="1"/>
      <c r="C5" s="171" t="s">
        <v>68</v>
      </c>
      <c r="D5" s="129"/>
      <c r="E5" s="129"/>
      <c r="F5" s="12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28">
      <c r="A6" s="1"/>
      <c r="B6" s="1"/>
      <c r="C6" s="31" t="s">
        <v>7</v>
      </c>
      <c r="D6" s="31" t="s">
        <v>69</v>
      </c>
      <c r="E6" s="31" t="s">
        <v>70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28.5">
      <c r="A7" s="1"/>
      <c r="B7" s="1"/>
      <c r="C7" s="28">
        <v>1</v>
      </c>
      <c r="D7" s="32" t="s">
        <v>71</v>
      </c>
      <c r="E7" s="27">
        <v>226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4.5">
      <c r="A8" s="1"/>
      <c r="B8" s="1"/>
      <c r="C8" s="28">
        <v>2</v>
      </c>
      <c r="D8" s="32" t="s">
        <v>72</v>
      </c>
      <c r="E8" s="33">
        <v>1301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8.5">
      <c r="A9" s="1"/>
      <c r="B9" s="1"/>
      <c r="C9" s="28">
        <v>3</v>
      </c>
      <c r="D9" s="32" t="s">
        <v>73</v>
      </c>
      <c r="E9" s="33">
        <v>1751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8.5">
      <c r="A10" s="1"/>
      <c r="B10" s="1"/>
      <c r="C10" s="28">
        <v>4</v>
      </c>
      <c r="D10" s="34" t="s">
        <v>74</v>
      </c>
      <c r="E10" s="35">
        <v>745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8.5">
      <c r="A11" s="1"/>
      <c r="B11" s="1"/>
      <c r="C11" s="28">
        <v>5</v>
      </c>
      <c r="D11" s="34" t="s">
        <v>75</v>
      </c>
      <c r="E11" s="35">
        <v>797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8.5">
      <c r="A12" s="1"/>
      <c r="B12" s="1"/>
      <c r="C12" s="28">
        <v>6</v>
      </c>
      <c r="D12" s="34" t="s">
        <v>76</v>
      </c>
      <c r="E12" s="36">
        <v>3883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8.5">
      <c r="A13" s="1"/>
      <c r="B13" s="1"/>
      <c r="C13" s="28">
        <v>7</v>
      </c>
      <c r="D13" s="34" t="s">
        <v>77</v>
      </c>
      <c r="E13" s="36">
        <v>3696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8.5">
      <c r="A14" s="1"/>
      <c r="B14" s="1"/>
      <c r="C14" s="28">
        <v>8</v>
      </c>
      <c r="D14" s="34" t="s">
        <v>78</v>
      </c>
      <c r="E14" s="36">
        <v>5309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4.5">
      <c r="A15" s="1"/>
      <c r="B15" s="1"/>
      <c r="C15" s="28">
        <v>9</v>
      </c>
      <c r="D15" s="37" t="s">
        <v>79</v>
      </c>
      <c r="E15" s="33">
        <v>3421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4.5">
      <c r="A16" s="1"/>
      <c r="B16" s="1"/>
      <c r="C16" s="25"/>
      <c r="D16" s="38" t="s">
        <v>65</v>
      </c>
      <c r="E16" s="39">
        <f>SUM(E7:E15)</f>
        <v>21129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4.5">
      <c r="A18" s="1"/>
      <c r="B18" s="1"/>
      <c r="C18" s="172" t="s">
        <v>80</v>
      </c>
      <c r="D18" s="129"/>
      <c r="E18" s="129"/>
      <c r="F18" s="12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4.5">
      <c r="A19" s="1"/>
      <c r="B19" s="1"/>
      <c r="C19" s="40" t="s">
        <v>7</v>
      </c>
      <c r="D19" s="40" t="s">
        <v>81</v>
      </c>
      <c r="E19" s="40" t="s">
        <v>82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28.5">
      <c r="A20" s="1"/>
      <c r="B20" s="1"/>
      <c r="C20" s="29">
        <v>1</v>
      </c>
      <c r="D20" s="32" t="s">
        <v>83</v>
      </c>
      <c r="E20" s="29">
        <v>212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4.5">
      <c r="A21" s="1"/>
      <c r="B21" s="1"/>
      <c r="C21" s="29">
        <v>2</v>
      </c>
      <c r="D21" s="32" t="s">
        <v>84</v>
      </c>
      <c r="E21" s="29">
        <v>680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42.5">
      <c r="A22" s="1"/>
      <c r="B22" s="1"/>
      <c r="C22" s="29">
        <v>3</v>
      </c>
      <c r="D22" s="32" t="s">
        <v>85</v>
      </c>
      <c r="E22" s="41">
        <v>2844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42.5">
      <c r="A23" s="1"/>
      <c r="B23" s="1"/>
      <c r="C23" s="29">
        <v>4</v>
      </c>
      <c r="D23" s="32" t="s">
        <v>86</v>
      </c>
      <c r="E23" s="41">
        <v>2844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4.5">
      <c r="A24" s="1"/>
      <c r="B24" s="1"/>
      <c r="C24" s="42"/>
      <c r="D24" s="40" t="s">
        <v>65</v>
      </c>
      <c r="E24" s="43">
        <f>SUM(E20:E23)</f>
        <v>6580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4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4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4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4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4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4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4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4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4.5">
      <c r="A34" s="23"/>
      <c r="B34" s="23" t="s">
        <v>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26.25" customHeight="1">
      <c r="A35" s="44"/>
      <c r="B35" s="44" t="s">
        <v>88</v>
      </c>
      <c r="C35" s="44" t="s">
        <v>8</v>
      </c>
      <c r="D35" s="44" t="s">
        <v>89</v>
      </c>
      <c r="E35" s="44"/>
      <c r="F35" s="44" t="s">
        <v>90</v>
      </c>
      <c r="G35" s="44" t="s">
        <v>91</v>
      </c>
      <c r="H35" s="44" t="s">
        <v>92</v>
      </c>
      <c r="I35" s="44"/>
      <c r="J35" s="44" t="s">
        <v>93</v>
      </c>
      <c r="K35" s="44" t="s">
        <v>94</v>
      </c>
      <c r="L35" s="44" t="s">
        <v>95</v>
      </c>
      <c r="M35" s="44" t="s">
        <v>96</v>
      </c>
      <c r="N35" s="44" t="s">
        <v>97</v>
      </c>
      <c r="O35" s="44" t="s">
        <v>98</v>
      </c>
      <c r="P35" s="44" t="s">
        <v>99</v>
      </c>
      <c r="Q35" s="44" t="s">
        <v>100</v>
      </c>
      <c r="R35" s="44" t="s">
        <v>101</v>
      </c>
      <c r="S35" s="44" t="s">
        <v>102</v>
      </c>
      <c r="T35" s="44" t="s">
        <v>103</v>
      </c>
      <c r="U35" s="44" t="s">
        <v>104</v>
      </c>
      <c r="V35" s="44" t="s">
        <v>105</v>
      </c>
      <c r="W35" s="44" t="s">
        <v>106</v>
      </c>
      <c r="X35" s="44" t="s">
        <v>107</v>
      </c>
      <c r="Y35" s="44" t="s">
        <v>108</v>
      </c>
      <c r="Z35" s="44" t="s">
        <v>109</v>
      </c>
      <c r="AA35" s="44" t="s">
        <v>110</v>
      </c>
      <c r="AB35" s="44" t="s">
        <v>111</v>
      </c>
      <c r="AC35" s="44" t="s">
        <v>112</v>
      </c>
      <c r="AD35" s="44" t="s">
        <v>113</v>
      </c>
      <c r="AE35" s="44" t="s">
        <v>114</v>
      </c>
      <c r="AF35" s="44" t="s">
        <v>115</v>
      </c>
      <c r="AG35" s="44" t="s">
        <v>116</v>
      </c>
    </row>
    <row r="36" spans="1:33" ht="14.5">
      <c r="A36" s="45"/>
      <c r="B36" s="45" t="s">
        <v>117</v>
      </c>
      <c r="C36" s="45" t="s">
        <v>13</v>
      </c>
      <c r="D36" s="46">
        <v>2143</v>
      </c>
      <c r="E36" s="46"/>
      <c r="F36" s="46">
        <v>23</v>
      </c>
      <c r="G36" s="46">
        <v>13</v>
      </c>
      <c r="H36" s="46">
        <v>10</v>
      </c>
      <c r="I36" s="46"/>
      <c r="J36" s="46">
        <v>152</v>
      </c>
      <c r="K36" s="46">
        <v>72</v>
      </c>
      <c r="L36" s="46">
        <v>80</v>
      </c>
      <c r="M36" s="46">
        <v>82</v>
      </c>
      <c r="N36" s="46">
        <v>30</v>
      </c>
      <c r="O36" s="46">
        <v>52</v>
      </c>
      <c r="P36" s="46">
        <v>109</v>
      </c>
      <c r="Q36" s="46">
        <v>53</v>
      </c>
      <c r="R36" s="46">
        <v>56</v>
      </c>
      <c r="S36" s="46">
        <v>104</v>
      </c>
      <c r="T36" s="46">
        <v>53</v>
      </c>
      <c r="U36" s="46">
        <v>51</v>
      </c>
      <c r="V36" s="46">
        <v>288</v>
      </c>
      <c r="W36" s="46">
        <v>0</v>
      </c>
      <c r="X36" s="46">
        <v>115</v>
      </c>
      <c r="Y36" s="46">
        <v>370</v>
      </c>
      <c r="Z36" s="46">
        <v>0</v>
      </c>
      <c r="AA36" s="46">
        <v>101</v>
      </c>
      <c r="AB36" s="46">
        <v>591</v>
      </c>
      <c r="AC36" s="46">
        <v>0</v>
      </c>
      <c r="AD36" s="46">
        <v>186</v>
      </c>
      <c r="AE36" s="46">
        <v>424</v>
      </c>
      <c r="AF36" s="46">
        <v>259</v>
      </c>
      <c r="AG36" s="46">
        <v>165</v>
      </c>
    </row>
    <row r="37" spans="1:33" ht="14.5">
      <c r="A37" s="45"/>
      <c r="B37" s="45" t="s">
        <v>118</v>
      </c>
      <c r="C37" s="45" t="s">
        <v>16</v>
      </c>
      <c r="D37" s="46">
        <v>1160</v>
      </c>
      <c r="E37" s="46"/>
      <c r="F37" s="46">
        <v>0</v>
      </c>
      <c r="G37" s="46">
        <v>0</v>
      </c>
      <c r="H37" s="46">
        <v>0</v>
      </c>
      <c r="I37" s="46"/>
      <c r="J37" s="46">
        <v>4</v>
      </c>
      <c r="K37" s="46">
        <v>2</v>
      </c>
      <c r="L37" s="46">
        <v>2</v>
      </c>
      <c r="M37" s="46">
        <v>23</v>
      </c>
      <c r="N37" s="46">
        <v>10</v>
      </c>
      <c r="O37" s="46">
        <v>13</v>
      </c>
      <c r="P37" s="46">
        <v>42</v>
      </c>
      <c r="Q37" s="46">
        <v>26</v>
      </c>
      <c r="R37" s="46">
        <v>16</v>
      </c>
      <c r="S37" s="46">
        <v>51</v>
      </c>
      <c r="T37" s="46">
        <v>33</v>
      </c>
      <c r="U37" s="46">
        <v>18</v>
      </c>
      <c r="V37" s="46">
        <v>269</v>
      </c>
      <c r="W37" s="46">
        <v>0</v>
      </c>
      <c r="X37" s="46">
        <v>141</v>
      </c>
      <c r="Y37" s="46">
        <v>210</v>
      </c>
      <c r="Z37" s="46">
        <v>0</v>
      </c>
      <c r="AA37" s="46">
        <v>115</v>
      </c>
      <c r="AB37" s="46">
        <v>323</v>
      </c>
      <c r="AC37" s="46">
        <v>0</v>
      </c>
      <c r="AD37" s="46">
        <v>167</v>
      </c>
      <c r="AE37" s="46">
        <v>238</v>
      </c>
      <c r="AF37" s="46">
        <v>124</v>
      </c>
      <c r="AG37" s="46">
        <v>114</v>
      </c>
    </row>
    <row r="38" spans="1:33" ht="14.5">
      <c r="A38" s="45"/>
      <c r="B38" s="45" t="s">
        <v>118</v>
      </c>
      <c r="C38" s="45" t="s">
        <v>15</v>
      </c>
      <c r="D38" s="46">
        <v>1137</v>
      </c>
      <c r="E38" s="46"/>
      <c r="F38" s="46">
        <v>0</v>
      </c>
      <c r="G38" s="46">
        <v>0</v>
      </c>
      <c r="H38" s="46">
        <v>0</v>
      </c>
      <c r="I38" s="46"/>
      <c r="J38" s="46">
        <v>25</v>
      </c>
      <c r="K38" s="46">
        <v>11</v>
      </c>
      <c r="L38" s="46">
        <v>14</v>
      </c>
      <c r="M38" s="46">
        <v>354</v>
      </c>
      <c r="N38" s="46">
        <v>180</v>
      </c>
      <c r="O38" s="46">
        <v>174</v>
      </c>
      <c r="P38" s="46">
        <v>15</v>
      </c>
      <c r="Q38" s="46">
        <v>4</v>
      </c>
      <c r="R38" s="46">
        <v>11</v>
      </c>
      <c r="S38" s="46">
        <v>10</v>
      </c>
      <c r="T38" s="46">
        <v>4</v>
      </c>
      <c r="U38" s="46">
        <v>6</v>
      </c>
      <c r="V38" s="46">
        <v>182</v>
      </c>
      <c r="W38" s="46">
        <v>0</v>
      </c>
      <c r="X38" s="46">
        <v>54</v>
      </c>
      <c r="Y38" s="46">
        <v>155</v>
      </c>
      <c r="Z38" s="46">
        <v>0</v>
      </c>
      <c r="AA38" s="46">
        <v>52</v>
      </c>
      <c r="AB38" s="46">
        <v>268</v>
      </c>
      <c r="AC38" s="46">
        <v>0</v>
      </c>
      <c r="AD38" s="46">
        <v>116</v>
      </c>
      <c r="AE38" s="46">
        <v>128</v>
      </c>
      <c r="AF38" s="46">
        <v>61</v>
      </c>
      <c r="AG38" s="46">
        <v>67</v>
      </c>
    </row>
    <row r="39" spans="1:33" ht="14.5">
      <c r="A39" s="45"/>
      <c r="B39" s="45" t="s">
        <v>119</v>
      </c>
      <c r="C39" s="45" t="s">
        <v>18</v>
      </c>
      <c r="D39" s="46">
        <v>2389</v>
      </c>
      <c r="E39" s="46"/>
      <c r="F39" s="46">
        <v>126</v>
      </c>
      <c r="G39" s="46">
        <v>58</v>
      </c>
      <c r="H39" s="46">
        <v>68</v>
      </c>
      <c r="I39" s="46"/>
      <c r="J39" s="46">
        <v>389</v>
      </c>
      <c r="K39" s="46">
        <v>177</v>
      </c>
      <c r="L39" s="46">
        <v>212</v>
      </c>
      <c r="M39" s="46">
        <v>59</v>
      </c>
      <c r="N39" s="46">
        <v>23</v>
      </c>
      <c r="O39" s="46">
        <v>36</v>
      </c>
      <c r="P39" s="46">
        <v>32</v>
      </c>
      <c r="Q39" s="46">
        <v>17</v>
      </c>
      <c r="R39" s="46">
        <v>15</v>
      </c>
      <c r="S39" s="46">
        <v>61</v>
      </c>
      <c r="T39" s="46">
        <v>33</v>
      </c>
      <c r="U39" s="46">
        <v>28</v>
      </c>
      <c r="V39" s="46">
        <v>443</v>
      </c>
      <c r="W39" s="46">
        <v>0</v>
      </c>
      <c r="X39" s="46">
        <v>160</v>
      </c>
      <c r="Y39" s="46">
        <v>427</v>
      </c>
      <c r="Z39" s="46">
        <v>0</v>
      </c>
      <c r="AA39" s="46">
        <v>123</v>
      </c>
      <c r="AB39" s="46">
        <v>495</v>
      </c>
      <c r="AC39" s="46">
        <v>0</v>
      </c>
      <c r="AD39" s="46">
        <v>183</v>
      </c>
      <c r="AE39" s="46">
        <v>357</v>
      </c>
      <c r="AF39" s="46">
        <v>207</v>
      </c>
      <c r="AG39" s="46">
        <v>150</v>
      </c>
    </row>
    <row r="40" spans="1:33" ht="14.5">
      <c r="A40" s="45"/>
      <c r="B40" s="45" t="s">
        <v>120</v>
      </c>
      <c r="C40" s="45" t="s">
        <v>20</v>
      </c>
      <c r="D40" s="46">
        <v>339</v>
      </c>
      <c r="E40" s="46"/>
      <c r="F40" s="46">
        <v>0</v>
      </c>
      <c r="G40" s="46">
        <v>0</v>
      </c>
      <c r="H40" s="46">
        <v>0</v>
      </c>
      <c r="I40" s="46"/>
      <c r="J40" s="46">
        <v>14</v>
      </c>
      <c r="K40" s="46">
        <v>9</v>
      </c>
      <c r="L40" s="46">
        <v>5</v>
      </c>
      <c r="M40" s="46">
        <v>2</v>
      </c>
      <c r="N40" s="46">
        <v>0</v>
      </c>
      <c r="O40" s="46">
        <v>2</v>
      </c>
      <c r="P40" s="46">
        <v>0</v>
      </c>
      <c r="Q40" s="46">
        <v>0</v>
      </c>
      <c r="R40" s="46">
        <v>0</v>
      </c>
      <c r="S40" s="46">
        <v>4</v>
      </c>
      <c r="T40" s="46">
        <v>3</v>
      </c>
      <c r="U40" s="46">
        <v>1</v>
      </c>
      <c r="V40" s="46">
        <v>54</v>
      </c>
      <c r="W40" s="46">
        <v>0</v>
      </c>
      <c r="X40" s="46">
        <v>6</v>
      </c>
      <c r="Y40" s="46">
        <v>71</v>
      </c>
      <c r="Z40" s="46">
        <v>0</v>
      </c>
      <c r="AA40" s="46">
        <v>13</v>
      </c>
      <c r="AB40" s="46">
        <v>108</v>
      </c>
      <c r="AC40" s="46">
        <v>0</v>
      </c>
      <c r="AD40" s="46">
        <v>25</v>
      </c>
      <c r="AE40" s="46">
        <v>86</v>
      </c>
      <c r="AF40" s="46">
        <v>61</v>
      </c>
      <c r="AG40" s="46">
        <v>25</v>
      </c>
    </row>
    <row r="41" spans="1:33" ht="14.5">
      <c r="A41" s="45"/>
      <c r="B41" s="45" t="s">
        <v>121</v>
      </c>
      <c r="C41" s="45" t="s">
        <v>11</v>
      </c>
      <c r="D41" s="46">
        <v>3023</v>
      </c>
      <c r="E41" s="46"/>
      <c r="F41" s="46">
        <v>2</v>
      </c>
      <c r="G41" s="46">
        <v>2</v>
      </c>
      <c r="H41" s="46">
        <v>0</v>
      </c>
      <c r="I41" s="46"/>
      <c r="J41" s="46">
        <v>195</v>
      </c>
      <c r="K41" s="46">
        <v>102</v>
      </c>
      <c r="L41" s="46">
        <v>93</v>
      </c>
      <c r="M41" s="46">
        <v>236</v>
      </c>
      <c r="N41" s="46">
        <v>128</v>
      </c>
      <c r="O41" s="46">
        <v>108</v>
      </c>
      <c r="P41" s="46">
        <v>107</v>
      </c>
      <c r="Q41" s="46">
        <v>50</v>
      </c>
      <c r="R41" s="46">
        <v>57</v>
      </c>
      <c r="S41" s="46">
        <v>158</v>
      </c>
      <c r="T41" s="46">
        <v>88</v>
      </c>
      <c r="U41" s="46">
        <v>70</v>
      </c>
      <c r="V41" s="46">
        <v>684</v>
      </c>
      <c r="W41" s="46">
        <v>0</v>
      </c>
      <c r="X41" s="46">
        <v>271</v>
      </c>
      <c r="Y41" s="46">
        <v>556</v>
      </c>
      <c r="Z41" s="46">
        <v>0</v>
      </c>
      <c r="AA41" s="46">
        <v>191</v>
      </c>
      <c r="AB41" s="46">
        <v>654</v>
      </c>
      <c r="AC41" s="46">
        <v>0</v>
      </c>
      <c r="AD41" s="46">
        <v>256</v>
      </c>
      <c r="AE41" s="46">
        <v>431</v>
      </c>
      <c r="AF41" s="46">
        <v>271</v>
      </c>
      <c r="AG41" s="46">
        <v>160</v>
      </c>
    </row>
    <row r="42" spans="1:33" ht="14.5">
      <c r="A42" s="45"/>
      <c r="B42" s="45" t="s">
        <v>122</v>
      </c>
      <c r="C42" s="45" t="s">
        <v>22</v>
      </c>
      <c r="D42" s="46">
        <v>1912</v>
      </c>
      <c r="E42" s="46"/>
      <c r="F42" s="46">
        <v>1</v>
      </c>
      <c r="G42" s="46">
        <v>0</v>
      </c>
      <c r="H42" s="46">
        <v>1</v>
      </c>
      <c r="I42" s="46"/>
      <c r="J42" s="46">
        <v>16</v>
      </c>
      <c r="K42" s="46">
        <v>12</v>
      </c>
      <c r="L42" s="46">
        <v>4</v>
      </c>
      <c r="M42" s="46">
        <v>29</v>
      </c>
      <c r="N42" s="46">
        <v>20</v>
      </c>
      <c r="O42" s="46">
        <v>9</v>
      </c>
      <c r="P42" s="46">
        <v>25</v>
      </c>
      <c r="Q42" s="46">
        <v>17</v>
      </c>
      <c r="R42" s="46">
        <v>8</v>
      </c>
      <c r="S42" s="46">
        <v>69</v>
      </c>
      <c r="T42" s="46">
        <v>40</v>
      </c>
      <c r="U42" s="46">
        <v>29</v>
      </c>
      <c r="V42" s="46">
        <v>591</v>
      </c>
      <c r="W42" s="46">
        <v>0</v>
      </c>
      <c r="X42" s="46">
        <v>203</v>
      </c>
      <c r="Y42" s="46">
        <v>483</v>
      </c>
      <c r="Z42" s="46">
        <v>0</v>
      </c>
      <c r="AA42" s="46">
        <v>183</v>
      </c>
      <c r="AB42" s="46">
        <v>540</v>
      </c>
      <c r="AC42" s="46">
        <v>0</v>
      </c>
      <c r="AD42" s="46">
        <v>220</v>
      </c>
      <c r="AE42" s="46">
        <v>158</v>
      </c>
      <c r="AF42" s="46">
        <v>79</v>
      </c>
      <c r="AG42" s="46">
        <v>79</v>
      </c>
    </row>
    <row r="43" spans="1:33" ht="14.5">
      <c r="A43" s="45"/>
      <c r="B43" s="45" t="s">
        <v>123</v>
      </c>
      <c r="C43" s="45" t="s">
        <v>12</v>
      </c>
      <c r="D43" s="46">
        <v>2118</v>
      </c>
      <c r="E43" s="46"/>
      <c r="F43" s="46">
        <v>18</v>
      </c>
      <c r="G43" s="46">
        <v>7</v>
      </c>
      <c r="H43" s="46">
        <v>11</v>
      </c>
      <c r="I43" s="46"/>
      <c r="J43" s="46">
        <v>220</v>
      </c>
      <c r="K43" s="46">
        <v>95</v>
      </c>
      <c r="L43" s="46">
        <v>125</v>
      </c>
      <c r="M43" s="46">
        <v>163</v>
      </c>
      <c r="N43" s="46">
        <v>83</v>
      </c>
      <c r="O43" s="46">
        <v>80</v>
      </c>
      <c r="P43" s="46">
        <v>134</v>
      </c>
      <c r="Q43" s="46">
        <v>70</v>
      </c>
      <c r="R43" s="46">
        <v>64</v>
      </c>
      <c r="S43" s="46">
        <v>199</v>
      </c>
      <c r="T43" s="46">
        <v>98</v>
      </c>
      <c r="U43" s="46">
        <v>101</v>
      </c>
      <c r="V43" s="46">
        <v>229</v>
      </c>
      <c r="W43" s="46">
        <v>0</v>
      </c>
      <c r="X43" s="46">
        <v>58</v>
      </c>
      <c r="Y43" s="46">
        <v>323</v>
      </c>
      <c r="Z43" s="46">
        <v>0</v>
      </c>
      <c r="AA43" s="46">
        <v>89</v>
      </c>
      <c r="AB43" s="46">
        <v>474</v>
      </c>
      <c r="AC43" s="46">
        <v>0</v>
      </c>
      <c r="AD43" s="46">
        <v>146</v>
      </c>
      <c r="AE43" s="46">
        <v>358</v>
      </c>
      <c r="AF43" s="46">
        <v>227</v>
      </c>
      <c r="AG43" s="46">
        <v>131</v>
      </c>
    </row>
    <row r="44" spans="1:33" ht="14.5">
      <c r="A44" s="45"/>
      <c r="B44" s="45" t="s">
        <v>124</v>
      </c>
      <c r="C44" s="45" t="s">
        <v>19</v>
      </c>
      <c r="D44" s="46">
        <v>2164</v>
      </c>
      <c r="E44" s="46"/>
      <c r="F44" s="46">
        <v>5</v>
      </c>
      <c r="G44" s="46">
        <v>5</v>
      </c>
      <c r="H44" s="46">
        <v>0</v>
      </c>
      <c r="I44" s="46"/>
      <c r="J44" s="46">
        <v>35</v>
      </c>
      <c r="K44" s="46">
        <v>19</v>
      </c>
      <c r="L44" s="46">
        <v>16</v>
      </c>
      <c r="M44" s="46">
        <v>94</v>
      </c>
      <c r="N44" s="46">
        <v>53</v>
      </c>
      <c r="O44" s="46">
        <v>41</v>
      </c>
      <c r="P44" s="46">
        <v>1</v>
      </c>
      <c r="Q44" s="46">
        <v>1</v>
      </c>
      <c r="R44" s="46">
        <v>0</v>
      </c>
      <c r="S44" s="46">
        <v>18</v>
      </c>
      <c r="T44" s="46">
        <v>6</v>
      </c>
      <c r="U44" s="46">
        <v>12</v>
      </c>
      <c r="V44" s="46">
        <v>599</v>
      </c>
      <c r="W44" s="46">
        <v>0</v>
      </c>
      <c r="X44" s="46">
        <v>297</v>
      </c>
      <c r="Y44" s="46">
        <v>411</v>
      </c>
      <c r="Z44" s="46">
        <v>0</v>
      </c>
      <c r="AA44" s="46">
        <v>188</v>
      </c>
      <c r="AB44" s="46">
        <v>660</v>
      </c>
      <c r="AC44" s="46">
        <v>0</v>
      </c>
      <c r="AD44" s="46">
        <v>297</v>
      </c>
      <c r="AE44" s="46">
        <v>341</v>
      </c>
      <c r="AF44" s="46">
        <v>163</v>
      </c>
      <c r="AG44" s="46">
        <v>178</v>
      </c>
    </row>
    <row r="45" spans="1:33" ht="14.5">
      <c r="A45" s="45"/>
      <c r="B45" s="45" t="s">
        <v>125</v>
      </c>
      <c r="C45" s="45" t="s">
        <v>14</v>
      </c>
      <c r="D45" s="46">
        <v>1189</v>
      </c>
      <c r="E45" s="46"/>
      <c r="F45" s="46">
        <v>45</v>
      </c>
      <c r="G45" s="46">
        <v>22</v>
      </c>
      <c r="H45" s="46">
        <v>23</v>
      </c>
      <c r="I45" s="46"/>
      <c r="J45" s="46">
        <v>130</v>
      </c>
      <c r="K45" s="46">
        <v>64</v>
      </c>
      <c r="L45" s="46">
        <v>66</v>
      </c>
      <c r="M45" s="46">
        <v>13</v>
      </c>
      <c r="N45" s="46">
        <v>7</v>
      </c>
      <c r="O45" s="46">
        <v>6</v>
      </c>
      <c r="P45" s="46">
        <v>5</v>
      </c>
      <c r="Q45" s="46">
        <v>3</v>
      </c>
      <c r="R45" s="46">
        <v>2</v>
      </c>
      <c r="S45" s="46">
        <v>31</v>
      </c>
      <c r="T45" s="46">
        <v>18</v>
      </c>
      <c r="U45" s="46">
        <v>13</v>
      </c>
      <c r="V45" s="46">
        <v>126</v>
      </c>
      <c r="W45" s="46">
        <v>0</v>
      </c>
      <c r="X45" s="46">
        <v>38</v>
      </c>
      <c r="Y45" s="46">
        <v>228</v>
      </c>
      <c r="Z45" s="46">
        <v>0</v>
      </c>
      <c r="AA45" s="46">
        <v>50</v>
      </c>
      <c r="AB45" s="46">
        <v>380</v>
      </c>
      <c r="AC45" s="46">
        <v>0</v>
      </c>
      <c r="AD45" s="46">
        <v>129</v>
      </c>
      <c r="AE45" s="46">
        <v>231</v>
      </c>
      <c r="AF45" s="46">
        <v>142</v>
      </c>
      <c r="AG45" s="46">
        <v>89</v>
      </c>
    </row>
    <row r="46" spans="1:33" ht="14.5">
      <c r="A46" s="45"/>
      <c r="B46" s="45" t="s">
        <v>126</v>
      </c>
      <c r="C46" s="45" t="s">
        <v>21</v>
      </c>
      <c r="D46" s="46">
        <v>1521</v>
      </c>
      <c r="E46" s="46"/>
      <c r="F46" s="46">
        <v>0</v>
      </c>
      <c r="G46" s="46">
        <v>0</v>
      </c>
      <c r="H46" s="46">
        <v>0</v>
      </c>
      <c r="I46" s="46"/>
      <c r="J46" s="46">
        <v>24</v>
      </c>
      <c r="K46" s="46">
        <v>17</v>
      </c>
      <c r="L46" s="46">
        <v>7</v>
      </c>
      <c r="M46" s="46">
        <v>444</v>
      </c>
      <c r="N46" s="46">
        <v>241</v>
      </c>
      <c r="O46" s="46">
        <v>203</v>
      </c>
      <c r="P46" s="46">
        <v>148</v>
      </c>
      <c r="Q46" s="46">
        <v>71</v>
      </c>
      <c r="R46" s="46">
        <v>77</v>
      </c>
      <c r="S46" s="46">
        <v>17</v>
      </c>
      <c r="T46" s="46">
        <v>8</v>
      </c>
      <c r="U46" s="46">
        <v>9</v>
      </c>
      <c r="V46" s="46">
        <v>100</v>
      </c>
      <c r="W46" s="46">
        <v>0</v>
      </c>
      <c r="X46" s="46">
        <v>32</v>
      </c>
      <c r="Y46" s="46">
        <v>148</v>
      </c>
      <c r="Z46" s="46">
        <v>0</v>
      </c>
      <c r="AA46" s="46">
        <v>47</v>
      </c>
      <c r="AB46" s="46">
        <v>332</v>
      </c>
      <c r="AC46" s="46">
        <v>0</v>
      </c>
      <c r="AD46" s="46">
        <v>131</v>
      </c>
      <c r="AE46" s="46">
        <v>308</v>
      </c>
      <c r="AF46" s="46">
        <v>181</v>
      </c>
      <c r="AG46" s="46">
        <v>127</v>
      </c>
    </row>
    <row r="47" spans="1:33" ht="14.5">
      <c r="A47" s="45"/>
      <c r="B47" s="45" t="s">
        <v>127</v>
      </c>
      <c r="C47" s="45" t="s">
        <v>17</v>
      </c>
      <c r="D47" s="46">
        <v>2034</v>
      </c>
      <c r="E47" s="46"/>
      <c r="F47" s="46">
        <v>6</v>
      </c>
      <c r="G47" s="46">
        <v>3</v>
      </c>
      <c r="H47" s="46">
        <v>3</v>
      </c>
      <c r="I47" s="46"/>
      <c r="J47" s="46">
        <v>97</v>
      </c>
      <c r="K47" s="46">
        <v>50</v>
      </c>
      <c r="L47" s="46">
        <v>47</v>
      </c>
      <c r="M47" s="46">
        <v>252</v>
      </c>
      <c r="N47" s="46">
        <v>112</v>
      </c>
      <c r="O47" s="46">
        <v>140</v>
      </c>
      <c r="P47" s="46">
        <v>127</v>
      </c>
      <c r="Q47" s="46">
        <v>65</v>
      </c>
      <c r="R47" s="46">
        <v>62</v>
      </c>
      <c r="S47" s="46">
        <v>75</v>
      </c>
      <c r="T47" s="46">
        <v>38</v>
      </c>
      <c r="U47" s="46">
        <v>37</v>
      </c>
      <c r="V47" s="46">
        <v>318</v>
      </c>
      <c r="W47" s="46">
        <v>0</v>
      </c>
      <c r="X47" s="46">
        <v>85</v>
      </c>
      <c r="Y47" s="46">
        <v>314</v>
      </c>
      <c r="Z47" s="46">
        <v>0</v>
      </c>
      <c r="AA47" s="46">
        <v>95</v>
      </c>
      <c r="AB47" s="46">
        <v>484</v>
      </c>
      <c r="AC47" s="46">
        <v>0</v>
      </c>
      <c r="AD47" s="46">
        <v>151</v>
      </c>
      <c r="AE47" s="46">
        <v>361</v>
      </c>
      <c r="AF47" s="46">
        <v>229</v>
      </c>
      <c r="AG47" s="46">
        <v>132</v>
      </c>
    </row>
    <row r="48" spans="1:33" ht="14.5">
      <c r="A48" s="15"/>
      <c r="B48" s="15" t="s">
        <v>128</v>
      </c>
      <c r="C48" s="30"/>
      <c r="D48" s="30">
        <f>SUM(D36:D47)</f>
        <v>21129</v>
      </c>
      <c r="E48" s="30"/>
      <c r="F48" s="30">
        <f t="shared" ref="F48:H48" si="0">SUM(F36:F47)</f>
        <v>226</v>
      </c>
      <c r="G48" s="30">
        <f t="shared" si="0"/>
        <v>110</v>
      </c>
      <c r="H48" s="30">
        <f t="shared" si="0"/>
        <v>116</v>
      </c>
      <c r="I48" s="30"/>
      <c r="J48" s="30">
        <f t="shared" ref="J48:AG48" si="1">SUM(J36:J47)</f>
        <v>1301</v>
      </c>
      <c r="K48" s="30">
        <f t="shared" si="1"/>
        <v>630</v>
      </c>
      <c r="L48" s="30">
        <f t="shared" si="1"/>
        <v>671</v>
      </c>
      <c r="M48" s="30">
        <f t="shared" si="1"/>
        <v>1751</v>
      </c>
      <c r="N48" s="30">
        <f t="shared" si="1"/>
        <v>887</v>
      </c>
      <c r="O48" s="30">
        <f t="shared" si="1"/>
        <v>864</v>
      </c>
      <c r="P48" s="30">
        <f t="shared" si="1"/>
        <v>745</v>
      </c>
      <c r="Q48" s="30">
        <f t="shared" si="1"/>
        <v>377</v>
      </c>
      <c r="R48" s="30">
        <f t="shared" si="1"/>
        <v>368</v>
      </c>
      <c r="S48" s="30">
        <f t="shared" si="1"/>
        <v>797</v>
      </c>
      <c r="T48" s="30">
        <f t="shared" si="1"/>
        <v>422</v>
      </c>
      <c r="U48" s="30">
        <f t="shared" si="1"/>
        <v>375</v>
      </c>
      <c r="V48" s="30">
        <f t="shared" si="1"/>
        <v>3883</v>
      </c>
      <c r="W48" s="30">
        <f t="shared" si="1"/>
        <v>0</v>
      </c>
      <c r="X48" s="30">
        <f t="shared" si="1"/>
        <v>1460</v>
      </c>
      <c r="Y48" s="30">
        <f t="shared" si="1"/>
        <v>3696</v>
      </c>
      <c r="Z48" s="30">
        <f t="shared" si="1"/>
        <v>0</v>
      </c>
      <c r="AA48" s="30">
        <f t="shared" si="1"/>
        <v>1247</v>
      </c>
      <c r="AB48" s="30">
        <f t="shared" si="1"/>
        <v>5309</v>
      </c>
      <c r="AC48" s="30">
        <f t="shared" si="1"/>
        <v>0</v>
      </c>
      <c r="AD48" s="30">
        <f t="shared" si="1"/>
        <v>2007</v>
      </c>
      <c r="AE48" s="30">
        <f t="shared" si="1"/>
        <v>3421</v>
      </c>
      <c r="AF48" s="30">
        <f t="shared" si="1"/>
        <v>2004</v>
      </c>
      <c r="AG48" s="30">
        <f t="shared" si="1"/>
        <v>1417</v>
      </c>
    </row>
    <row r="49" spans="1:33" ht="14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4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4.5">
      <c r="A51" s="15"/>
      <c r="B51" s="15" t="s">
        <v>129</v>
      </c>
      <c r="C51" s="30"/>
      <c r="D51" s="3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4.5">
      <c r="A52" s="15"/>
      <c r="B52" s="15" t="s">
        <v>67</v>
      </c>
      <c r="C52" s="30"/>
      <c r="D52" s="3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4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4.5">
      <c r="A54" s="23"/>
      <c r="B54" s="15" t="s">
        <v>130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4.5">
      <c r="A55" s="23"/>
      <c r="B55" s="15" t="s">
        <v>131</v>
      </c>
      <c r="C55" s="23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4.5">
      <c r="A56" s="23"/>
      <c r="B56" s="23" t="s">
        <v>132</v>
      </c>
      <c r="C56" s="23" t="s">
        <v>133</v>
      </c>
      <c r="D56" s="23" t="s">
        <v>65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4.5">
      <c r="A57" s="23"/>
      <c r="B57" s="23">
        <v>1629</v>
      </c>
      <c r="C57" s="23">
        <v>3541</v>
      </c>
      <c r="D57" s="1">
        <f>SUM(B57:C57)</f>
        <v>5170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4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4.5">
      <c r="A59" s="23"/>
      <c r="B59" s="23" t="s">
        <v>134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4.5">
      <c r="A60" s="26"/>
      <c r="B60" s="171" t="s">
        <v>135</v>
      </c>
      <c r="C60" s="129"/>
      <c r="D60" s="129"/>
      <c r="E60" s="171" t="s">
        <v>136</v>
      </c>
      <c r="F60" s="129"/>
      <c r="G60" s="129"/>
      <c r="H60" s="129"/>
      <c r="I60" s="26"/>
      <c r="J60" s="171" t="s">
        <v>137</v>
      </c>
      <c r="K60" s="129"/>
      <c r="L60" s="129"/>
      <c r="M60" s="12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4.5">
      <c r="A61" s="23" t="s">
        <v>138</v>
      </c>
      <c r="B61" s="23" t="s">
        <v>139</v>
      </c>
      <c r="C61" s="23" t="s">
        <v>140</v>
      </c>
      <c r="D61" s="23" t="s">
        <v>141</v>
      </c>
      <c r="E61" s="23" t="s">
        <v>142</v>
      </c>
      <c r="F61" s="23" t="s">
        <v>139</v>
      </c>
      <c r="G61" s="23" t="s">
        <v>143</v>
      </c>
      <c r="H61" s="23" t="s">
        <v>144</v>
      </c>
      <c r="I61" s="23" t="s">
        <v>142</v>
      </c>
      <c r="J61" s="23" t="s">
        <v>145</v>
      </c>
      <c r="K61" s="23" t="s">
        <v>139</v>
      </c>
      <c r="L61" s="23" t="s">
        <v>146</v>
      </c>
      <c r="M61" s="23" t="s">
        <v>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4.5">
      <c r="A62" s="15">
        <f>SUM(B62:D62)</f>
        <v>4677</v>
      </c>
      <c r="B62" s="23">
        <v>3679</v>
      </c>
      <c r="C62" s="23">
        <v>497</v>
      </c>
      <c r="D62" s="23">
        <v>501</v>
      </c>
      <c r="E62" s="15">
        <f>SUM(F62:H62)</f>
        <v>3129</v>
      </c>
      <c r="F62" s="23">
        <v>2702</v>
      </c>
      <c r="G62" s="23">
        <v>259</v>
      </c>
      <c r="H62" s="23">
        <v>168</v>
      </c>
      <c r="I62" s="15">
        <f>SUM(J62:M62)</f>
        <v>4683</v>
      </c>
      <c r="J62" s="23">
        <v>430</v>
      </c>
      <c r="K62" s="23">
        <v>3456</v>
      </c>
      <c r="L62" s="23">
        <v>405</v>
      </c>
      <c r="M62" s="23">
        <v>392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4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4.5">
      <c r="A64" s="171" t="s">
        <v>147</v>
      </c>
      <c r="B64" s="129"/>
      <c r="C64" s="129"/>
      <c r="D64" s="171" t="s">
        <v>148</v>
      </c>
      <c r="E64" s="129"/>
      <c r="F64" s="12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4.5">
      <c r="A65" s="23" t="s">
        <v>149</v>
      </c>
      <c r="B65" s="23" t="s">
        <v>139</v>
      </c>
      <c r="C65" s="23" t="s">
        <v>150</v>
      </c>
      <c r="D65" s="23" t="s">
        <v>149</v>
      </c>
      <c r="E65" s="23" t="s">
        <v>151</v>
      </c>
      <c r="F65" s="23" t="s">
        <v>139</v>
      </c>
      <c r="G65" s="23" t="s">
        <v>152</v>
      </c>
      <c r="H65" s="23" t="s">
        <v>153</v>
      </c>
      <c r="I65" s="23" t="s">
        <v>154</v>
      </c>
      <c r="J65" s="23" t="s">
        <v>155</v>
      </c>
      <c r="K65" s="23" t="s">
        <v>156</v>
      </c>
      <c r="L65" s="23" t="s">
        <v>157</v>
      </c>
      <c r="M65" s="23" t="s">
        <v>158</v>
      </c>
      <c r="N65" s="23" t="s">
        <v>159</v>
      </c>
      <c r="O65" s="23" t="s">
        <v>160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4.5">
      <c r="A66" s="15">
        <v>4684</v>
      </c>
      <c r="B66" s="23">
        <v>3851</v>
      </c>
      <c r="C66" s="23">
        <v>833</v>
      </c>
      <c r="D66" s="15">
        <v>1072</v>
      </c>
      <c r="E66" s="23">
        <v>3</v>
      </c>
      <c r="F66" s="23">
        <v>1069</v>
      </c>
      <c r="G66" s="23">
        <v>250</v>
      </c>
      <c r="H66" s="23">
        <v>2</v>
      </c>
      <c r="I66" s="23">
        <v>248</v>
      </c>
      <c r="J66" s="23">
        <v>36</v>
      </c>
      <c r="K66" s="23">
        <v>0</v>
      </c>
      <c r="L66" s="23">
        <v>36</v>
      </c>
      <c r="M66" s="23">
        <v>187</v>
      </c>
      <c r="N66" s="23">
        <v>1</v>
      </c>
      <c r="O66" s="23">
        <v>186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4.5">
      <c r="A68" s="23" t="s">
        <v>161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4.5">
      <c r="A69" s="23" t="s">
        <v>149</v>
      </c>
      <c r="B69" s="23" t="s">
        <v>139</v>
      </c>
      <c r="C69" s="23" t="s">
        <v>162</v>
      </c>
      <c r="D69" s="23" t="s">
        <v>163</v>
      </c>
      <c r="E69" s="23" t="s">
        <v>164</v>
      </c>
      <c r="F69" s="23" t="s">
        <v>165</v>
      </c>
      <c r="G69" s="23" t="s">
        <v>166</v>
      </c>
      <c r="H69" s="23" t="s">
        <v>160</v>
      </c>
      <c r="I69" s="23" t="s">
        <v>167</v>
      </c>
      <c r="J69" s="23" t="s">
        <v>168</v>
      </c>
      <c r="K69" s="23" t="s">
        <v>157</v>
      </c>
      <c r="L69" s="23" t="s">
        <v>169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4.5">
      <c r="A70" s="23">
        <v>210</v>
      </c>
      <c r="B70" s="23">
        <v>208</v>
      </c>
      <c r="C70" s="23">
        <v>2</v>
      </c>
      <c r="D70" s="23">
        <v>47</v>
      </c>
      <c r="E70" s="23">
        <v>47</v>
      </c>
      <c r="F70" s="23">
        <v>0</v>
      </c>
      <c r="G70" s="23">
        <v>38</v>
      </c>
      <c r="H70" s="23">
        <v>38</v>
      </c>
      <c r="I70" s="23">
        <v>0</v>
      </c>
      <c r="J70" s="23">
        <v>2</v>
      </c>
      <c r="K70" s="23">
        <v>2</v>
      </c>
      <c r="L70" s="23">
        <v>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4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4.5">
      <c r="A72" s="23" t="s">
        <v>170</v>
      </c>
      <c r="B72" s="1"/>
      <c r="C72" s="1"/>
      <c r="D72" s="1"/>
      <c r="E72" s="23" t="s">
        <v>171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4.5">
      <c r="A73" s="23" t="s">
        <v>142</v>
      </c>
      <c r="B73" s="23" t="s">
        <v>172</v>
      </c>
      <c r="C73" s="23" t="s">
        <v>173</v>
      </c>
      <c r="D73" s="23" t="s">
        <v>174</v>
      </c>
      <c r="E73" s="23" t="s">
        <v>142</v>
      </c>
      <c r="F73" s="23" t="s">
        <v>139</v>
      </c>
      <c r="G73" s="23" t="s">
        <v>175</v>
      </c>
      <c r="H73" s="23" t="s">
        <v>176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4.5">
      <c r="A74" s="23">
        <v>437</v>
      </c>
      <c r="B74" s="23">
        <v>437</v>
      </c>
      <c r="C74" s="23">
        <v>0</v>
      </c>
      <c r="D74" s="23">
        <v>0</v>
      </c>
      <c r="E74" s="23">
        <v>207</v>
      </c>
      <c r="F74" s="23">
        <v>207</v>
      </c>
      <c r="G74" s="23">
        <v>0</v>
      </c>
      <c r="H74" s="23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4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4.5">
      <c r="A76" s="23" t="s">
        <v>177</v>
      </c>
      <c r="B76" s="1"/>
      <c r="C76" s="1"/>
      <c r="D76" s="1"/>
      <c r="E76" s="23" t="s">
        <v>178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5">
      <c r="A77" s="23" t="s">
        <v>142</v>
      </c>
      <c r="B77" s="23" t="s">
        <v>179</v>
      </c>
      <c r="C77" s="23" t="s">
        <v>180</v>
      </c>
      <c r="D77" s="23" t="s">
        <v>181</v>
      </c>
      <c r="E77" s="23" t="s">
        <v>142</v>
      </c>
      <c r="F77" s="23" t="s">
        <v>182</v>
      </c>
      <c r="G77" s="23" t="s">
        <v>183</v>
      </c>
      <c r="H77" s="23" t="s">
        <v>184</v>
      </c>
      <c r="I77" s="23" t="s">
        <v>185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5">
      <c r="A78" s="23">
        <v>368</v>
      </c>
      <c r="B78" s="23">
        <v>194</v>
      </c>
      <c r="C78" s="23">
        <v>155</v>
      </c>
      <c r="D78" s="23">
        <v>19</v>
      </c>
      <c r="E78" s="23">
        <v>7</v>
      </c>
      <c r="F78" s="23">
        <v>7</v>
      </c>
      <c r="G78" s="23">
        <v>0</v>
      </c>
      <c r="H78" s="23">
        <v>0</v>
      </c>
      <c r="I78" s="23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5">
      <c r="A80" s="23" t="s">
        <v>186</v>
      </c>
      <c r="B80" s="1"/>
      <c r="C80" s="1"/>
      <c r="D80" s="1"/>
      <c r="E80" s="23" t="s">
        <v>187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5">
      <c r="A81" s="23" t="s">
        <v>142</v>
      </c>
      <c r="B81" s="23" t="s">
        <v>179</v>
      </c>
      <c r="C81" s="23" t="s">
        <v>188</v>
      </c>
      <c r="D81" s="23" t="s">
        <v>189</v>
      </c>
      <c r="E81" s="23" t="s">
        <v>142</v>
      </c>
      <c r="F81" s="23" t="s">
        <v>179</v>
      </c>
      <c r="G81" s="23" t="s">
        <v>189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5">
      <c r="A82" s="23">
        <v>27</v>
      </c>
      <c r="B82" s="23">
        <v>0</v>
      </c>
      <c r="C82" s="23">
        <v>25</v>
      </c>
      <c r="D82" s="23">
        <v>2</v>
      </c>
      <c r="E82" s="23">
        <v>24</v>
      </c>
      <c r="F82" s="23">
        <v>22</v>
      </c>
      <c r="G82" s="23">
        <v>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5">
      <c r="A84" s="23" t="s">
        <v>190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5">
      <c r="A85" s="23" t="s">
        <v>142</v>
      </c>
      <c r="B85" s="23" t="s">
        <v>191</v>
      </c>
      <c r="C85" s="23" t="s">
        <v>192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5">
      <c r="A86" s="23">
        <v>1</v>
      </c>
      <c r="B86" s="23">
        <v>1</v>
      </c>
      <c r="C86" s="23">
        <v>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5">
      <c r="A88" s="23" t="s">
        <v>193</v>
      </c>
      <c r="B88" s="1"/>
      <c r="C88" s="1"/>
      <c r="D88" s="1"/>
      <c r="E88" s="1"/>
      <c r="F88" s="23" t="s">
        <v>194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5">
      <c r="A89" s="23" t="s">
        <v>142</v>
      </c>
      <c r="B89" s="23" t="s">
        <v>139</v>
      </c>
      <c r="C89" s="23" t="s">
        <v>195</v>
      </c>
      <c r="D89" s="23" t="s">
        <v>196</v>
      </c>
      <c r="E89" s="23" t="s">
        <v>197</v>
      </c>
      <c r="F89" s="23" t="s">
        <v>142</v>
      </c>
      <c r="G89" s="23" t="s">
        <v>198</v>
      </c>
      <c r="H89" s="23" t="s">
        <v>199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5">
      <c r="A90" s="23">
        <v>2351</v>
      </c>
      <c r="B90" s="23">
        <v>1982</v>
      </c>
      <c r="C90" s="23">
        <v>265</v>
      </c>
      <c r="D90" s="23">
        <v>92</v>
      </c>
      <c r="E90" s="23">
        <v>12</v>
      </c>
      <c r="F90" s="23">
        <v>852</v>
      </c>
      <c r="G90" s="23">
        <v>823</v>
      </c>
      <c r="H90" s="23">
        <v>29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5">
      <c r="A92" s="23" t="s">
        <v>200</v>
      </c>
      <c r="B92" s="1"/>
      <c r="C92" s="1"/>
      <c r="D92" s="23" t="s">
        <v>201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4.5">
      <c r="A93" s="23" t="s">
        <v>142</v>
      </c>
      <c r="B93" s="23" t="s">
        <v>139</v>
      </c>
      <c r="C93" s="23" t="s">
        <v>202</v>
      </c>
      <c r="D93" s="23" t="s">
        <v>149</v>
      </c>
      <c r="E93" s="23" t="s">
        <v>139</v>
      </c>
      <c r="F93" s="23" t="s">
        <v>203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4.5">
      <c r="A94" s="23">
        <v>2401</v>
      </c>
      <c r="B94" s="23">
        <v>2298</v>
      </c>
      <c r="C94" s="23">
        <v>103</v>
      </c>
      <c r="D94" s="23">
        <v>1530</v>
      </c>
      <c r="E94" s="23">
        <v>1529</v>
      </c>
      <c r="F94" s="23">
        <v>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4.5">
      <c r="A96" s="23" t="s">
        <v>10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5">
      <c r="A97" s="23" t="s">
        <v>142</v>
      </c>
      <c r="B97" s="23" t="s">
        <v>179</v>
      </c>
      <c r="C97" s="23" t="s">
        <v>181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5">
      <c r="A98" s="23">
        <v>178</v>
      </c>
      <c r="B98" s="23">
        <v>177</v>
      </c>
      <c r="C98" s="23">
        <v>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4.5">
      <c r="A100" s="15" t="s">
        <v>130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4.5">
      <c r="A101" s="15" t="s">
        <v>204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4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4.5">
      <c r="A103" s="23" t="s">
        <v>132</v>
      </c>
      <c r="B103" s="23" t="s">
        <v>133</v>
      </c>
      <c r="C103" s="23" t="s">
        <v>65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4.5">
      <c r="A104" s="23">
        <v>1506</v>
      </c>
      <c r="B104" s="23">
        <v>3174</v>
      </c>
      <c r="C104" s="1">
        <f>SUM(A104:B104)</f>
        <v>4680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4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4.5">
      <c r="A106" s="23" t="s">
        <v>205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4.5">
      <c r="A107" s="23" t="s">
        <v>206</v>
      </c>
      <c r="B107" s="23" t="s">
        <v>207</v>
      </c>
      <c r="C107" s="23" t="s">
        <v>208</v>
      </c>
      <c r="D107" s="23" t="s">
        <v>209</v>
      </c>
      <c r="E107" s="23" t="s">
        <v>210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4.5">
      <c r="A108" s="23">
        <v>4</v>
      </c>
      <c r="B108" s="23">
        <v>2</v>
      </c>
      <c r="C108" s="23">
        <v>0</v>
      </c>
      <c r="D108" s="23">
        <v>0</v>
      </c>
      <c r="E108" s="23">
        <v>2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4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5">
      <c r="A110" s="23" t="s">
        <v>211</v>
      </c>
      <c r="B110" s="23" t="s">
        <v>212</v>
      </c>
      <c r="C110" s="23" t="s">
        <v>213</v>
      </c>
      <c r="D110" s="23" t="s">
        <v>214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4.5">
      <c r="A111" s="23">
        <v>453</v>
      </c>
      <c r="B111" s="23">
        <v>143</v>
      </c>
      <c r="C111" s="23">
        <v>1</v>
      </c>
      <c r="D111" s="23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4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4.5">
      <c r="A113" s="23" t="s">
        <v>215</v>
      </c>
      <c r="B113" s="23" t="s">
        <v>216</v>
      </c>
      <c r="C113" s="23" t="s">
        <v>217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4.5">
      <c r="A114" s="23">
        <v>0</v>
      </c>
      <c r="B114" s="23">
        <v>0</v>
      </c>
      <c r="C114" s="23">
        <v>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4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4.5">
      <c r="A116" s="23" t="s">
        <v>218</v>
      </c>
      <c r="B116" s="23" t="s">
        <v>219</v>
      </c>
      <c r="C116" s="23" t="s">
        <v>220</v>
      </c>
      <c r="D116" s="23" t="s">
        <v>221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4.5">
      <c r="A117" s="23">
        <v>0</v>
      </c>
      <c r="B117" s="23">
        <v>0</v>
      </c>
      <c r="C117" s="23">
        <v>0</v>
      </c>
      <c r="D117" s="23"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4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4.5">
      <c r="A119" s="23" t="s">
        <v>222</v>
      </c>
      <c r="B119" s="23" t="s">
        <v>223</v>
      </c>
      <c r="C119" s="23" t="s">
        <v>194</v>
      </c>
      <c r="D119" s="23" t="s">
        <v>224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4.5">
      <c r="A120" s="23">
        <v>0</v>
      </c>
      <c r="B120" s="23">
        <v>0</v>
      </c>
      <c r="C120" s="23">
        <v>0</v>
      </c>
      <c r="D120" s="23">
        <v>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4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4.5">
      <c r="A122" s="23" t="s">
        <v>10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4.5">
      <c r="A123" s="23" t="s">
        <v>225</v>
      </c>
      <c r="B123" s="23" t="s">
        <v>226</v>
      </c>
      <c r="C123" s="23" t="s">
        <v>227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4.5">
      <c r="A124" s="23">
        <v>0</v>
      </c>
      <c r="B124" s="23">
        <v>0</v>
      </c>
      <c r="C124" s="23">
        <v>0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4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4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4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4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4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4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4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4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4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4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4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4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4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4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4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4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4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4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4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4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4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4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4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4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4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4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4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4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4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4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4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4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4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4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4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4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4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4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4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4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4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4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4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4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4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4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4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4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4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4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4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4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4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4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4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4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4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4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4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4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4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4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4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4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4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4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4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4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4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4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4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4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4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4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4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4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4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4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4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4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4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4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4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4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4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4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4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4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4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4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4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4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4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4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4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4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4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4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4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4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4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4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4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4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4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4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4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4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4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4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4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4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4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4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4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4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4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4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4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4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4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4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4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4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4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4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4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4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4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4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4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4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4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4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4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4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4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4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4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4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4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4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4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4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4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4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4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4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4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4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4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4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4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4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4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4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4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4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4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4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4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4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4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4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4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4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4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4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4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4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4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4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4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4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4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4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4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4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4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4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4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4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4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4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4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4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4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4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4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4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4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4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4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4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4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4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4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4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4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4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4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4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4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4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4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4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4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4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4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4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4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4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4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4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4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4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4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4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4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4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4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4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4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4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4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4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4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4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4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4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4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4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4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4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4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4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4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4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4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4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4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4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4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4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4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4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4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4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4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4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4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4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4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4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4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4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4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4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4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4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4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4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4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4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4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4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4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4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4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4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4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4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4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4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4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4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4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4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4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4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4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4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4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4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4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4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4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4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4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4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4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4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4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4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4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4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4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4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4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4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4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4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4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4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4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4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4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4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4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4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4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4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4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4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4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4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4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4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4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4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4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4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4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4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4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4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4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4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4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4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4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4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4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4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4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4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4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4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4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4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4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4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4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4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4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4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4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4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4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4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4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4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4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4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4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4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4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4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4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4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4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4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4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4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4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4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4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4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4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4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4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4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4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4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4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4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4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4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4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4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4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4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4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4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4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4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4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4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4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4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4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4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4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4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4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4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4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4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4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4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4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4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4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4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4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4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4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4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4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4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4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4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4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4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4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4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4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4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4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4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4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4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4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4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4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4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4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4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4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4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4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4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4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4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4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4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4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4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4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4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4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4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4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4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4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4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4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4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4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4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4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4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4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4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4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4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4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4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4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4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4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4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4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4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4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4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4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4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4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4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4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4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4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4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4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4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4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4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4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4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4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4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4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4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4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4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4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4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4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4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4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4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4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4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4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4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4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4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4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4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4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4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4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4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4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4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4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4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4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4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4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4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4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4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4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4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4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4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4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4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4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4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4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4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4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4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4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4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4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4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4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4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4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4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4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4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4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4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4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4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4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4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4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4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4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4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4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4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4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4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4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4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4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4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4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4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4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4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4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4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4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4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4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4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4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4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4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4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4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4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4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4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4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4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4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4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4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4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4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4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4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4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4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4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4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4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4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4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4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4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4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4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4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4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4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4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4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4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4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4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4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4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4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4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4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4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4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4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4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4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4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4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4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4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4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4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4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4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4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4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4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4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4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4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4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4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4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4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4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4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4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4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4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4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4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4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4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4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4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4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4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4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4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4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4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4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4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4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4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4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4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4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4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4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4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4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4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4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4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4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4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4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4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4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4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4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4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4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4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4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4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4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4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4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4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4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4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4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4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4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4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4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4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4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4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4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4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4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4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4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4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4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4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4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4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4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4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4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4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4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4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4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4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4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4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4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4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4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4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4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4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4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4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4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4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4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4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4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4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4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4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4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4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4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4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4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4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4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4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4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4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4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4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4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4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4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4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4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4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4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4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4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4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4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4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4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4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4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4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4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4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4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4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4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4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4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4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4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4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4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4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4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4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4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4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4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4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4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4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4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4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4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4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4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4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4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4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4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4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4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4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4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4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4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4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4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4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4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4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4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4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4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4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4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4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4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4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4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4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4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4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4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4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4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4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4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4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4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4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4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4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4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4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4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4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4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4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4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4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4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4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4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4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4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4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4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4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4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4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4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4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4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4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4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4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4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4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4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4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4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4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4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4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4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4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4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4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4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4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4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4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4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4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4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4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4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4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4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4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4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4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4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4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4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4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4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4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4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4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4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4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4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4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4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4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4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ht="14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ht="14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</sheetData>
  <mergeCells count="7">
    <mergeCell ref="J60:M60"/>
    <mergeCell ref="A64:C64"/>
    <mergeCell ref="D64:F64"/>
    <mergeCell ref="C5:F5"/>
    <mergeCell ref="C18:F18"/>
    <mergeCell ref="B60:D60"/>
    <mergeCell ref="E60:H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Capaian Skrining PTM Per Bulan</vt:lpstr>
      <vt:lpstr>TW 2 SPM</vt:lpstr>
      <vt:lpstr>Semester 1 (PTM)</vt:lpstr>
      <vt:lpstr>HPV DNA </vt:lpstr>
      <vt:lpstr>HPV DNA 2</vt:lpstr>
      <vt:lpstr>HPV DNA 3</vt:lpstr>
      <vt:lpstr>MASTER_PUSKESMAS</vt:lpstr>
      <vt:lpstr>MASTER_INDIKATOR</vt:lpstr>
      <vt:lpstr>TARGET</vt:lpstr>
      <vt:lpstr>REALISASI</vt:lpstr>
      <vt:lpstr>Tarikan ASIK</vt:lpstr>
      <vt:lpstr>'Capaian Skrining PTM Per Bulan'!Print_Area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2026-07-29T06:01:40Z</cp:lastPrinted>
  <dcterms:created xsi:type="dcterms:W3CDTF">2026-08-04T11:26:31Z</dcterms:created>
  <dcterms:modified xsi:type="dcterms:W3CDTF">2026-08-04T13:14:48Z</dcterms:modified>
</cp:coreProperties>
</file>