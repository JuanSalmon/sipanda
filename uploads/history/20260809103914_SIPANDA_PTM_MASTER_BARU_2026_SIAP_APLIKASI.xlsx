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F65883-BA71-481A-999C-CC53F8810270}" xr6:coauthVersionLast="43" xr6:coauthVersionMax="43" xr10:uidLastSave="{00000000-0000-0000-0000-000000000000}"/>
  <bookViews>
    <workbookView xWindow="1900" yWindow="1900" windowWidth="14400" windowHeight="7270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70" i="21" l="1"/>
  <c r="M70" i="21"/>
  <c r="L70" i="21"/>
  <c r="K70" i="21"/>
  <c r="J70" i="21"/>
  <c r="G70" i="21"/>
  <c r="F70" i="21"/>
  <c r="E70" i="21"/>
  <c r="H70" i="21" s="1"/>
  <c r="I70" i="21" s="1"/>
  <c r="D70" i="21"/>
  <c r="M69" i="21"/>
  <c r="O69" i="21" s="1"/>
  <c r="P69" i="21" s="1"/>
  <c r="H69" i="21"/>
  <c r="I69" i="21" s="1"/>
  <c r="N68" i="21"/>
  <c r="M68" i="21"/>
  <c r="O68" i="21" s="1"/>
  <c r="P68" i="21" s="1"/>
  <c r="H68" i="21"/>
  <c r="I68" i="21" s="1"/>
  <c r="O67" i="21"/>
  <c r="P67" i="21" s="1"/>
  <c r="N67" i="21"/>
  <c r="M67" i="21"/>
  <c r="I67" i="21"/>
  <c r="H67" i="21"/>
  <c r="M66" i="21"/>
  <c r="N66" i="21" s="1"/>
  <c r="I66" i="21"/>
  <c r="H66" i="21"/>
  <c r="M65" i="21"/>
  <c r="O65" i="21" s="1"/>
  <c r="P65" i="21" s="1"/>
  <c r="H65" i="21"/>
  <c r="I65" i="21" s="1"/>
  <c r="N64" i="21"/>
  <c r="M64" i="21"/>
  <c r="O64" i="21" s="1"/>
  <c r="P64" i="21" s="1"/>
  <c r="H64" i="21"/>
  <c r="I64" i="21" s="1"/>
  <c r="O63" i="21"/>
  <c r="P63" i="21" s="1"/>
  <c r="N63" i="21"/>
  <c r="M63" i="21"/>
  <c r="I63" i="21"/>
  <c r="H63" i="21"/>
  <c r="M62" i="21"/>
  <c r="O62" i="21" s="1"/>
  <c r="P62" i="21" s="1"/>
  <c r="I62" i="21"/>
  <c r="H62" i="21"/>
  <c r="M61" i="21"/>
  <c r="O61" i="21" s="1"/>
  <c r="P61" i="21" s="1"/>
  <c r="H61" i="21"/>
  <c r="I61" i="21" s="1"/>
  <c r="N60" i="21"/>
  <c r="M60" i="21"/>
  <c r="O60" i="21" s="1"/>
  <c r="P60" i="21" s="1"/>
  <c r="H60" i="21"/>
  <c r="I60" i="21" s="1"/>
  <c r="O59" i="21"/>
  <c r="P59" i="21" s="1"/>
  <c r="N59" i="21"/>
  <c r="M59" i="21"/>
  <c r="I59" i="21"/>
  <c r="H59" i="21"/>
  <c r="M58" i="21"/>
  <c r="N58" i="21" s="1"/>
  <c r="I58" i="21"/>
  <c r="H58" i="21"/>
  <c r="L53" i="21"/>
  <c r="K53" i="21"/>
  <c r="J53" i="21"/>
  <c r="M53" i="21" s="1"/>
  <c r="N53" i="21" s="1"/>
  <c r="G53" i="21"/>
  <c r="F53" i="21"/>
  <c r="E53" i="21"/>
  <c r="D53" i="21"/>
  <c r="O52" i="21"/>
  <c r="P52" i="21" s="1"/>
  <c r="M52" i="21"/>
  <c r="N52" i="21" s="1"/>
  <c r="H52" i="21"/>
  <c r="I52" i="21" s="1"/>
  <c r="M51" i="21"/>
  <c r="N51" i="21" s="1"/>
  <c r="H51" i="21"/>
  <c r="I51" i="21" s="1"/>
  <c r="M50" i="21"/>
  <c r="O50" i="21" s="1"/>
  <c r="P50" i="21" s="1"/>
  <c r="H50" i="21"/>
  <c r="I50" i="21" s="1"/>
  <c r="M49" i="21"/>
  <c r="N49" i="21" s="1"/>
  <c r="H49" i="21"/>
  <c r="O49" i="21" s="1"/>
  <c r="P49" i="21" s="1"/>
  <c r="O48" i="21"/>
  <c r="P48" i="21" s="1"/>
  <c r="M48" i="21"/>
  <c r="N48" i="21" s="1"/>
  <c r="H48" i="21"/>
  <c r="I48" i="21" s="1"/>
  <c r="M47" i="21"/>
  <c r="O47" i="21" s="1"/>
  <c r="P47" i="21" s="1"/>
  <c r="H47" i="21"/>
  <c r="I47" i="21" s="1"/>
  <c r="M46" i="21"/>
  <c r="O46" i="21" s="1"/>
  <c r="P46" i="21" s="1"/>
  <c r="H46" i="21"/>
  <c r="I46" i="21" s="1"/>
  <c r="M45" i="21"/>
  <c r="N45" i="21" s="1"/>
  <c r="H45" i="21"/>
  <c r="O45" i="21" s="1"/>
  <c r="P45" i="21" s="1"/>
  <c r="O44" i="21"/>
  <c r="P44" i="21" s="1"/>
  <c r="M44" i="21"/>
  <c r="N44" i="21" s="1"/>
  <c r="H44" i="21"/>
  <c r="I44" i="21" s="1"/>
  <c r="M43" i="21"/>
  <c r="O43" i="21" s="1"/>
  <c r="P43" i="21" s="1"/>
  <c r="H43" i="21"/>
  <c r="I43" i="21" s="1"/>
  <c r="M42" i="21"/>
  <c r="N42" i="21" s="1"/>
  <c r="H42" i="21"/>
  <c r="I42" i="21" s="1"/>
  <c r="M41" i="21"/>
  <c r="N41" i="21" s="1"/>
  <c r="H41" i="21"/>
  <c r="H53" i="21" s="1"/>
  <c r="I53" i="21" s="1"/>
  <c r="M36" i="21"/>
  <c r="N36" i="21" s="1"/>
  <c r="L36" i="21"/>
  <c r="K36" i="21"/>
  <c r="J36" i="21"/>
  <c r="G36" i="21"/>
  <c r="F36" i="21"/>
  <c r="E36" i="21"/>
  <c r="D36" i="21"/>
  <c r="M35" i="21"/>
  <c r="O35" i="21" s="1"/>
  <c r="P35" i="21" s="1"/>
  <c r="I35" i="21"/>
  <c r="H35" i="21"/>
  <c r="M34" i="21"/>
  <c r="O34" i="21" s="1"/>
  <c r="P34" i="21" s="1"/>
  <c r="H34" i="21"/>
  <c r="I34" i="21" s="1"/>
  <c r="N33" i="21"/>
  <c r="M33" i="21"/>
  <c r="O33" i="21" s="1"/>
  <c r="P33" i="21" s="1"/>
  <c r="H33" i="21"/>
  <c r="I33" i="21" s="1"/>
  <c r="O32" i="21"/>
  <c r="P32" i="21" s="1"/>
  <c r="N32" i="21"/>
  <c r="M32" i="21"/>
  <c r="I32" i="21"/>
  <c r="H32" i="21"/>
  <c r="M31" i="21"/>
  <c r="N31" i="21" s="1"/>
  <c r="I31" i="21"/>
  <c r="H31" i="21"/>
  <c r="M30" i="21"/>
  <c r="O30" i="21" s="1"/>
  <c r="P30" i="21" s="1"/>
  <c r="H30" i="21"/>
  <c r="I30" i="21" s="1"/>
  <c r="N29" i="21"/>
  <c r="M29" i="21"/>
  <c r="O29" i="21" s="1"/>
  <c r="P29" i="21" s="1"/>
  <c r="H29" i="21"/>
  <c r="I29" i="21" s="1"/>
  <c r="O28" i="21"/>
  <c r="P28" i="21" s="1"/>
  <c r="N28" i="21"/>
  <c r="M28" i="21"/>
  <c r="I28" i="21"/>
  <c r="H28" i="21"/>
  <c r="M27" i="21"/>
  <c r="N27" i="21" s="1"/>
  <c r="I27" i="21"/>
  <c r="H27" i="21"/>
  <c r="M26" i="21"/>
  <c r="O26" i="21" s="1"/>
  <c r="P26" i="21" s="1"/>
  <c r="H26" i="21"/>
  <c r="I26" i="21" s="1"/>
  <c r="N25" i="21"/>
  <c r="M25" i="21"/>
  <c r="O25" i="21" s="1"/>
  <c r="H25" i="21"/>
  <c r="I25" i="21" s="1"/>
  <c r="O24" i="21"/>
  <c r="P24" i="21" s="1"/>
  <c r="N24" i="21"/>
  <c r="M24" i="21"/>
  <c r="I24" i="21"/>
  <c r="H24" i="21"/>
  <c r="L19" i="21"/>
  <c r="M19" i="21" s="1"/>
  <c r="K19" i="21"/>
  <c r="J19" i="21"/>
  <c r="G19" i="21"/>
  <c r="F19" i="21"/>
  <c r="E19" i="21"/>
  <c r="H19" i="21" s="1"/>
  <c r="I19" i="21" s="1"/>
  <c r="D19" i="21"/>
  <c r="N18" i="21"/>
  <c r="M18" i="21"/>
  <c r="H18" i="21"/>
  <c r="O18" i="21" s="1"/>
  <c r="P18" i="21" s="1"/>
  <c r="O17" i="21"/>
  <c r="P17" i="21" s="1"/>
  <c r="M17" i="21"/>
  <c r="N17" i="21" s="1"/>
  <c r="I17" i="21"/>
  <c r="H17" i="21"/>
  <c r="M16" i="21"/>
  <c r="O16" i="21" s="1"/>
  <c r="P16" i="21" s="1"/>
  <c r="H16" i="21"/>
  <c r="I16" i="21" s="1"/>
  <c r="M15" i="21"/>
  <c r="N15" i="21" s="1"/>
  <c r="H15" i="21"/>
  <c r="O15" i="21" s="1"/>
  <c r="P15" i="21" s="1"/>
  <c r="N14" i="21"/>
  <c r="M14" i="21"/>
  <c r="H14" i="21"/>
  <c r="O14" i="21" s="1"/>
  <c r="P14" i="21" s="1"/>
  <c r="O13" i="21"/>
  <c r="P13" i="21" s="1"/>
  <c r="M13" i="21"/>
  <c r="N13" i="21" s="1"/>
  <c r="I13" i="21"/>
  <c r="H13" i="21"/>
  <c r="M12" i="21"/>
  <c r="O12" i="21" s="1"/>
  <c r="P12" i="21" s="1"/>
  <c r="H12" i="21"/>
  <c r="I12" i="21" s="1"/>
  <c r="M11" i="21"/>
  <c r="N11" i="21" s="1"/>
  <c r="H11" i="21"/>
  <c r="O11" i="21" s="1"/>
  <c r="P11" i="21" s="1"/>
  <c r="N10" i="21"/>
  <c r="M10" i="21"/>
  <c r="H10" i="21"/>
  <c r="O10" i="21" s="1"/>
  <c r="P10" i="21" s="1"/>
  <c r="O9" i="21"/>
  <c r="P9" i="21" s="1"/>
  <c r="M9" i="21"/>
  <c r="N9" i="21" s="1"/>
  <c r="I9" i="21"/>
  <c r="H9" i="21"/>
  <c r="M8" i="21"/>
  <c r="O8" i="21" s="1"/>
  <c r="P8" i="21" s="1"/>
  <c r="H8" i="21"/>
  <c r="I8" i="21" s="1"/>
  <c r="M7" i="21"/>
  <c r="N7" i="21" s="1"/>
  <c r="H7" i="21"/>
  <c r="I7" i="21" s="1"/>
  <c r="P25" i="21" l="1"/>
  <c r="N19" i="21"/>
  <c r="O19" i="21"/>
  <c r="P19" i="21" s="1"/>
  <c r="O70" i="21"/>
  <c r="P70" i="21" s="1"/>
  <c r="N8" i="21"/>
  <c r="I11" i="21"/>
  <c r="I15" i="21"/>
  <c r="H36" i="21"/>
  <c r="I36" i="21" s="1"/>
  <c r="N43" i="21"/>
  <c r="N35" i="21"/>
  <c r="N62" i="21"/>
  <c r="I14" i="21"/>
  <c r="I18" i="21"/>
  <c r="O31" i="21"/>
  <c r="P31" i="21" s="1"/>
  <c r="I41" i="21"/>
  <c r="N46" i="21"/>
  <c r="I49" i="21"/>
  <c r="N50" i="21"/>
  <c r="O58" i="21"/>
  <c r="P58" i="21" s="1"/>
  <c r="O66" i="21"/>
  <c r="P66" i="21" s="1"/>
  <c r="O7" i="21"/>
  <c r="P7" i="21" s="1"/>
  <c r="N26" i="21"/>
  <c r="N30" i="21"/>
  <c r="N34" i="21"/>
  <c r="O42" i="21"/>
  <c r="P42" i="21" s="1"/>
  <c r="N61" i="21"/>
  <c r="N65" i="21"/>
  <c r="N69" i="2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P41" i="21" l="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3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<sst xmlns="http://schemas.openxmlformats.org/spreadsheetml/2006/main" count="2297" uniqueCount="63">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</sst>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&quot;Aptos Narrow&quot;"/>
    </font>
    <font>
      <b/>
      <sz val="14"/>
      <color rgb="FF000000"/>
      <name val="Arial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</font>
    <font>
      <sz val="11"/>
      <color theme="1"/>
      <name val="Calibri"/>
      <scheme val="minor"/>
    </font>
    <font>
      <sz val="12"/>
      <color theme="1"/>
      <name val="Arial"/>
      <family val="2"/>
    </font>
    <font>
      <sz val="11"/>
      <color theme="1"/>
      <name val="Arial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</font>
    <font>
      <sz val="10"/>
      <color theme="1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5" fillId="0" borderId="1"/>
    <xf numFmtId="0" fontId="12" fillId="0" borderId="1"/>
  </cellStyleXfs>
  <cellXfs count="10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5" fillId="0" borderId="1" xfId="3"/>
    <xf numFmtId="0" fontId="6" fillId="0" borderId="1" xfId="3" applyFont="1"/>
    <xf numFmtId="0" fontId="7" fillId="0" borderId="1" xfId="3" applyFont="1" applyAlignment="1">
      <alignment horizontal="center"/>
    </xf>
    <xf numFmtId="0" fontId="5" fillId="0" borderId="1" xfId="3"/>
    <xf numFmtId="0" fontId="8" fillId="0" borderId="1" xfId="3" applyFont="1" applyAlignment="1">
      <alignment horizontal="center"/>
    </xf>
    <xf numFmtId="0" fontId="9" fillId="3" borderId="2" xfId="3" applyFont="1" applyFill="1" applyBorder="1" applyAlignment="1">
      <alignment horizontal="center" vertical="center"/>
    </xf>
    <xf numFmtId="0" fontId="10" fillId="4" borderId="3" xfId="3" applyFont="1" applyFill="1" applyBorder="1" applyAlignment="1">
      <alignment horizontal="center"/>
    </xf>
    <xf numFmtId="0" fontId="10" fillId="4" borderId="4" xfId="3" applyFont="1" applyFill="1" applyBorder="1" applyAlignment="1">
      <alignment horizontal="center" wrapText="1"/>
    </xf>
    <xf numFmtId="0" fontId="10" fillId="4" borderId="5" xfId="3" applyFont="1" applyFill="1" applyBorder="1" applyAlignment="1">
      <alignment horizontal="center" vertical="center" wrapText="1"/>
    </xf>
    <xf numFmtId="0" fontId="10" fillId="4" borderId="5" xfId="3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/>
    </xf>
    <xf numFmtId="0" fontId="6" fillId="3" borderId="7" xfId="3" applyFont="1" applyFill="1" applyBorder="1" applyAlignment="1">
      <alignment horizontal="center"/>
    </xf>
    <xf numFmtId="0" fontId="13" fillId="3" borderId="5" xfId="4" applyFont="1" applyFill="1" applyBorder="1" applyAlignment="1">
      <alignment horizontal="center" vertical="center"/>
    </xf>
    <xf numFmtId="0" fontId="14" fillId="3" borderId="5" xfId="4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/>
    </xf>
    <xf numFmtId="2" fontId="6" fillId="3" borderId="5" xfId="3" applyNumberFormat="1" applyFont="1" applyFill="1" applyBorder="1" applyAlignment="1">
      <alignment horizontal="center"/>
    </xf>
    <xf numFmtId="1" fontId="6" fillId="3" borderId="5" xfId="3" applyNumberFormat="1" applyFont="1" applyFill="1" applyBorder="1" applyAlignment="1">
      <alignment horizontal="center"/>
    </xf>
    <xf numFmtId="0" fontId="15" fillId="3" borderId="5" xfId="3" applyFont="1" applyFill="1" applyBorder="1"/>
    <xf numFmtId="0" fontId="15" fillId="5" borderId="7" xfId="3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0" fontId="15" fillId="3" borderId="5" xfId="3" applyFont="1" applyFill="1" applyBorder="1" applyAlignment="1">
      <alignment horizontal="center"/>
    </xf>
    <xf numFmtId="2" fontId="15" fillId="3" borderId="5" xfId="3" applyNumberFormat="1" applyFont="1" applyFill="1" applyBorder="1" applyAlignment="1">
      <alignment horizontal="center"/>
    </xf>
    <xf numFmtId="0" fontId="18" fillId="3" borderId="5" xfId="4" applyFont="1" applyFill="1" applyBorder="1" applyAlignment="1">
      <alignment horizontal="center" vertical="center"/>
    </xf>
    <xf numFmtId="1" fontId="15" fillId="6" borderId="5" xfId="3" applyNumberFormat="1" applyFont="1" applyFill="1" applyBorder="1" applyAlignment="1">
      <alignment horizontal="center"/>
    </xf>
    <xf numFmtId="2" fontId="15" fillId="6" borderId="5" xfId="3" applyNumberFormat="1" applyFont="1" applyFill="1" applyBorder="1" applyAlignment="1">
      <alignment horizontal="center"/>
    </xf>
    <xf numFmtId="0" fontId="19" fillId="0" borderId="1" xfId="3" applyFont="1"/>
    <xf numFmtId="0" fontId="9" fillId="7" borderId="2" xfId="3" applyFont="1" applyFill="1" applyBorder="1" applyAlignment="1">
      <alignment horizontal="center" vertical="center"/>
    </xf>
    <xf numFmtId="0" fontId="10" fillId="8" borderId="3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 wrapText="1"/>
    </xf>
    <xf numFmtId="0" fontId="10" fillId="8" borderId="5" xfId="3" applyFont="1" applyFill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 vertical="center"/>
    </xf>
    <xf numFmtId="0" fontId="11" fillId="8" borderId="5" xfId="3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/>
    </xf>
    <xf numFmtId="0" fontId="6" fillId="7" borderId="7" xfId="3" applyFont="1" applyFill="1" applyBorder="1" applyAlignment="1">
      <alignment horizontal="center"/>
    </xf>
    <xf numFmtId="0" fontId="13" fillId="7" borderId="5" xfId="4" applyFont="1" applyFill="1" applyBorder="1" applyAlignment="1">
      <alignment horizontal="center" vertical="center"/>
    </xf>
    <xf numFmtId="0" fontId="14" fillId="9" borderId="5" xfId="4" applyFont="1" applyFill="1" applyBorder="1" applyAlignment="1">
      <alignment horizontal="center" vertical="center"/>
    </xf>
    <xf numFmtId="0" fontId="6" fillId="7" borderId="5" xfId="3" applyFont="1" applyFill="1" applyBorder="1" applyAlignment="1">
      <alignment horizontal="center"/>
    </xf>
    <xf numFmtId="2" fontId="6" fillId="7" borderId="5" xfId="3" applyNumberFormat="1" applyFont="1" applyFill="1" applyBorder="1" applyAlignment="1">
      <alignment horizontal="center"/>
    </xf>
    <xf numFmtId="1" fontId="6" fillId="7" borderId="5" xfId="3" applyNumberFormat="1" applyFont="1" applyFill="1" applyBorder="1" applyAlignment="1">
      <alignment horizontal="center"/>
    </xf>
    <xf numFmtId="0" fontId="15" fillId="7" borderId="5" xfId="3" applyFont="1" applyFill="1" applyBorder="1"/>
    <xf numFmtId="0" fontId="15" fillId="10" borderId="7" xfId="3" applyFont="1" applyFill="1" applyBorder="1" applyAlignment="1">
      <alignment horizontal="center"/>
    </xf>
    <xf numFmtId="0" fontId="16" fillId="7" borderId="5" xfId="4" applyFont="1" applyFill="1" applyBorder="1" applyAlignment="1">
      <alignment horizontal="center"/>
    </xf>
    <xf numFmtId="0" fontId="18" fillId="9" borderId="5" xfId="4" applyFont="1" applyFill="1" applyBorder="1" applyAlignment="1">
      <alignment horizontal="center" vertical="center"/>
    </xf>
    <xf numFmtId="0" fontId="15" fillId="7" borderId="5" xfId="3" applyFont="1" applyFill="1" applyBorder="1" applyAlignment="1">
      <alignment horizontal="center"/>
    </xf>
    <xf numFmtId="2" fontId="15" fillId="7" borderId="5" xfId="3" applyNumberFormat="1" applyFont="1" applyFill="1" applyBorder="1" applyAlignment="1">
      <alignment horizontal="center"/>
    </xf>
    <xf numFmtId="1" fontId="15" fillId="11" borderId="5" xfId="3" applyNumberFormat="1" applyFont="1" applyFill="1" applyBorder="1" applyAlignment="1">
      <alignment horizontal="center"/>
    </xf>
    <xf numFmtId="2" fontId="15" fillId="11" borderId="5" xfId="3" applyNumberFormat="1" applyFont="1" applyFill="1" applyBorder="1" applyAlignment="1">
      <alignment horizontal="center"/>
    </xf>
    <xf numFmtId="0" fontId="9" fillId="12" borderId="2" xfId="3" applyFont="1" applyFill="1" applyBorder="1" applyAlignment="1">
      <alignment horizontal="center" vertical="center"/>
    </xf>
    <xf numFmtId="0" fontId="10" fillId="13" borderId="3" xfId="3" applyFont="1" applyFill="1" applyBorder="1" applyAlignment="1">
      <alignment horizontal="center"/>
    </xf>
    <xf numFmtId="0" fontId="10" fillId="13" borderId="4" xfId="3" applyFont="1" applyFill="1" applyBorder="1" applyAlignment="1">
      <alignment horizontal="center" wrapText="1"/>
    </xf>
    <xf numFmtId="0" fontId="10" fillId="13" borderId="5" xfId="3" applyFont="1" applyFill="1" applyBorder="1" applyAlignment="1">
      <alignment horizontal="center" vertical="center" wrapText="1"/>
    </xf>
    <xf numFmtId="0" fontId="10" fillId="13" borderId="5" xfId="3" applyFont="1" applyFill="1" applyBorder="1" applyAlignment="1">
      <alignment horizontal="center" vertical="center"/>
    </xf>
    <xf numFmtId="0" fontId="11" fillId="13" borderId="5" xfId="3" applyFont="1" applyFill="1" applyBorder="1" applyAlignment="1">
      <alignment horizontal="center" vertical="center"/>
    </xf>
    <xf numFmtId="0" fontId="6" fillId="12" borderId="6" xfId="3" applyFont="1" applyFill="1" applyBorder="1" applyAlignment="1">
      <alignment horizontal="center"/>
    </xf>
    <xf numFmtId="0" fontId="6" fillId="12" borderId="7" xfId="3" applyFont="1" applyFill="1" applyBorder="1" applyAlignment="1">
      <alignment horizontal="center"/>
    </xf>
    <xf numFmtId="0" fontId="13" fillId="12" borderId="5" xfId="4" applyFont="1" applyFill="1" applyBorder="1" applyAlignment="1">
      <alignment horizontal="center" vertical="center"/>
    </xf>
    <xf numFmtId="0" fontId="14" fillId="14" borderId="5" xfId="4" applyFont="1" applyFill="1" applyBorder="1" applyAlignment="1">
      <alignment horizontal="center" vertical="center"/>
    </xf>
    <xf numFmtId="0" fontId="6" fillId="12" borderId="5" xfId="3" applyFont="1" applyFill="1" applyBorder="1" applyAlignment="1">
      <alignment horizontal="center"/>
    </xf>
    <xf numFmtId="2" fontId="6" fillId="12" borderId="5" xfId="3" applyNumberFormat="1" applyFont="1" applyFill="1" applyBorder="1" applyAlignment="1">
      <alignment horizontal="center"/>
    </xf>
    <xf numFmtId="1" fontId="6" fillId="12" borderId="5" xfId="3" applyNumberFormat="1" applyFont="1" applyFill="1" applyBorder="1" applyAlignment="1">
      <alignment horizontal="center"/>
    </xf>
    <xf numFmtId="0" fontId="15" fillId="12" borderId="5" xfId="3" applyFont="1" applyFill="1" applyBorder="1"/>
    <xf numFmtId="0" fontId="15" fillId="15" borderId="7" xfId="3" applyFont="1" applyFill="1" applyBorder="1" applyAlignment="1">
      <alignment horizontal="center"/>
    </xf>
    <xf numFmtId="0" fontId="16" fillId="12" borderId="5" xfId="4" applyFont="1" applyFill="1" applyBorder="1" applyAlignment="1">
      <alignment horizontal="center"/>
    </xf>
    <xf numFmtId="0" fontId="18" fillId="14" borderId="5" xfId="4" applyFont="1" applyFill="1" applyBorder="1" applyAlignment="1">
      <alignment horizontal="center" vertical="center"/>
    </xf>
    <xf numFmtId="0" fontId="15" fillId="12" borderId="5" xfId="3" applyFont="1" applyFill="1" applyBorder="1" applyAlignment="1">
      <alignment horizontal="center"/>
    </xf>
    <xf numFmtId="2" fontId="15" fillId="12" borderId="5" xfId="3" applyNumberFormat="1" applyFont="1" applyFill="1" applyBorder="1" applyAlignment="1">
      <alignment horizontal="center"/>
    </xf>
    <xf numFmtId="1" fontId="15" fillId="16" borderId="5" xfId="3" applyNumberFormat="1" applyFont="1" applyFill="1" applyBorder="1" applyAlignment="1">
      <alignment horizontal="center"/>
    </xf>
    <xf numFmtId="2" fontId="15" fillId="16" borderId="5" xfId="3" applyNumberFormat="1" applyFont="1" applyFill="1" applyBorder="1" applyAlignment="1">
      <alignment horizontal="center"/>
    </xf>
    <xf numFmtId="0" fontId="9" fillId="17" borderId="2" xfId="3" applyFont="1" applyFill="1" applyBorder="1" applyAlignment="1">
      <alignment horizontal="center" vertical="center"/>
    </xf>
    <xf numFmtId="0" fontId="10" fillId="18" borderId="3" xfId="3" applyFont="1" applyFill="1" applyBorder="1" applyAlignment="1">
      <alignment horizontal="center"/>
    </xf>
    <xf numFmtId="0" fontId="10" fillId="18" borderId="4" xfId="3" applyFont="1" applyFill="1" applyBorder="1" applyAlignment="1">
      <alignment horizontal="center" wrapText="1"/>
    </xf>
    <xf numFmtId="0" fontId="10" fillId="18" borderId="5" xfId="3" applyFont="1" applyFill="1" applyBorder="1" applyAlignment="1">
      <alignment horizontal="center" vertical="center" wrapText="1"/>
    </xf>
    <xf numFmtId="0" fontId="10" fillId="18" borderId="5" xfId="3" applyFont="1" applyFill="1" applyBorder="1" applyAlignment="1">
      <alignment horizontal="center" vertical="center"/>
    </xf>
    <xf numFmtId="0" fontId="11" fillId="18" borderId="5" xfId="3" applyFont="1" applyFill="1" applyBorder="1" applyAlignment="1">
      <alignment horizontal="center" vertical="center"/>
    </xf>
    <xf numFmtId="0" fontId="6" fillId="17" borderId="6" xfId="3" applyFont="1" applyFill="1" applyBorder="1" applyAlignment="1">
      <alignment horizontal="center"/>
    </xf>
    <xf numFmtId="0" fontId="6" fillId="17" borderId="7" xfId="3" applyFont="1" applyFill="1" applyBorder="1" applyAlignment="1">
      <alignment horizontal="center"/>
    </xf>
    <xf numFmtId="0" fontId="12" fillId="17" borderId="2" xfId="4" applyFill="1" applyBorder="1"/>
    <xf numFmtId="0" fontId="14" fillId="19" borderId="5" xfId="4" applyFont="1" applyFill="1" applyBorder="1" applyAlignment="1">
      <alignment horizontal="center" vertical="center"/>
    </xf>
    <xf numFmtId="0" fontId="6" fillId="17" borderId="5" xfId="3" applyFont="1" applyFill="1" applyBorder="1" applyAlignment="1">
      <alignment horizontal="center"/>
    </xf>
    <xf numFmtId="2" fontId="6" fillId="17" borderId="5" xfId="3" applyNumberFormat="1" applyFont="1" applyFill="1" applyBorder="1" applyAlignment="1">
      <alignment horizontal="center"/>
    </xf>
    <xf numFmtId="1" fontId="6" fillId="17" borderId="5" xfId="3" applyNumberFormat="1" applyFont="1" applyFill="1" applyBorder="1" applyAlignment="1">
      <alignment horizontal="center"/>
    </xf>
    <xf numFmtId="0" fontId="15" fillId="17" borderId="5" xfId="3" applyFont="1" applyFill="1" applyBorder="1"/>
    <xf numFmtId="0" fontId="15" fillId="20" borderId="7" xfId="3" applyFont="1" applyFill="1" applyBorder="1" applyAlignment="1">
      <alignment horizontal="center"/>
    </xf>
    <xf numFmtId="0" fontId="4" fillId="17" borderId="2" xfId="4" applyFont="1" applyFill="1" applyBorder="1"/>
    <xf numFmtId="0" fontId="18" fillId="19" borderId="5" xfId="4" applyFont="1" applyFill="1" applyBorder="1" applyAlignment="1">
      <alignment horizontal="center" vertical="center"/>
    </xf>
    <xf numFmtId="0" fontId="15" fillId="17" borderId="5" xfId="3" applyFont="1" applyFill="1" applyBorder="1" applyAlignment="1">
      <alignment horizontal="center"/>
    </xf>
    <xf numFmtId="2" fontId="15" fillId="17" borderId="5" xfId="3" applyNumberFormat="1" applyFont="1" applyFill="1" applyBorder="1" applyAlignment="1">
      <alignment horizontal="center"/>
    </xf>
    <xf numFmtId="1" fontId="15" fillId="21" borderId="5" xfId="3" applyNumberFormat="1" applyFont="1" applyFill="1" applyBorder="1" applyAlignment="1">
      <alignment horizontal="center"/>
    </xf>
    <xf numFmtId="2" fontId="15" fillId="21" borderId="5" xfId="3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tabSelected="1"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opLeftCell="A45" workbookViewId="0">
      <selection activeCell="E25" sqref="E25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/>
      <c r="J8" s="4" t="str">
        <f t="shared" si="0"/>
        <v/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3"/>
      <c r="J20" s="4" t="str">
        <f t="shared" si="0"/>
        <v/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3"/>
      <c r="J32" s="4" t="str">
        <f t="shared" si="0"/>
        <v/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/>
      <c r="J44" s="4" t="str">
        <f t="shared" si="0"/>
        <v/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3"/>
      <c r="J56" s="4" t="str">
        <f t="shared" si="0"/>
        <v/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/>
      <c r="J68" s="4" t="str">
        <f t="shared" si="1"/>
        <v/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/>
      <c r="J80" s="4" t="str">
        <f t="shared" si="1"/>
        <v/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/>
      <c r="J92" s="4" t="str">
        <f t="shared" si="1"/>
        <v/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/>
      <c r="J104" s="4" t="str">
        <f t="shared" si="1"/>
        <v/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3"/>
      <c r="J116" s="4" t="str">
        <f t="shared" si="1"/>
        <v/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/>
      <c r="J128" s="4" t="str">
        <f t="shared" si="1"/>
        <v/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3"/>
      <c r="J140" s="4" t="str">
        <f t="shared" si="2"/>
        <v/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/>
      <c r="J152" s="4" t="str">
        <f t="shared" si="2"/>
        <v/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/>
      <c r="J164" s="4" t="str">
        <f t="shared" si="2"/>
        <v/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/>
      <c r="J176" s="4" t="str">
        <f t="shared" si="2"/>
        <v/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/>
      <c r="J188" s="4" t="str">
        <f t="shared" si="2"/>
        <v/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3"/>
      <c r="J200" s="4" t="str">
        <f t="shared" si="3"/>
        <v/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/>
      <c r="J212" s="4" t="str">
        <f t="shared" si="3"/>
        <v/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/>
      <c r="J224" s="4" t="str">
        <f t="shared" si="3"/>
        <v/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/>
      <c r="J236" s="4" t="str">
        <f t="shared" si="3"/>
        <v/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/>
      <c r="J248" s="4" t="str">
        <f t="shared" si="3"/>
        <v/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3"/>
      <c r="J260" s="4" t="str">
        <f t="shared" si="4"/>
        <v/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3"/>
      <c r="J272" s="4" t="str">
        <f t="shared" si="4"/>
        <v/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/>
      <c r="J284" s="4" t="str">
        <f t="shared" si="4"/>
        <v/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/>
      <c r="J296" s="4" t="str">
        <f t="shared" si="4"/>
        <v/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/>
      <c r="J308" s="4" t="str">
        <f t="shared" si="4"/>
        <v/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3"/>
      <c r="J320" s="4" t="str">
        <f t="shared" si="4"/>
        <v/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/>
      <c r="J332" s="4" t="str">
        <f t="shared" si="5"/>
        <v/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3"/>
      <c r="J344" s="4" t="str">
        <f t="shared" si="5"/>
        <v/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/>
      <c r="J356" s="4" t="str">
        <f t="shared" si="5"/>
        <v/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/>
      <c r="J368" s="4" t="str">
        <f t="shared" si="5"/>
        <v/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/>
      <c r="J380" s="4" t="str">
        <f t="shared" si="5"/>
        <v/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/>
      <c r="J381" s="4" t="str">
        <f t="shared" si="5"/>
        <v/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/>
      <c r="J392" s="4" t="str">
        <f t="shared" si="6"/>
        <v/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/>
      <c r="J393" s="4" t="str">
        <f t="shared" si="6"/>
        <v/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3"/>
      <c r="J404" s="4" t="str">
        <f t="shared" si="6"/>
        <v/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3"/>
      <c r="J416" s="4" t="str">
        <f t="shared" si="6"/>
        <v/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3"/>
      <c r="J428" s="4" t="str">
        <f t="shared" si="6"/>
        <v/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0</v>
      </c>
      <c r="J439" s="4">
        <f t="shared" si="6"/>
        <v>0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/>
      <c r="J440" s="4" t="str">
        <f t="shared" si="6"/>
        <v/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0</v>
      </c>
      <c r="J450" s="4">
        <f t="shared" ref="J450:J513" si="7">IF(I450="","",IFERROR(I450/H450,0))</f>
        <v>0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0</v>
      </c>
      <c r="J451" s="4">
        <f t="shared" si="7"/>
        <v>0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/>
      <c r="J452" s="4" t="str">
        <f t="shared" si="7"/>
        <v/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0</v>
      </c>
      <c r="J462" s="4">
        <f t="shared" si="7"/>
        <v>0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2</v>
      </c>
      <c r="J463" s="4">
        <f t="shared" si="7"/>
        <v>1.3605442176870748E-2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/>
      <c r="J464" s="4" t="str">
        <f t="shared" si="7"/>
        <v/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/>
      <c r="J476" s="4" t="str">
        <f t="shared" si="7"/>
        <v/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/>
      <c r="J488" s="4" t="str">
        <f t="shared" si="7"/>
        <v/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0</v>
      </c>
      <c r="J499" s="4">
        <f t="shared" si="7"/>
        <v>0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/>
      <c r="J500" s="4" t="str">
        <f t="shared" si="7"/>
        <v/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0</v>
      </c>
      <c r="J510" s="4">
        <f t="shared" si="7"/>
        <v>0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13</v>
      </c>
      <c r="J511" s="4">
        <f t="shared" si="7"/>
        <v>0.13541666666666666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/>
      <c r="J512" s="4" t="str">
        <f t="shared" si="7"/>
        <v/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10</v>
      </c>
      <c r="J522" s="4">
        <f t="shared" si="8"/>
        <v>4.1152263374485597E-2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13</v>
      </c>
      <c r="J523" s="4">
        <f t="shared" si="8"/>
        <v>5.3497942386831275E-2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/>
      <c r="J524" s="4" t="str">
        <f t="shared" si="8"/>
        <v/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/>
      <c r="J536" s="4" t="str">
        <f t="shared" si="8"/>
        <v/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0</v>
      </c>
      <c r="J545" s="4">
        <f t="shared" si="8"/>
        <v>0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23</v>
      </c>
      <c r="J546" s="4">
        <f t="shared" si="8"/>
        <v>6.25E-2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0</v>
      </c>
      <c r="J547" s="4">
        <f t="shared" si="8"/>
        <v>0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/>
      <c r="J548" s="4" t="str">
        <f t="shared" si="8"/>
        <v/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20</v>
      </c>
      <c r="J556" s="4">
        <f t="shared" si="8"/>
        <v>0.12738853503184713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0</v>
      </c>
      <c r="J558" s="4">
        <f t="shared" si="8"/>
        <v>0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21</v>
      </c>
      <c r="J559" s="4">
        <f t="shared" si="8"/>
        <v>0.13375796178343949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/>
      <c r="J560" s="4" t="str">
        <f t="shared" si="8"/>
        <v/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/>
      <c r="J572" s="4" t="str">
        <f t="shared" si="8"/>
        <v/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A40" zoomScale="79" workbookViewId="0">
      <selection activeCell="D6" sqref="D6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13" t="s">
        <v>43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5.75" customHeight="1">
      <c r="A3" s="12"/>
      <c r="B3" s="15" t="s">
        <v>44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16" t="s">
        <v>45</v>
      </c>
      <c r="C5" s="16" t="s">
        <v>0</v>
      </c>
      <c r="D5" s="17" t="s">
        <v>46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ht="34.5" customHeight="1">
      <c r="A6" s="12"/>
      <c r="B6" s="16"/>
      <c r="C6" s="16"/>
      <c r="D6" s="18" t="s">
        <v>1</v>
      </c>
      <c r="E6" s="19" t="s">
        <v>47</v>
      </c>
      <c r="F6" s="20" t="s">
        <v>48</v>
      </c>
      <c r="G6" s="20" t="s">
        <v>49</v>
      </c>
      <c r="H6" s="20" t="s">
        <v>50</v>
      </c>
      <c r="I6" s="20" t="s">
        <v>51</v>
      </c>
      <c r="J6" s="21" t="s">
        <v>52</v>
      </c>
      <c r="K6" s="21" t="s">
        <v>53</v>
      </c>
      <c r="L6" s="21" t="s">
        <v>54</v>
      </c>
      <c r="M6" s="20" t="s">
        <v>55</v>
      </c>
      <c r="N6" s="20" t="s">
        <v>56</v>
      </c>
      <c r="O6" s="20" t="s">
        <v>57</v>
      </c>
      <c r="P6" s="20" t="s">
        <v>58</v>
      </c>
    </row>
    <row r="7" spans="1:16" ht="15.5">
      <c r="A7" s="12"/>
      <c r="B7" s="22">
        <v>1</v>
      </c>
      <c r="C7" s="23" t="s">
        <v>2</v>
      </c>
      <c r="D7" s="24">
        <v>8998</v>
      </c>
      <c r="E7" s="25">
        <v>15</v>
      </c>
      <c r="F7" s="25">
        <v>58</v>
      </c>
      <c r="G7" s="25">
        <v>46</v>
      </c>
      <c r="H7" s="26">
        <f t="shared" ref="H7:H19" si="0">SUM(E7:G7)</f>
        <v>119</v>
      </c>
      <c r="I7" s="27">
        <f>H7/D7</f>
        <v>1.3225161146921538E-2</v>
      </c>
      <c r="J7" s="25">
        <v>222</v>
      </c>
      <c r="K7" s="25">
        <v>295</v>
      </c>
      <c r="L7" s="25">
        <v>481</v>
      </c>
      <c r="M7" s="28">
        <f>SUM(J7:L7)</f>
        <v>998</v>
      </c>
      <c r="N7" s="27">
        <f>M7/D7*100</f>
        <v>11.091353634140919</v>
      </c>
      <c r="O7" s="28">
        <f>H7+M7</f>
        <v>1117</v>
      </c>
      <c r="P7" s="27">
        <f>O7/D7*100</f>
        <v>12.413869748833074</v>
      </c>
    </row>
    <row r="8" spans="1:16" ht="15.5">
      <c r="A8" s="12"/>
      <c r="B8" s="26">
        <v>2</v>
      </c>
      <c r="C8" s="23" t="s">
        <v>3</v>
      </c>
      <c r="D8" s="24">
        <v>3234</v>
      </c>
      <c r="E8" s="25">
        <v>112</v>
      </c>
      <c r="F8" s="25">
        <v>244</v>
      </c>
      <c r="G8" s="25">
        <v>120</v>
      </c>
      <c r="H8" s="26">
        <f t="shared" si="0"/>
        <v>476</v>
      </c>
      <c r="I8" s="27">
        <f t="shared" ref="I8:I17" si="1">H8/D8</f>
        <v>0.1471861471861472</v>
      </c>
      <c r="J8" s="25">
        <v>133</v>
      </c>
      <c r="K8" s="25">
        <v>117</v>
      </c>
      <c r="L8" s="25">
        <v>214</v>
      </c>
      <c r="M8" s="28">
        <f t="shared" ref="M8:M18" si="2">SUM(J8:L8)</f>
        <v>464</v>
      </c>
      <c r="N8" s="27">
        <f t="shared" ref="N8:N18" si="3">M8/D8*100</f>
        <v>14.347557204700061</v>
      </c>
      <c r="O8" s="28">
        <f t="shared" ref="O8:O18" si="4">H8+M8</f>
        <v>940</v>
      </c>
      <c r="P8" s="27">
        <f t="shared" ref="P8:P18" si="5">O8/D8*100</f>
        <v>29.066171923314783</v>
      </c>
    </row>
    <row r="9" spans="1:16" ht="15.5">
      <c r="A9" s="12"/>
      <c r="B9" s="26">
        <v>3</v>
      </c>
      <c r="C9" s="23" t="s">
        <v>4</v>
      </c>
      <c r="D9" s="24">
        <v>5429</v>
      </c>
      <c r="E9" s="25">
        <v>107</v>
      </c>
      <c r="F9" s="25">
        <v>105</v>
      </c>
      <c r="G9" s="25">
        <v>86</v>
      </c>
      <c r="H9" s="26">
        <f t="shared" si="0"/>
        <v>298</v>
      </c>
      <c r="I9" s="27">
        <f t="shared" si="1"/>
        <v>5.4890403389206116E-2</v>
      </c>
      <c r="J9" s="25">
        <v>129</v>
      </c>
      <c r="K9" s="25">
        <v>90</v>
      </c>
      <c r="L9" s="25">
        <v>117</v>
      </c>
      <c r="M9" s="28">
        <f t="shared" si="2"/>
        <v>336</v>
      </c>
      <c r="N9" s="27">
        <f t="shared" si="3"/>
        <v>6.1889850801252528</v>
      </c>
      <c r="O9" s="28">
        <f t="shared" si="4"/>
        <v>634</v>
      </c>
      <c r="P9" s="27">
        <f t="shared" si="5"/>
        <v>11.678025419045865</v>
      </c>
    </row>
    <row r="10" spans="1:16" ht="15.5">
      <c r="A10" s="12"/>
      <c r="B10" s="26">
        <v>4</v>
      </c>
      <c r="C10" s="23" t="s">
        <v>5</v>
      </c>
      <c r="D10" s="24">
        <v>3480</v>
      </c>
      <c r="E10" s="25">
        <v>14</v>
      </c>
      <c r="F10" s="25">
        <v>42</v>
      </c>
      <c r="G10" s="25">
        <v>16</v>
      </c>
      <c r="H10" s="26">
        <f t="shared" si="0"/>
        <v>72</v>
      </c>
      <c r="I10" s="27">
        <f t="shared" si="1"/>
        <v>2.0689655172413793E-2</v>
      </c>
      <c r="J10" s="25">
        <v>148</v>
      </c>
      <c r="K10" s="25">
        <v>231</v>
      </c>
      <c r="L10" s="25">
        <v>618</v>
      </c>
      <c r="M10" s="28">
        <f t="shared" si="2"/>
        <v>997</v>
      </c>
      <c r="N10" s="27">
        <f t="shared" si="3"/>
        <v>28.649425287356323</v>
      </c>
      <c r="O10" s="28">
        <f t="shared" si="4"/>
        <v>1069</v>
      </c>
      <c r="P10" s="27">
        <f t="shared" si="5"/>
        <v>30.7183908045977</v>
      </c>
    </row>
    <row r="11" spans="1:16" ht="15.5">
      <c r="A11" s="12"/>
      <c r="B11" s="26">
        <v>5</v>
      </c>
      <c r="C11" s="23" t="s">
        <v>6</v>
      </c>
      <c r="D11" s="24">
        <v>5856</v>
      </c>
      <c r="E11" s="25">
        <v>475</v>
      </c>
      <c r="F11" s="25">
        <v>198</v>
      </c>
      <c r="G11" s="25">
        <v>139</v>
      </c>
      <c r="H11" s="26">
        <f t="shared" si="0"/>
        <v>812</v>
      </c>
      <c r="I11" s="27">
        <f t="shared" si="1"/>
        <v>0.13866120218579234</v>
      </c>
      <c r="J11" s="25">
        <v>228</v>
      </c>
      <c r="K11" s="25">
        <v>204</v>
      </c>
      <c r="L11" s="25">
        <v>113</v>
      </c>
      <c r="M11" s="28">
        <f t="shared" si="2"/>
        <v>545</v>
      </c>
      <c r="N11" s="27">
        <f t="shared" si="3"/>
        <v>9.3066939890710376</v>
      </c>
      <c r="O11" s="28">
        <f t="shared" si="4"/>
        <v>1357</v>
      </c>
      <c r="P11" s="27">
        <f t="shared" si="5"/>
        <v>23.172814207650273</v>
      </c>
    </row>
    <row r="12" spans="1:16" ht="15.5">
      <c r="A12" s="12"/>
      <c r="B12" s="26">
        <v>6</v>
      </c>
      <c r="C12" s="23" t="s">
        <v>7</v>
      </c>
      <c r="D12" s="24">
        <v>19105</v>
      </c>
      <c r="E12" s="25">
        <v>1120</v>
      </c>
      <c r="F12" s="25">
        <v>778</v>
      </c>
      <c r="G12" s="25">
        <v>843</v>
      </c>
      <c r="H12" s="26">
        <f t="shared" si="0"/>
        <v>2741</v>
      </c>
      <c r="I12" s="27">
        <f t="shared" si="1"/>
        <v>0.14347029573410103</v>
      </c>
      <c r="J12" s="25">
        <v>770</v>
      </c>
      <c r="K12" s="25">
        <v>535</v>
      </c>
      <c r="L12" s="25">
        <v>943</v>
      </c>
      <c r="M12" s="28">
        <f t="shared" si="2"/>
        <v>2248</v>
      </c>
      <c r="N12" s="27">
        <f t="shared" si="3"/>
        <v>11.766553258309344</v>
      </c>
      <c r="O12" s="28">
        <f t="shared" si="4"/>
        <v>4989</v>
      </c>
      <c r="P12" s="27">
        <f t="shared" si="5"/>
        <v>26.113582831719444</v>
      </c>
    </row>
    <row r="13" spans="1:16" ht="15.5">
      <c r="A13" s="12"/>
      <c r="B13" s="26">
        <v>7</v>
      </c>
      <c r="C13" s="23" t="s">
        <v>8</v>
      </c>
      <c r="D13" s="24">
        <v>3923</v>
      </c>
      <c r="E13" s="25">
        <v>48</v>
      </c>
      <c r="F13" s="25">
        <v>70</v>
      </c>
      <c r="G13" s="25">
        <v>231</v>
      </c>
      <c r="H13" s="26">
        <f t="shared" si="0"/>
        <v>349</v>
      </c>
      <c r="I13" s="27">
        <f t="shared" si="1"/>
        <v>8.8962528677032887E-2</v>
      </c>
      <c r="J13" s="25">
        <v>257</v>
      </c>
      <c r="K13" s="25">
        <v>311</v>
      </c>
      <c r="L13" s="25">
        <v>55</v>
      </c>
      <c r="M13" s="28">
        <f t="shared" si="2"/>
        <v>623</v>
      </c>
      <c r="N13" s="27">
        <f t="shared" si="3"/>
        <v>15.880703543206728</v>
      </c>
      <c r="O13" s="28">
        <f t="shared" si="4"/>
        <v>972</v>
      </c>
      <c r="P13" s="27">
        <f t="shared" si="5"/>
        <v>24.776956410910017</v>
      </c>
    </row>
    <row r="14" spans="1:16" ht="15.5">
      <c r="A14" s="12"/>
      <c r="B14" s="26">
        <v>8</v>
      </c>
      <c r="C14" s="23" t="s">
        <v>9</v>
      </c>
      <c r="D14" s="24">
        <v>10052</v>
      </c>
      <c r="E14" s="25">
        <v>114</v>
      </c>
      <c r="F14" s="25">
        <v>106</v>
      </c>
      <c r="G14" s="25">
        <v>148</v>
      </c>
      <c r="H14" s="26">
        <f t="shared" si="0"/>
        <v>368</v>
      </c>
      <c r="I14" s="27">
        <f t="shared" si="1"/>
        <v>3.6609629924393157E-2</v>
      </c>
      <c r="J14" s="25">
        <v>941</v>
      </c>
      <c r="K14" s="25">
        <v>122</v>
      </c>
      <c r="L14" s="25">
        <v>122</v>
      </c>
      <c r="M14" s="28">
        <f t="shared" si="2"/>
        <v>1185</v>
      </c>
      <c r="N14" s="27">
        <f t="shared" si="3"/>
        <v>11.788698766414644</v>
      </c>
      <c r="O14" s="28">
        <f t="shared" si="4"/>
        <v>1553</v>
      </c>
      <c r="P14" s="27">
        <f t="shared" si="5"/>
        <v>15.449661758853958</v>
      </c>
    </row>
    <row r="15" spans="1:16" ht="15.5">
      <c r="A15" s="12"/>
      <c r="B15" s="26">
        <v>9</v>
      </c>
      <c r="C15" s="23" t="s">
        <v>10</v>
      </c>
      <c r="D15" s="24">
        <v>7502</v>
      </c>
      <c r="E15" s="25">
        <v>0</v>
      </c>
      <c r="F15" s="25">
        <v>1493</v>
      </c>
      <c r="G15" s="25">
        <v>15</v>
      </c>
      <c r="H15" s="26">
        <f t="shared" si="0"/>
        <v>1508</v>
      </c>
      <c r="I15" s="27">
        <f t="shared" si="1"/>
        <v>0.20101306318315115</v>
      </c>
      <c r="J15" s="25">
        <v>1082</v>
      </c>
      <c r="K15" s="25">
        <v>980</v>
      </c>
      <c r="L15" s="25">
        <v>587</v>
      </c>
      <c r="M15" s="28">
        <f t="shared" si="2"/>
        <v>2649</v>
      </c>
      <c r="N15" s="27">
        <f t="shared" si="3"/>
        <v>35.310583844308184</v>
      </c>
      <c r="O15" s="28">
        <f t="shared" si="4"/>
        <v>4157</v>
      </c>
      <c r="P15" s="27">
        <f t="shared" si="5"/>
        <v>55.411890162623301</v>
      </c>
    </row>
    <row r="16" spans="1:16" ht="15.5">
      <c r="A16" s="12"/>
      <c r="B16" s="26">
        <v>10</v>
      </c>
      <c r="C16" s="23" t="s">
        <v>11</v>
      </c>
      <c r="D16" s="24">
        <v>16392</v>
      </c>
      <c r="E16" s="25">
        <v>138</v>
      </c>
      <c r="F16" s="25">
        <v>108</v>
      </c>
      <c r="G16" s="25">
        <v>121</v>
      </c>
      <c r="H16" s="26">
        <f t="shared" si="0"/>
        <v>367</v>
      </c>
      <c r="I16" s="27">
        <f t="shared" si="1"/>
        <v>2.2388970229380186E-2</v>
      </c>
      <c r="J16" s="25">
        <v>1218</v>
      </c>
      <c r="K16" s="25">
        <v>342</v>
      </c>
      <c r="L16" s="25">
        <v>13</v>
      </c>
      <c r="M16" s="28">
        <f t="shared" si="2"/>
        <v>1573</v>
      </c>
      <c r="N16" s="27">
        <f t="shared" si="3"/>
        <v>9.5961444607125426</v>
      </c>
      <c r="O16" s="28">
        <f t="shared" si="4"/>
        <v>1940</v>
      </c>
      <c r="P16" s="27">
        <f t="shared" si="5"/>
        <v>11.835041483650562</v>
      </c>
    </row>
    <row r="17" spans="1:16" ht="15.5">
      <c r="A17" s="12"/>
      <c r="B17" s="26">
        <v>11</v>
      </c>
      <c r="C17" s="23" t="s">
        <v>12</v>
      </c>
      <c r="D17" s="24">
        <v>6154</v>
      </c>
      <c r="E17" s="25">
        <v>302</v>
      </c>
      <c r="F17" s="25">
        <v>273</v>
      </c>
      <c r="G17" s="25">
        <v>373</v>
      </c>
      <c r="H17" s="26">
        <f t="shared" si="0"/>
        <v>948</v>
      </c>
      <c r="I17" s="27">
        <f t="shared" si="1"/>
        <v>0.15404614884627885</v>
      </c>
      <c r="J17" s="25">
        <v>261</v>
      </c>
      <c r="K17" s="25">
        <v>172</v>
      </c>
      <c r="L17" s="25">
        <v>157</v>
      </c>
      <c r="M17" s="28">
        <f t="shared" si="2"/>
        <v>590</v>
      </c>
      <c r="N17" s="27">
        <f t="shared" si="3"/>
        <v>9.5872603184920369</v>
      </c>
      <c r="O17" s="28">
        <f t="shared" si="4"/>
        <v>1538</v>
      </c>
      <c r="P17" s="27">
        <f t="shared" si="5"/>
        <v>24.991875203119925</v>
      </c>
    </row>
    <row r="18" spans="1:16" ht="15.5">
      <c r="A18" s="12"/>
      <c r="B18" s="26">
        <v>12</v>
      </c>
      <c r="C18" s="23" t="s">
        <v>13</v>
      </c>
      <c r="D18" s="24">
        <v>2274</v>
      </c>
      <c r="E18" s="25">
        <v>66</v>
      </c>
      <c r="F18" s="25">
        <v>15</v>
      </c>
      <c r="G18" s="25">
        <v>22</v>
      </c>
      <c r="H18" s="26">
        <f t="shared" si="0"/>
        <v>103</v>
      </c>
      <c r="I18" s="27">
        <f>H18/D18</f>
        <v>4.5294635004397538E-2</v>
      </c>
      <c r="J18" s="25">
        <v>25</v>
      </c>
      <c r="K18" s="25">
        <v>22</v>
      </c>
      <c r="L18" s="25">
        <v>20</v>
      </c>
      <c r="M18" s="28">
        <f t="shared" si="2"/>
        <v>67</v>
      </c>
      <c r="N18" s="27">
        <f t="shared" si="3"/>
        <v>2.9463500439753738</v>
      </c>
      <c r="O18" s="28">
        <f t="shared" si="4"/>
        <v>170</v>
      </c>
      <c r="P18" s="27">
        <f t="shared" si="5"/>
        <v>7.4758135444151277</v>
      </c>
    </row>
    <row r="19" spans="1:16" ht="15.5">
      <c r="A19" s="12"/>
      <c r="B19" s="29"/>
      <c r="C19" s="30" t="s">
        <v>59</v>
      </c>
      <c r="D19" s="31">
        <f>SUM(D7:D18)</f>
        <v>92399</v>
      </c>
      <c r="E19" s="32">
        <f t="shared" ref="E19:G19" si="6">SUM(E7:E18)</f>
        <v>2511</v>
      </c>
      <c r="F19" s="32">
        <f t="shared" si="6"/>
        <v>3490</v>
      </c>
      <c r="G19" s="32">
        <f t="shared" si="6"/>
        <v>2160</v>
      </c>
      <c r="H19" s="33">
        <f t="shared" si="0"/>
        <v>8161</v>
      </c>
      <c r="I19" s="34">
        <f>H19/D19*100</f>
        <v>8.8323466704185112</v>
      </c>
      <c r="J19" s="35">
        <f t="shared" ref="J19:L19" si="7">SUM(J7:J18)</f>
        <v>5414</v>
      </c>
      <c r="K19" s="35">
        <f t="shared" si="7"/>
        <v>3421</v>
      </c>
      <c r="L19" s="35">
        <f t="shared" si="7"/>
        <v>3440</v>
      </c>
      <c r="M19" s="36">
        <f>SUM(J19:L19)</f>
        <v>12275</v>
      </c>
      <c r="N19" s="37">
        <f>M19/D19*100</f>
        <v>13.284775809262007</v>
      </c>
      <c r="O19" s="36">
        <f>M19+H19</f>
        <v>20436</v>
      </c>
      <c r="P19" s="37">
        <f>O19/D19*100</f>
        <v>22.117122479680514</v>
      </c>
    </row>
    <row r="20" spans="1:16" ht="13">
      <c r="F20" s="38"/>
    </row>
    <row r="22" spans="1:16" ht="15.75" customHeight="1">
      <c r="B22" s="39" t="s">
        <v>45</v>
      </c>
      <c r="C22" s="39" t="s">
        <v>0</v>
      </c>
      <c r="D22" s="40" t="s">
        <v>60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 ht="34" customHeight="1">
      <c r="B23" s="39"/>
      <c r="C23" s="39"/>
      <c r="D23" s="41" t="s">
        <v>1</v>
      </c>
      <c r="E23" s="42" t="s">
        <v>47</v>
      </c>
      <c r="F23" s="43" t="s">
        <v>48</v>
      </c>
      <c r="G23" s="43" t="s">
        <v>49</v>
      </c>
      <c r="H23" s="43" t="s">
        <v>50</v>
      </c>
      <c r="I23" s="43" t="s">
        <v>51</v>
      </c>
      <c r="J23" s="44" t="s">
        <v>52</v>
      </c>
      <c r="K23" s="44" t="s">
        <v>53</v>
      </c>
      <c r="L23" s="44" t="s">
        <v>54</v>
      </c>
      <c r="M23" s="43" t="s">
        <v>55</v>
      </c>
      <c r="N23" s="43" t="s">
        <v>56</v>
      </c>
      <c r="O23" s="43" t="s">
        <v>57</v>
      </c>
      <c r="P23" s="43" t="s">
        <v>58</v>
      </c>
    </row>
    <row r="24" spans="1:16" ht="15.75" customHeight="1">
      <c r="B24" s="45">
        <v>1</v>
      </c>
      <c r="C24" s="46" t="s">
        <v>2</v>
      </c>
      <c r="D24" s="47">
        <v>444</v>
      </c>
      <c r="E24" s="48">
        <v>0</v>
      </c>
      <c r="F24" s="48">
        <v>0</v>
      </c>
      <c r="G24" s="48">
        <v>1</v>
      </c>
      <c r="H24" s="49">
        <f>SUM(E24:G24)</f>
        <v>1</v>
      </c>
      <c r="I24" s="50">
        <f>H24/D24*100</f>
        <v>0.22522522522522523</v>
      </c>
      <c r="J24" s="48">
        <v>21</v>
      </c>
      <c r="K24" s="48">
        <v>7</v>
      </c>
      <c r="L24" s="48">
        <v>12</v>
      </c>
      <c r="M24" s="51">
        <f>SUM(J24:L24)</f>
        <v>40</v>
      </c>
      <c r="N24" s="50">
        <f>M24/D24*100</f>
        <v>9.0090090090090094</v>
      </c>
      <c r="O24" s="51">
        <f>M24+H24</f>
        <v>41</v>
      </c>
      <c r="P24" s="50">
        <f>O24/D24*100</f>
        <v>9.2342342342342345</v>
      </c>
    </row>
    <row r="25" spans="1:16" ht="15.75" customHeight="1">
      <c r="B25" s="49">
        <v>2</v>
      </c>
      <c r="C25" s="46" t="s">
        <v>3</v>
      </c>
      <c r="D25" s="47">
        <v>160</v>
      </c>
      <c r="E25" s="48">
        <v>26</v>
      </c>
      <c r="F25" s="48">
        <v>16</v>
      </c>
      <c r="G25" s="48">
        <v>36</v>
      </c>
      <c r="H25" s="49">
        <f t="shared" ref="H25:H35" si="8">SUM(E25:G25)</f>
        <v>78</v>
      </c>
      <c r="I25" s="50">
        <f t="shared" ref="I25:I35" si="9">H25/D25*100</f>
        <v>48.75</v>
      </c>
      <c r="J25" s="48">
        <v>13</v>
      </c>
      <c r="K25" s="48">
        <v>7</v>
      </c>
      <c r="L25" s="48">
        <v>105</v>
      </c>
      <c r="M25" s="51">
        <f t="shared" ref="M25:M35" si="10">SUM(J25:L25)</f>
        <v>125</v>
      </c>
      <c r="N25" s="50">
        <f t="shared" ref="N25:N35" si="11">M25/D25*100</f>
        <v>78.125</v>
      </c>
      <c r="O25" s="51">
        <f t="shared" ref="O25:O35" si="12">M25+H25</f>
        <v>203</v>
      </c>
      <c r="P25" s="50">
        <f t="shared" ref="P25:P35" si="13">O25/D25*100</f>
        <v>126.875</v>
      </c>
    </row>
    <row r="26" spans="1:16" ht="15.75" customHeight="1">
      <c r="B26" s="49">
        <v>3</v>
      </c>
      <c r="C26" s="46" t="s">
        <v>4</v>
      </c>
      <c r="D26" s="47">
        <v>271</v>
      </c>
      <c r="E26" s="48">
        <v>0</v>
      </c>
      <c r="F26" s="48">
        <v>0</v>
      </c>
      <c r="G26" s="48">
        <v>6</v>
      </c>
      <c r="H26" s="49">
        <f t="shared" si="8"/>
        <v>6</v>
      </c>
      <c r="I26" s="50">
        <f t="shared" si="9"/>
        <v>2.214022140221402</v>
      </c>
      <c r="J26" s="48">
        <v>6</v>
      </c>
      <c r="K26" s="48">
        <v>1</v>
      </c>
      <c r="L26" s="48">
        <v>2</v>
      </c>
      <c r="M26" s="51">
        <f t="shared" si="10"/>
        <v>9</v>
      </c>
      <c r="N26" s="50">
        <f t="shared" si="11"/>
        <v>3.3210332103321036</v>
      </c>
      <c r="O26" s="51">
        <f t="shared" si="12"/>
        <v>15</v>
      </c>
      <c r="P26" s="50">
        <f t="shared" si="13"/>
        <v>5.5350553505535052</v>
      </c>
    </row>
    <row r="27" spans="1:16" ht="15.75" customHeight="1">
      <c r="B27" s="49">
        <v>4</v>
      </c>
      <c r="C27" s="46" t="s">
        <v>5</v>
      </c>
      <c r="D27" s="47">
        <v>170</v>
      </c>
      <c r="E27" s="48">
        <v>1</v>
      </c>
      <c r="F27" s="48">
        <v>0</v>
      </c>
      <c r="G27" s="48">
        <v>1</v>
      </c>
      <c r="H27" s="49">
        <f t="shared" si="8"/>
        <v>2</v>
      </c>
      <c r="I27" s="50">
        <f t="shared" si="9"/>
        <v>1.1764705882352942</v>
      </c>
      <c r="J27" s="48">
        <v>2</v>
      </c>
      <c r="K27" s="48">
        <v>9</v>
      </c>
      <c r="L27" s="48">
        <v>10</v>
      </c>
      <c r="M27" s="51">
        <f t="shared" si="10"/>
        <v>21</v>
      </c>
      <c r="N27" s="50">
        <f t="shared" si="11"/>
        <v>12.352941176470589</v>
      </c>
      <c r="O27" s="51">
        <f t="shared" si="12"/>
        <v>23</v>
      </c>
      <c r="P27" s="50">
        <f t="shared" si="13"/>
        <v>13.529411764705882</v>
      </c>
    </row>
    <row r="28" spans="1:16" ht="15.75" customHeight="1">
      <c r="B28" s="49">
        <v>5</v>
      </c>
      <c r="C28" s="46" t="s">
        <v>6</v>
      </c>
      <c r="D28" s="47">
        <v>284</v>
      </c>
      <c r="E28" s="48">
        <v>21</v>
      </c>
      <c r="F28" s="48">
        <v>23</v>
      </c>
      <c r="G28" s="48">
        <v>8</v>
      </c>
      <c r="H28" s="49">
        <f t="shared" si="8"/>
        <v>52</v>
      </c>
      <c r="I28" s="50">
        <f t="shared" si="9"/>
        <v>18.30985915492958</v>
      </c>
      <c r="J28" s="48">
        <v>29</v>
      </c>
      <c r="K28" s="48">
        <v>24</v>
      </c>
      <c r="L28" s="48">
        <v>12</v>
      </c>
      <c r="M28" s="51">
        <f t="shared" si="10"/>
        <v>65</v>
      </c>
      <c r="N28" s="50">
        <f t="shared" si="11"/>
        <v>22.887323943661972</v>
      </c>
      <c r="O28" s="51">
        <f t="shared" si="12"/>
        <v>117</v>
      </c>
      <c r="P28" s="50">
        <f t="shared" si="13"/>
        <v>41.197183098591552</v>
      </c>
    </row>
    <row r="29" spans="1:16" ht="15.75" customHeight="1">
      <c r="B29" s="49">
        <v>6</v>
      </c>
      <c r="C29" s="46" t="s">
        <v>7</v>
      </c>
      <c r="D29" s="47">
        <v>909</v>
      </c>
      <c r="E29" s="48">
        <v>152</v>
      </c>
      <c r="F29" s="48">
        <v>76</v>
      </c>
      <c r="G29" s="48">
        <v>118</v>
      </c>
      <c r="H29" s="49">
        <f t="shared" si="8"/>
        <v>346</v>
      </c>
      <c r="I29" s="50">
        <f t="shared" si="9"/>
        <v>38.063806380638063</v>
      </c>
      <c r="J29" s="48">
        <v>79</v>
      </c>
      <c r="K29" s="48">
        <v>70</v>
      </c>
      <c r="L29" s="48">
        <v>100</v>
      </c>
      <c r="M29" s="51">
        <f t="shared" si="10"/>
        <v>249</v>
      </c>
      <c r="N29" s="50">
        <f t="shared" si="11"/>
        <v>27.39273927392739</v>
      </c>
      <c r="O29" s="51">
        <f t="shared" si="12"/>
        <v>595</v>
      </c>
      <c r="P29" s="50">
        <f t="shared" si="13"/>
        <v>65.45654565456546</v>
      </c>
    </row>
    <row r="30" spans="1:16" ht="15.75" customHeight="1">
      <c r="B30" s="49">
        <v>7</v>
      </c>
      <c r="C30" s="46" t="s">
        <v>8</v>
      </c>
      <c r="D30" s="47">
        <v>188</v>
      </c>
      <c r="E30" s="48">
        <v>22</v>
      </c>
      <c r="F30" s="48">
        <v>23</v>
      </c>
      <c r="G30" s="48">
        <v>11</v>
      </c>
      <c r="H30" s="49">
        <f t="shared" si="8"/>
        <v>56</v>
      </c>
      <c r="I30" s="50">
        <f t="shared" si="9"/>
        <v>29.787234042553191</v>
      </c>
      <c r="J30" s="48">
        <v>1</v>
      </c>
      <c r="K30" s="48">
        <v>4</v>
      </c>
      <c r="L30" s="48">
        <v>22</v>
      </c>
      <c r="M30" s="51">
        <f t="shared" si="10"/>
        <v>27</v>
      </c>
      <c r="N30" s="50">
        <f t="shared" si="11"/>
        <v>14.361702127659576</v>
      </c>
      <c r="O30" s="51">
        <f t="shared" si="12"/>
        <v>83</v>
      </c>
      <c r="P30" s="50">
        <f t="shared" si="13"/>
        <v>44.148936170212764</v>
      </c>
    </row>
    <row r="31" spans="1:16" ht="15.75" customHeight="1">
      <c r="B31" s="49">
        <v>8</v>
      </c>
      <c r="C31" s="46" t="s">
        <v>9</v>
      </c>
      <c r="D31" s="47">
        <v>459</v>
      </c>
      <c r="E31" s="48">
        <v>8</v>
      </c>
      <c r="F31" s="48">
        <v>11</v>
      </c>
      <c r="G31" s="48">
        <v>23</v>
      </c>
      <c r="H31" s="49">
        <f t="shared" si="8"/>
        <v>42</v>
      </c>
      <c r="I31" s="50">
        <f t="shared" si="9"/>
        <v>9.1503267973856204</v>
      </c>
      <c r="J31" s="48">
        <v>6</v>
      </c>
      <c r="K31" s="48">
        <v>29</v>
      </c>
      <c r="L31" s="48">
        <v>42</v>
      </c>
      <c r="M31" s="51">
        <f t="shared" si="10"/>
        <v>77</v>
      </c>
      <c r="N31" s="50">
        <f t="shared" si="11"/>
        <v>16.775599128540307</v>
      </c>
      <c r="O31" s="51">
        <f t="shared" si="12"/>
        <v>119</v>
      </c>
      <c r="P31" s="50">
        <f t="shared" si="13"/>
        <v>25.925925925925924</v>
      </c>
    </row>
    <row r="32" spans="1:16" ht="15.75" customHeight="1">
      <c r="B32" s="49">
        <v>9</v>
      </c>
      <c r="C32" s="46" t="s">
        <v>10</v>
      </c>
      <c r="D32" s="47">
        <v>341</v>
      </c>
      <c r="E32" s="48">
        <v>1</v>
      </c>
      <c r="F32" s="48">
        <v>0</v>
      </c>
      <c r="G32" s="48">
        <v>7</v>
      </c>
      <c r="H32" s="49">
        <f t="shared" si="8"/>
        <v>8</v>
      </c>
      <c r="I32" s="50">
        <f t="shared" si="9"/>
        <v>2.3460410557184752</v>
      </c>
      <c r="J32" s="48">
        <v>16</v>
      </c>
      <c r="K32" s="48">
        <v>28</v>
      </c>
      <c r="L32" s="48">
        <v>33</v>
      </c>
      <c r="M32" s="51">
        <f t="shared" si="10"/>
        <v>77</v>
      </c>
      <c r="N32" s="50">
        <f t="shared" si="11"/>
        <v>22.58064516129032</v>
      </c>
      <c r="O32" s="51">
        <f t="shared" si="12"/>
        <v>85</v>
      </c>
      <c r="P32" s="50">
        <f t="shared" si="13"/>
        <v>24.926686217008797</v>
      </c>
    </row>
    <row r="33" spans="2:16" ht="15.75" customHeight="1">
      <c r="B33" s="49">
        <v>10</v>
      </c>
      <c r="C33" s="46" t="s">
        <v>11</v>
      </c>
      <c r="D33" s="47">
        <v>726</v>
      </c>
      <c r="E33" s="48">
        <v>9</v>
      </c>
      <c r="F33" s="48">
        <v>1</v>
      </c>
      <c r="G33" s="48">
        <v>2</v>
      </c>
      <c r="H33" s="49">
        <f t="shared" si="8"/>
        <v>12</v>
      </c>
      <c r="I33" s="50">
        <f t="shared" si="9"/>
        <v>1.6528925619834711</v>
      </c>
      <c r="J33" s="48">
        <v>3</v>
      </c>
      <c r="K33" s="48">
        <v>4</v>
      </c>
      <c r="L33" s="48">
        <v>0</v>
      </c>
      <c r="M33" s="51">
        <f t="shared" si="10"/>
        <v>7</v>
      </c>
      <c r="N33" s="50">
        <f t="shared" si="11"/>
        <v>0.96418732782369143</v>
      </c>
      <c r="O33" s="51">
        <f t="shared" si="12"/>
        <v>19</v>
      </c>
      <c r="P33" s="50">
        <f t="shared" si="13"/>
        <v>2.6170798898071626</v>
      </c>
    </row>
    <row r="34" spans="2:16" ht="15.75" customHeight="1">
      <c r="B34" s="49">
        <v>11</v>
      </c>
      <c r="C34" s="46" t="s">
        <v>12</v>
      </c>
      <c r="D34" s="47">
        <v>282</v>
      </c>
      <c r="E34" s="48">
        <v>38</v>
      </c>
      <c r="F34" s="48">
        <v>48</v>
      </c>
      <c r="G34" s="48">
        <v>32</v>
      </c>
      <c r="H34" s="49">
        <f t="shared" si="8"/>
        <v>118</v>
      </c>
      <c r="I34" s="50">
        <f t="shared" si="9"/>
        <v>41.843971631205676</v>
      </c>
      <c r="J34" s="48">
        <v>19</v>
      </c>
      <c r="K34" s="48">
        <v>27</v>
      </c>
      <c r="L34" s="48">
        <v>25</v>
      </c>
      <c r="M34" s="51">
        <f t="shared" si="10"/>
        <v>71</v>
      </c>
      <c r="N34" s="50">
        <f t="shared" si="11"/>
        <v>25.177304964539005</v>
      </c>
      <c r="O34" s="51">
        <f t="shared" si="12"/>
        <v>189</v>
      </c>
      <c r="P34" s="50">
        <f t="shared" si="13"/>
        <v>67.021276595744681</v>
      </c>
    </row>
    <row r="35" spans="2:16" ht="15.75" customHeight="1">
      <c r="B35" s="49">
        <v>12</v>
      </c>
      <c r="C35" s="46" t="s">
        <v>13</v>
      </c>
      <c r="D35" s="47">
        <v>112</v>
      </c>
      <c r="E35" s="48">
        <v>3</v>
      </c>
      <c r="F35" s="48">
        <v>4</v>
      </c>
      <c r="G35" s="48">
        <v>5</v>
      </c>
      <c r="H35" s="49">
        <f t="shared" si="8"/>
        <v>12</v>
      </c>
      <c r="I35" s="50">
        <f t="shared" si="9"/>
        <v>10.714285714285714</v>
      </c>
      <c r="J35" s="48">
        <v>1</v>
      </c>
      <c r="K35" s="48">
        <v>1</v>
      </c>
      <c r="L35" s="48">
        <v>5</v>
      </c>
      <c r="M35" s="51">
        <f t="shared" si="10"/>
        <v>7</v>
      </c>
      <c r="N35" s="50">
        <f t="shared" si="11"/>
        <v>6.25</v>
      </c>
      <c r="O35" s="51">
        <f t="shared" si="12"/>
        <v>19</v>
      </c>
      <c r="P35" s="50">
        <f t="shared" si="13"/>
        <v>16.964285714285715</v>
      </c>
    </row>
    <row r="36" spans="2:16" ht="15.75" customHeight="1">
      <c r="B36" s="52"/>
      <c r="C36" s="53" t="s">
        <v>59</v>
      </c>
      <c r="D36" s="54">
        <f t="shared" ref="D36" si="14">SUM(D24:D35)</f>
        <v>4346</v>
      </c>
      <c r="E36" s="55">
        <f t="shared" ref="E36:G36" si="15">SUM(E24:E35)</f>
        <v>281</v>
      </c>
      <c r="F36" s="55">
        <f t="shared" si="15"/>
        <v>202</v>
      </c>
      <c r="G36" s="55">
        <f t="shared" si="15"/>
        <v>250</v>
      </c>
      <c r="H36" s="56">
        <f>SUM(H24:H35)</f>
        <v>733</v>
      </c>
      <c r="I36" s="57">
        <f>H36/D36*100</f>
        <v>16.866083755177176</v>
      </c>
      <c r="J36" s="55">
        <f t="shared" ref="J36:L36" si="16">SUM(J24:J35)</f>
        <v>196</v>
      </c>
      <c r="K36" s="55">
        <f t="shared" si="16"/>
        <v>211</v>
      </c>
      <c r="L36" s="55">
        <f t="shared" si="16"/>
        <v>368</v>
      </c>
      <c r="M36" s="58">
        <f>SUM(J36:L36)</f>
        <v>775</v>
      </c>
      <c r="N36" s="59">
        <f>M36/D36*100</f>
        <v>17.832489645651172</v>
      </c>
      <c r="O36" s="58">
        <f>SUM(O24:O35)</f>
        <v>1508</v>
      </c>
      <c r="P36" s="59">
        <f>O36/D36*100</f>
        <v>34.698573400828344</v>
      </c>
    </row>
    <row r="39" spans="2:16" ht="15.75" customHeight="1">
      <c r="B39" s="60" t="s">
        <v>45</v>
      </c>
      <c r="C39" s="60" t="s">
        <v>0</v>
      </c>
      <c r="D39" s="61" t="s">
        <v>61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2:16" ht="39.5" customHeight="1">
      <c r="B40" s="60"/>
      <c r="C40" s="60"/>
      <c r="D40" s="62" t="s">
        <v>1</v>
      </c>
      <c r="E40" s="63" t="s">
        <v>47</v>
      </c>
      <c r="F40" s="64" t="s">
        <v>48</v>
      </c>
      <c r="G40" s="64" t="s">
        <v>49</v>
      </c>
      <c r="H40" s="64" t="s">
        <v>50</v>
      </c>
      <c r="I40" s="64" t="s">
        <v>51</v>
      </c>
      <c r="J40" s="65" t="s">
        <v>52</v>
      </c>
      <c r="K40" s="65" t="s">
        <v>53</v>
      </c>
      <c r="L40" s="65" t="s">
        <v>54</v>
      </c>
      <c r="M40" s="64" t="s">
        <v>55</v>
      </c>
      <c r="N40" s="64" t="s">
        <v>56</v>
      </c>
      <c r="O40" s="64" t="s">
        <v>57</v>
      </c>
      <c r="P40" s="64" t="s">
        <v>58</v>
      </c>
    </row>
    <row r="41" spans="2:16" ht="15.75" customHeight="1">
      <c r="B41" s="66">
        <v>1</v>
      </c>
      <c r="C41" s="67" t="s">
        <v>2</v>
      </c>
      <c r="D41" s="68">
        <v>111</v>
      </c>
      <c r="E41" s="69">
        <v>1</v>
      </c>
      <c r="F41" s="69">
        <v>0</v>
      </c>
      <c r="G41" s="69">
        <v>0</v>
      </c>
      <c r="H41" s="70">
        <f>SUM(E41:G41)</f>
        <v>1</v>
      </c>
      <c r="I41" s="71">
        <f>H41/D41</f>
        <v>9.0090090090090089E-3</v>
      </c>
      <c r="J41" s="69">
        <v>6</v>
      </c>
      <c r="K41" s="69">
        <v>9</v>
      </c>
      <c r="L41" s="69">
        <v>4</v>
      </c>
      <c r="M41" s="72">
        <f>SUM(J41:L41)</f>
        <v>19</v>
      </c>
      <c r="N41" s="71">
        <f>M41/D41*100</f>
        <v>17.117117117117118</v>
      </c>
      <c r="O41" s="72">
        <f>M41+H41</f>
        <v>20</v>
      </c>
      <c r="P41" s="71">
        <f>O41/D41*100</f>
        <v>18.018018018018019</v>
      </c>
    </row>
    <row r="42" spans="2:16" ht="15.75" customHeight="1">
      <c r="B42" s="70">
        <v>2</v>
      </c>
      <c r="C42" s="67" t="s">
        <v>3</v>
      </c>
      <c r="D42" s="68">
        <v>40</v>
      </c>
      <c r="E42" s="69">
        <v>6</v>
      </c>
      <c r="F42" s="69">
        <v>8</v>
      </c>
      <c r="G42" s="69">
        <v>2</v>
      </c>
      <c r="H42" s="70">
        <f t="shared" ref="H42:H52" si="17">SUM(E42:G42)</f>
        <v>16</v>
      </c>
      <c r="I42" s="71">
        <f t="shared" ref="I42:I52" si="18">H42/D42</f>
        <v>0.4</v>
      </c>
      <c r="J42" s="69">
        <v>7</v>
      </c>
      <c r="K42" s="69">
        <v>5</v>
      </c>
      <c r="L42" s="69">
        <v>6</v>
      </c>
      <c r="M42" s="72">
        <f t="shared" ref="M42:M52" si="19">SUM(J42:L42)</f>
        <v>18</v>
      </c>
      <c r="N42" s="71">
        <f t="shared" ref="N42:N52" si="20">M42/D42*100</f>
        <v>45</v>
      </c>
      <c r="O42" s="72">
        <f t="shared" ref="O42:O52" si="21">M42+H42</f>
        <v>34</v>
      </c>
      <c r="P42" s="71">
        <f t="shared" ref="P42:P52" si="22">O42/D42*100</f>
        <v>85</v>
      </c>
    </row>
    <row r="43" spans="2:16" ht="15.75" customHeight="1">
      <c r="B43" s="70">
        <v>3</v>
      </c>
      <c r="C43" s="67" t="s">
        <v>4</v>
      </c>
      <c r="D43" s="68">
        <v>67</v>
      </c>
      <c r="E43" s="69">
        <v>1</v>
      </c>
      <c r="F43" s="69">
        <v>0</v>
      </c>
      <c r="G43" s="69">
        <v>0</v>
      </c>
      <c r="H43" s="70">
        <f t="shared" si="17"/>
        <v>1</v>
      </c>
      <c r="I43" s="71">
        <f t="shared" si="18"/>
        <v>1.4925373134328358E-2</v>
      </c>
      <c r="J43" s="69">
        <v>2</v>
      </c>
      <c r="K43" s="69">
        <v>0</v>
      </c>
      <c r="L43" s="69">
        <v>0</v>
      </c>
      <c r="M43" s="72">
        <f t="shared" si="19"/>
        <v>2</v>
      </c>
      <c r="N43" s="71">
        <f t="shared" si="20"/>
        <v>2.9850746268656714</v>
      </c>
      <c r="O43" s="72">
        <f t="shared" si="21"/>
        <v>3</v>
      </c>
      <c r="P43" s="71">
        <f t="shared" si="22"/>
        <v>4.4776119402985071</v>
      </c>
    </row>
    <row r="44" spans="2:16" ht="15.75" customHeight="1">
      <c r="B44" s="70">
        <v>4</v>
      </c>
      <c r="C44" s="67" t="s">
        <v>5</v>
      </c>
      <c r="D44" s="68">
        <v>43</v>
      </c>
      <c r="E44" s="69">
        <v>0</v>
      </c>
      <c r="F44" s="69">
        <v>1</v>
      </c>
      <c r="G44" s="69">
        <v>2</v>
      </c>
      <c r="H44" s="70">
        <f t="shared" si="17"/>
        <v>3</v>
      </c>
      <c r="I44" s="71">
        <f t="shared" si="18"/>
        <v>6.9767441860465115E-2</v>
      </c>
      <c r="J44" s="69">
        <v>0</v>
      </c>
      <c r="K44" s="69">
        <v>2</v>
      </c>
      <c r="L44" s="69">
        <v>4</v>
      </c>
      <c r="M44" s="72">
        <f t="shared" si="19"/>
        <v>6</v>
      </c>
      <c r="N44" s="71">
        <f t="shared" si="20"/>
        <v>13.953488372093023</v>
      </c>
      <c r="O44" s="72">
        <f t="shared" si="21"/>
        <v>9</v>
      </c>
      <c r="P44" s="71">
        <f t="shared" si="22"/>
        <v>20.930232558139537</v>
      </c>
    </row>
    <row r="45" spans="2:16" ht="15.75" customHeight="1">
      <c r="B45" s="70">
        <v>5</v>
      </c>
      <c r="C45" s="67" t="s">
        <v>6</v>
      </c>
      <c r="D45" s="68">
        <v>71</v>
      </c>
      <c r="E45" s="69">
        <v>8</v>
      </c>
      <c r="F45" s="69">
        <v>10</v>
      </c>
      <c r="G45" s="69">
        <v>7</v>
      </c>
      <c r="H45" s="70">
        <f t="shared" si="17"/>
        <v>25</v>
      </c>
      <c r="I45" s="71">
        <f t="shared" si="18"/>
        <v>0.352112676056338</v>
      </c>
      <c r="J45" s="69">
        <v>9</v>
      </c>
      <c r="K45" s="69">
        <v>11</v>
      </c>
      <c r="L45" s="69">
        <v>6</v>
      </c>
      <c r="M45" s="72">
        <f t="shared" si="19"/>
        <v>26</v>
      </c>
      <c r="N45" s="71">
        <f t="shared" si="20"/>
        <v>36.619718309859159</v>
      </c>
      <c r="O45" s="72">
        <f t="shared" si="21"/>
        <v>51</v>
      </c>
      <c r="P45" s="71">
        <f t="shared" si="22"/>
        <v>71.83098591549296</v>
      </c>
    </row>
    <row r="46" spans="2:16" ht="15.75" customHeight="1">
      <c r="B46" s="70">
        <v>6</v>
      </c>
      <c r="C46" s="67" t="s">
        <v>7</v>
      </c>
      <c r="D46" s="68">
        <v>227</v>
      </c>
      <c r="E46" s="69">
        <v>61</v>
      </c>
      <c r="F46" s="69">
        <v>16</v>
      </c>
      <c r="G46" s="69">
        <v>35</v>
      </c>
      <c r="H46" s="70">
        <f t="shared" si="17"/>
        <v>112</v>
      </c>
      <c r="I46" s="71">
        <f t="shared" si="18"/>
        <v>0.4933920704845815</v>
      </c>
      <c r="J46" s="69">
        <v>23</v>
      </c>
      <c r="K46" s="69">
        <v>14</v>
      </c>
      <c r="L46" s="69">
        <v>21</v>
      </c>
      <c r="M46" s="72">
        <f t="shared" si="19"/>
        <v>58</v>
      </c>
      <c r="N46" s="71">
        <f t="shared" si="20"/>
        <v>25.55066079295154</v>
      </c>
      <c r="O46" s="72">
        <f t="shared" si="21"/>
        <v>170</v>
      </c>
      <c r="P46" s="71">
        <f t="shared" si="22"/>
        <v>74.889867841409696</v>
      </c>
    </row>
    <row r="47" spans="2:16" ht="15.75" customHeight="1">
      <c r="B47" s="70">
        <v>7</v>
      </c>
      <c r="C47" s="67" t="s">
        <v>8</v>
      </c>
      <c r="D47" s="68">
        <v>47</v>
      </c>
      <c r="E47" s="69">
        <v>0</v>
      </c>
      <c r="F47" s="69">
        <v>0</v>
      </c>
      <c r="G47" s="69">
        <v>8</v>
      </c>
      <c r="H47" s="70">
        <f t="shared" si="17"/>
        <v>8</v>
      </c>
      <c r="I47" s="71">
        <f t="shared" si="18"/>
        <v>0.1702127659574468</v>
      </c>
      <c r="J47" s="69">
        <v>0</v>
      </c>
      <c r="K47" s="69">
        <v>1</v>
      </c>
      <c r="L47" s="69">
        <v>10</v>
      </c>
      <c r="M47" s="72">
        <f t="shared" si="19"/>
        <v>11</v>
      </c>
      <c r="N47" s="71">
        <f t="shared" si="20"/>
        <v>23.404255319148938</v>
      </c>
      <c r="O47" s="72">
        <f t="shared" si="21"/>
        <v>19</v>
      </c>
      <c r="P47" s="71">
        <f t="shared" si="22"/>
        <v>40.425531914893611</v>
      </c>
    </row>
    <row r="48" spans="2:16" ht="15.75" customHeight="1">
      <c r="B48" s="70">
        <v>8</v>
      </c>
      <c r="C48" s="67" t="s">
        <v>9</v>
      </c>
      <c r="D48" s="68">
        <v>115</v>
      </c>
      <c r="E48" s="69">
        <v>1</v>
      </c>
      <c r="F48" s="69">
        <v>1</v>
      </c>
      <c r="G48" s="69">
        <v>0</v>
      </c>
      <c r="H48" s="70">
        <f t="shared" si="17"/>
        <v>2</v>
      </c>
      <c r="I48" s="71">
        <f t="shared" si="18"/>
        <v>1.7391304347826087E-2</v>
      </c>
      <c r="J48" s="69">
        <v>0</v>
      </c>
      <c r="K48" s="69">
        <v>4</v>
      </c>
      <c r="L48" s="69">
        <v>4</v>
      </c>
      <c r="M48" s="72">
        <f t="shared" si="19"/>
        <v>8</v>
      </c>
      <c r="N48" s="71">
        <f t="shared" si="20"/>
        <v>6.9565217391304346</v>
      </c>
      <c r="O48" s="72">
        <f t="shared" si="21"/>
        <v>10</v>
      </c>
      <c r="P48" s="71">
        <f t="shared" si="22"/>
        <v>8.695652173913043</v>
      </c>
    </row>
    <row r="49" spans="2:16" ht="15.75" customHeight="1">
      <c r="B49" s="70">
        <v>9</v>
      </c>
      <c r="C49" s="67" t="s">
        <v>10</v>
      </c>
      <c r="D49" s="68">
        <v>85</v>
      </c>
      <c r="E49" s="69">
        <v>5</v>
      </c>
      <c r="F49" s="69">
        <v>0</v>
      </c>
      <c r="G49" s="69">
        <v>2</v>
      </c>
      <c r="H49" s="70">
        <f t="shared" si="17"/>
        <v>7</v>
      </c>
      <c r="I49" s="71">
        <f t="shared" si="18"/>
        <v>8.2352941176470587E-2</v>
      </c>
      <c r="J49" s="69">
        <v>3</v>
      </c>
      <c r="K49" s="69">
        <v>5</v>
      </c>
      <c r="L49" s="69">
        <v>4</v>
      </c>
      <c r="M49" s="72">
        <f t="shared" si="19"/>
        <v>12</v>
      </c>
      <c r="N49" s="71">
        <f t="shared" si="20"/>
        <v>14.117647058823529</v>
      </c>
      <c r="O49" s="72">
        <f t="shared" si="21"/>
        <v>19</v>
      </c>
      <c r="P49" s="71">
        <f t="shared" si="22"/>
        <v>22.352941176470591</v>
      </c>
    </row>
    <row r="50" spans="2:16" ht="15.75" customHeight="1">
      <c r="B50" s="70">
        <v>10</v>
      </c>
      <c r="C50" s="67" t="s">
        <v>11</v>
      </c>
      <c r="D50" s="68">
        <v>182</v>
      </c>
      <c r="E50" s="69">
        <v>2</v>
      </c>
      <c r="F50" s="69">
        <v>2</v>
      </c>
      <c r="G50" s="69">
        <v>0</v>
      </c>
      <c r="H50" s="70">
        <f t="shared" si="17"/>
        <v>4</v>
      </c>
      <c r="I50" s="71">
        <f t="shared" si="18"/>
        <v>2.197802197802198E-2</v>
      </c>
      <c r="J50" s="69">
        <v>8</v>
      </c>
      <c r="K50" s="69">
        <v>10</v>
      </c>
      <c r="L50" s="69">
        <v>2</v>
      </c>
      <c r="M50" s="72">
        <f t="shared" si="19"/>
        <v>20</v>
      </c>
      <c r="N50" s="71">
        <f t="shared" si="20"/>
        <v>10.989010989010989</v>
      </c>
      <c r="O50" s="72">
        <f t="shared" si="21"/>
        <v>24</v>
      </c>
      <c r="P50" s="71">
        <f t="shared" si="22"/>
        <v>13.186813186813188</v>
      </c>
    </row>
    <row r="51" spans="2:16" ht="15.75" customHeight="1">
      <c r="B51" s="70">
        <v>11</v>
      </c>
      <c r="C51" s="67" t="s">
        <v>12</v>
      </c>
      <c r="D51" s="68">
        <v>70</v>
      </c>
      <c r="E51" s="69">
        <v>9</v>
      </c>
      <c r="F51" s="69">
        <v>9</v>
      </c>
      <c r="G51" s="69">
        <v>3</v>
      </c>
      <c r="H51" s="70">
        <f t="shared" si="17"/>
        <v>21</v>
      </c>
      <c r="I51" s="71">
        <f t="shared" si="18"/>
        <v>0.3</v>
      </c>
      <c r="J51" s="69">
        <v>3</v>
      </c>
      <c r="K51" s="69">
        <v>5</v>
      </c>
      <c r="L51" s="69">
        <v>4</v>
      </c>
      <c r="M51" s="72">
        <f t="shared" si="19"/>
        <v>12</v>
      </c>
      <c r="N51" s="71">
        <f t="shared" si="20"/>
        <v>17.142857142857142</v>
      </c>
      <c r="O51" s="72">
        <f t="shared" si="21"/>
        <v>33</v>
      </c>
      <c r="P51" s="71">
        <f t="shared" si="22"/>
        <v>47.142857142857139</v>
      </c>
    </row>
    <row r="52" spans="2:16" ht="15.75" customHeight="1">
      <c r="B52" s="70">
        <v>12</v>
      </c>
      <c r="C52" s="67" t="s">
        <v>13</v>
      </c>
      <c r="D52" s="68">
        <v>28</v>
      </c>
      <c r="E52" s="69">
        <v>2</v>
      </c>
      <c r="F52" s="69">
        <v>0</v>
      </c>
      <c r="G52" s="69">
        <v>0</v>
      </c>
      <c r="H52" s="70">
        <f t="shared" si="17"/>
        <v>2</v>
      </c>
      <c r="I52" s="71">
        <f t="shared" si="18"/>
        <v>7.1428571428571425E-2</v>
      </c>
      <c r="J52" s="69">
        <v>0</v>
      </c>
      <c r="K52" s="69">
        <v>1</v>
      </c>
      <c r="L52" s="69">
        <v>0</v>
      </c>
      <c r="M52" s="72">
        <f t="shared" si="19"/>
        <v>1</v>
      </c>
      <c r="N52" s="71">
        <f t="shared" si="20"/>
        <v>3.5714285714285712</v>
      </c>
      <c r="O52" s="72">
        <f t="shared" si="21"/>
        <v>3</v>
      </c>
      <c r="P52" s="71">
        <f t="shared" si="22"/>
        <v>10.714285714285714</v>
      </c>
    </row>
    <row r="53" spans="2:16" ht="15.75" customHeight="1">
      <c r="B53" s="73"/>
      <c r="C53" s="74" t="s">
        <v>59</v>
      </c>
      <c r="D53" s="75">
        <f t="shared" ref="D53" si="23">SUM(D41:D52)</f>
        <v>1086</v>
      </c>
      <c r="E53" s="76">
        <f t="shared" ref="E53:G53" si="24">SUM(E41:E52)</f>
        <v>96</v>
      </c>
      <c r="F53" s="76">
        <f t="shared" si="24"/>
        <v>47</v>
      </c>
      <c r="G53" s="76">
        <f t="shared" si="24"/>
        <v>59</v>
      </c>
      <c r="H53" s="77">
        <f>SUM(H41:H52)</f>
        <v>202</v>
      </c>
      <c r="I53" s="78">
        <f>H53/D53</f>
        <v>0.1860036832412523</v>
      </c>
      <c r="J53" s="76">
        <f t="shared" ref="J53:L53" si="25">SUM(J41:J52)</f>
        <v>61</v>
      </c>
      <c r="K53" s="76">
        <f t="shared" si="25"/>
        <v>67</v>
      </c>
      <c r="L53" s="76">
        <f t="shared" si="25"/>
        <v>65</v>
      </c>
      <c r="M53" s="79">
        <f>SUM(J53:L53)</f>
        <v>193</v>
      </c>
      <c r="N53" s="80">
        <f>M53/D53*100</f>
        <v>17.771639042357272</v>
      </c>
      <c r="O53" s="79">
        <f>SUM(O41:O52)</f>
        <v>395</v>
      </c>
      <c r="P53" s="80">
        <f>O53/D53*100</f>
        <v>36.372007366482507</v>
      </c>
    </row>
    <row r="56" spans="2:16" ht="15.75" customHeight="1">
      <c r="B56" s="81" t="s">
        <v>45</v>
      </c>
      <c r="C56" s="81" t="s">
        <v>0</v>
      </c>
      <c r="D56" s="82" t="s">
        <v>62</v>
      </c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</row>
    <row r="57" spans="2:16" ht="38.5" customHeight="1">
      <c r="B57" s="81"/>
      <c r="C57" s="81"/>
      <c r="D57" s="83" t="s">
        <v>1</v>
      </c>
      <c r="E57" s="84" t="s">
        <v>47</v>
      </c>
      <c r="F57" s="85" t="s">
        <v>48</v>
      </c>
      <c r="G57" s="85" t="s">
        <v>49</v>
      </c>
      <c r="H57" s="85" t="s">
        <v>50</v>
      </c>
      <c r="I57" s="85" t="s">
        <v>51</v>
      </c>
      <c r="J57" s="86" t="s">
        <v>52</v>
      </c>
      <c r="K57" s="86" t="s">
        <v>53</v>
      </c>
      <c r="L57" s="86" t="s">
        <v>54</v>
      </c>
      <c r="M57" s="85" t="s">
        <v>55</v>
      </c>
      <c r="N57" s="85" t="s">
        <v>56</v>
      </c>
      <c r="O57" s="85" t="s">
        <v>57</v>
      </c>
      <c r="P57" s="85" t="s">
        <v>58</v>
      </c>
    </row>
    <row r="58" spans="2:16" ht="15.75" customHeight="1">
      <c r="B58" s="87">
        <v>1</v>
      </c>
      <c r="C58" s="88" t="s">
        <v>2</v>
      </c>
      <c r="D58" s="89">
        <v>221</v>
      </c>
      <c r="E58" s="90">
        <v>0</v>
      </c>
      <c r="F58" s="90">
        <v>0</v>
      </c>
      <c r="G58" s="90">
        <v>0</v>
      </c>
      <c r="H58" s="91">
        <f>SUM(E58:G58)</f>
        <v>0</v>
      </c>
      <c r="I58" s="92">
        <f>H58/D58*100</f>
        <v>0</v>
      </c>
      <c r="J58" s="90">
        <v>0</v>
      </c>
      <c r="K58" s="90">
        <v>0</v>
      </c>
      <c r="L58" s="90">
        <v>0</v>
      </c>
      <c r="M58" s="93">
        <f>SUM(J58:L58)</f>
        <v>0</v>
      </c>
      <c r="N58" s="92">
        <f>M58/D58*100</f>
        <v>0</v>
      </c>
      <c r="O58" s="93">
        <f>M58+H58</f>
        <v>0</v>
      </c>
      <c r="P58" s="92">
        <f>O58/D58*100</f>
        <v>0</v>
      </c>
    </row>
    <row r="59" spans="2:16" ht="15.75" customHeight="1">
      <c r="B59" s="91">
        <v>2</v>
      </c>
      <c r="C59" s="88" t="s">
        <v>3</v>
      </c>
      <c r="D59" s="89">
        <v>79</v>
      </c>
      <c r="E59" s="90">
        <v>0</v>
      </c>
      <c r="F59" s="90">
        <v>0</v>
      </c>
      <c r="G59" s="90">
        <v>0</v>
      </c>
      <c r="H59" s="91">
        <f t="shared" ref="H59:H69" si="26">SUM(E59:G59)</f>
        <v>0</v>
      </c>
      <c r="I59" s="92">
        <f t="shared" ref="I59:I69" si="27">H59/D59*100</f>
        <v>0</v>
      </c>
      <c r="J59" s="90">
        <v>0</v>
      </c>
      <c r="K59" s="90">
        <v>0</v>
      </c>
      <c r="L59" s="90">
        <v>0</v>
      </c>
      <c r="M59" s="93">
        <f t="shared" ref="M59:M69" si="28">SUM(J59:L59)</f>
        <v>0</v>
      </c>
      <c r="N59" s="92">
        <f t="shared" ref="N59:N69" si="29">M59/D59*100</f>
        <v>0</v>
      </c>
      <c r="O59" s="93">
        <f t="shared" ref="O59:O69" si="30">M59+H59</f>
        <v>0</v>
      </c>
      <c r="P59" s="92">
        <f t="shared" ref="P59:P69" si="31">O59/D59*100</f>
        <v>0</v>
      </c>
    </row>
    <row r="60" spans="2:16" ht="15.75" customHeight="1">
      <c r="B60" s="91">
        <v>3</v>
      </c>
      <c r="C60" s="88" t="s">
        <v>4</v>
      </c>
      <c r="D60" s="89">
        <v>147</v>
      </c>
      <c r="E60" s="90">
        <v>0</v>
      </c>
      <c r="F60" s="90">
        <v>0</v>
      </c>
      <c r="G60" s="90">
        <v>0</v>
      </c>
      <c r="H60" s="91">
        <f t="shared" si="26"/>
        <v>0</v>
      </c>
      <c r="I60" s="92">
        <f t="shared" si="27"/>
        <v>0</v>
      </c>
      <c r="J60" s="90">
        <v>0</v>
      </c>
      <c r="K60" s="90">
        <v>0</v>
      </c>
      <c r="L60" s="90">
        <v>2</v>
      </c>
      <c r="M60" s="93">
        <f t="shared" si="28"/>
        <v>2</v>
      </c>
      <c r="N60" s="92">
        <f t="shared" si="29"/>
        <v>1.3605442176870748</v>
      </c>
      <c r="O60" s="93">
        <f t="shared" si="30"/>
        <v>2</v>
      </c>
      <c r="P60" s="92">
        <f t="shared" si="31"/>
        <v>1.3605442176870748</v>
      </c>
    </row>
    <row r="61" spans="2:16" ht="15.75" customHeight="1">
      <c r="B61" s="91">
        <v>4</v>
      </c>
      <c r="C61" s="88" t="s">
        <v>5</v>
      </c>
      <c r="D61" s="89">
        <v>84</v>
      </c>
      <c r="E61" s="90">
        <v>0</v>
      </c>
      <c r="F61" s="90">
        <v>0</v>
      </c>
      <c r="G61" s="90">
        <v>0</v>
      </c>
      <c r="H61" s="91">
        <f t="shared" si="26"/>
        <v>0</v>
      </c>
      <c r="I61" s="92">
        <f t="shared" si="27"/>
        <v>0</v>
      </c>
      <c r="J61" s="90">
        <v>0</v>
      </c>
      <c r="K61" s="90">
        <v>0</v>
      </c>
      <c r="L61" s="90">
        <v>0</v>
      </c>
      <c r="M61" s="93">
        <f t="shared" si="28"/>
        <v>0</v>
      </c>
      <c r="N61" s="92">
        <f t="shared" si="29"/>
        <v>0</v>
      </c>
      <c r="O61" s="93">
        <f t="shared" si="30"/>
        <v>0</v>
      </c>
      <c r="P61" s="92">
        <f t="shared" si="31"/>
        <v>0</v>
      </c>
    </row>
    <row r="62" spans="2:16" ht="15.75" customHeight="1">
      <c r="B62" s="91">
        <v>5</v>
      </c>
      <c r="C62" s="88" t="s">
        <v>6</v>
      </c>
      <c r="D62" s="89">
        <v>155</v>
      </c>
      <c r="E62" s="90">
        <v>0</v>
      </c>
      <c r="F62" s="90">
        <v>0</v>
      </c>
      <c r="G62" s="90">
        <v>0</v>
      </c>
      <c r="H62" s="91">
        <f t="shared" si="26"/>
        <v>0</v>
      </c>
      <c r="I62" s="92">
        <f t="shared" si="27"/>
        <v>0</v>
      </c>
      <c r="J62" s="90">
        <v>0</v>
      </c>
      <c r="K62" s="90">
        <v>0</v>
      </c>
      <c r="L62" s="90">
        <v>0</v>
      </c>
      <c r="M62" s="93">
        <f t="shared" si="28"/>
        <v>0</v>
      </c>
      <c r="N62" s="92">
        <f t="shared" si="29"/>
        <v>0</v>
      </c>
      <c r="O62" s="93">
        <f t="shared" si="30"/>
        <v>0</v>
      </c>
      <c r="P62" s="92">
        <f t="shared" si="31"/>
        <v>0</v>
      </c>
    </row>
    <row r="63" spans="2:16" ht="15.75" customHeight="1">
      <c r="B63" s="91">
        <v>6</v>
      </c>
      <c r="C63" s="88" t="s">
        <v>7</v>
      </c>
      <c r="D63" s="89">
        <v>546</v>
      </c>
      <c r="E63" s="90">
        <v>0</v>
      </c>
      <c r="F63" s="90">
        <v>0</v>
      </c>
      <c r="G63" s="90">
        <v>0</v>
      </c>
      <c r="H63" s="91">
        <f t="shared" si="26"/>
        <v>0</v>
      </c>
      <c r="I63" s="92">
        <f t="shared" si="27"/>
        <v>0</v>
      </c>
      <c r="J63" s="90">
        <v>0</v>
      </c>
      <c r="K63" s="90">
        <v>0</v>
      </c>
      <c r="L63" s="90">
        <v>0</v>
      </c>
      <c r="M63" s="93">
        <f t="shared" si="28"/>
        <v>0</v>
      </c>
      <c r="N63" s="92">
        <f t="shared" si="29"/>
        <v>0</v>
      </c>
      <c r="O63" s="93">
        <f t="shared" si="30"/>
        <v>0</v>
      </c>
      <c r="P63" s="92">
        <f t="shared" si="31"/>
        <v>0</v>
      </c>
    </row>
    <row r="64" spans="2:16" ht="15.75" customHeight="1">
      <c r="B64" s="91">
        <v>7</v>
      </c>
      <c r="C64" s="88" t="s">
        <v>8</v>
      </c>
      <c r="D64" s="89">
        <v>96</v>
      </c>
      <c r="E64" s="90">
        <v>0</v>
      </c>
      <c r="F64" s="90">
        <v>0</v>
      </c>
      <c r="G64" s="90">
        <v>0</v>
      </c>
      <c r="H64" s="91">
        <f t="shared" si="26"/>
        <v>0</v>
      </c>
      <c r="I64" s="92">
        <f t="shared" si="27"/>
        <v>0</v>
      </c>
      <c r="J64" s="90">
        <v>0</v>
      </c>
      <c r="K64" s="90">
        <v>0</v>
      </c>
      <c r="L64" s="90">
        <v>13</v>
      </c>
      <c r="M64" s="93">
        <f t="shared" si="28"/>
        <v>13</v>
      </c>
      <c r="N64" s="92">
        <f t="shared" si="29"/>
        <v>13.541666666666666</v>
      </c>
      <c r="O64" s="93">
        <f t="shared" si="30"/>
        <v>13</v>
      </c>
      <c r="P64" s="92">
        <f t="shared" si="31"/>
        <v>13.541666666666666</v>
      </c>
    </row>
    <row r="65" spans="2:16" ht="15.75" customHeight="1">
      <c r="B65" s="91">
        <v>8</v>
      </c>
      <c r="C65" s="88" t="s">
        <v>9</v>
      </c>
      <c r="D65" s="89">
        <v>243</v>
      </c>
      <c r="E65" s="90">
        <v>0</v>
      </c>
      <c r="F65" s="90">
        <v>0</v>
      </c>
      <c r="G65" s="90">
        <v>0</v>
      </c>
      <c r="H65" s="91">
        <f t="shared" si="26"/>
        <v>0</v>
      </c>
      <c r="I65" s="92">
        <f t="shared" si="27"/>
        <v>0</v>
      </c>
      <c r="J65" s="90">
        <v>0</v>
      </c>
      <c r="K65" s="90">
        <v>10</v>
      </c>
      <c r="L65" s="90">
        <v>13</v>
      </c>
      <c r="M65" s="93">
        <f t="shared" si="28"/>
        <v>23</v>
      </c>
      <c r="N65" s="92">
        <f t="shared" si="29"/>
        <v>9.4650205761316872</v>
      </c>
      <c r="O65" s="93">
        <f t="shared" si="30"/>
        <v>23</v>
      </c>
      <c r="P65" s="92">
        <f t="shared" si="31"/>
        <v>9.4650205761316872</v>
      </c>
    </row>
    <row r="66" spans="2:16" ht="15.75" customHeight="1">
      <c r="B66" s="91">
        <v>9</v>
      </c>
      <c r="C66" s="88" t="s">
        <v>10</v>
      </c>
      <c r="D66" s="89">
        <v>170</v>
      </c>
      <c r="E66" s="90">
        <v>0</v>
      </c>
      <c r="F66" s="90">
        <v>0</v>
      </c>
      <c r="G66" s="90">
        <v>0</v>
      </c>
      <c r="H66" s="91">
        <f t="shared" si="26"/>
        <v>0</v>
      </c>
      <c r="I66" s="92">
        <f t="shared" si="27"/>
        <v>0</v>
      </c>
      <c r="J66" s="90">
        <v>22</v>
      </c>
      <c r="K66" s="90">
        <v>0</v>
      </c>
      <c r="L66" s="90">
        <v>0</v>
      </c>
      <c r="M66" s="93">
        <f t="shared" si="28"/>
        <v>22</v>
      </c>
      <c r="N66" s="92">
        <f t="shared" si="29"/>
        <v>12.941176470588237</v>
      </c>
      <c r="O66" s="93">
        <f t="shared" si="30"/>
        <v>22</v>
      </c>
      <c r="P66" s="92">
        <f t="shared" si="31"/>
        <v>12.941176470588237</v>
      </c>
    </row>
    <row r="67" spans="2:16" ht="15.75" customHeight="1">
      <c r="B67" s="91">
        <v>10</v>
      </c>
      <c r="C67" s="88" t="s">
        <v>11</v>
      </c>
      <c r="D67" s="89">
        <v>368</v>
      </c>
      <c r="E67" s="90">
        <v>0</v>
      </c>
      <c r="F67" s="90">
        <v>0</v>
      </c>
      <c r="G67" s="90">
        <v>0</v>
      </c>
      <c r="H67" s="91">
        <f t="shared" si="26"/>
        <v>0</v>
      </c>
      <c r="I67" s="92">
        <f t="shared" si="27"/>
        <v>0</v>
      </c>
      <c r="J67" s="90">
        <v>0</v>
      </c>
      <c r="K67" s="90">
        <v>23</v>
      </c>
      <c r="L67" s="90">
        <v>0</v>
      </c>
      <c r="M67" s="93">
        <f t="shared" si="28"/>
        <v>23</v>
      </c>
      <c r="N67" s="92">
        <f t="shared" si="29"/>
        <v>6.25</v>
      </c>
      <c r="O67" s="93">
        <f t="shared" si="30"/>
        <v>23</v>
      </c>
      <c r="P67" s="92">
        <f t="shared" si="31"/>
        <v>6.25</v>
      </c>
    </row>
    <row r="68" spans="2:16" ht="15.75" customHeight="1">
      <c r="B68" s="91">
        <v>11</v>
      </c>
      <c r="C68" s="88" t="s">
        <v>12</v>
      </c>
      <c r="D68" s="89">
        <v>157</v>
      </c>
      <c r="E68" s="90">
        <v>0</v>
      </c>
      <c r="F68" s="90">
        <v>0</v>
      </c>
      <c r="G68" s="90">
        <v>20</v>
      </c>
      <c r="H68" s="91">
        <f t="shared" si="26"/>
        <v>20</v>
      </c>
      <c r="I68" s="92">
        <f t="shared" si="27"/>
        <v>12.738853503184714</v>
      </c>
      <c r="J68" s="90">
        <v>0</v>
      </c>
      <c r="K68" s="90">
        <v>0</v>
      </c>
      <c r="L68" s="90">
        <v>21</v>
      </c>
      <c r="M68" s="93">
        <f t="shared" si="28"/>
        <v>21</v>
      </c>
      <c r="N68" s="92">
        <f t="shared" si="29"/>
        <v>13.375796178343949</v>
      </c>
      <c r="O68" s="93">
        <f t="shared" si="30"/>
        <v>41</v>
      </c>
      <c r="P68" s="92">
        <f t="shared" si="31"/>
        <v>26.114649681528661</v>
      </c>
    </row>
    <row r="69" spans="2:16" ht="15.75" customHeight="1">
      <c r="B69" s="91">
        <v>12</v>
      </c>
      <c r="C69" s="88" t="s">
        <v>13</v>
      </c>
      <c r="D69" s="89">
        <v>64</v>
      </c>
      <c r="E69" s="90">
        <v>0</v>
      </c>
      <c r="F69" s="90">
        <v>0</v>
      </c>
      <c r="G69" s="90">
        <v>0</v>
      </c>
      <c r="H69" s="91">
        <f t="shared" si="26"/>
        <v>0</v>
      </c>
      <c r="I69" s="92">
        <f t="shared" si="27"/>
        <v>0</v>
      </c>
      <c r="J69" s="90">
        <v>0</v>
      </c>
      <c r="K69" s="90">
        <v>0</v>
      </c>
      <c r="L69" s="90">
        <v>0</v>
      </c>
      <c r="M69" s="93">
        <f t="shared" si="28"/>
        <v>0</v>
      </c>
      <c r="N69" s="92">
        <f t="shared" si="29"/>
        <v>0</v>
      </c>
      <c r="O69" s="93">
        <f t="shared" si="30"/>
        <v>0</v>
      </c>
      <c r="P69" s="92">
        <f t="shared" si="31"/>
        <v>0</v>
      </c>
    </row>
    <row r="70" spans="2:16" ht="15.75" customHeight="1">
      <c r="B70" s="94"/>
      <c r="C70" s="95" t="s">
        <v>59</v>
      </c>
      <c r="D70" s="96">
        <f t="shared" ref="D70" si="32">SUM(D58:D69)</f>
        <v>2330</v>
      </c>
      <c r="E70" s="97">
        <f>SUM(E58:E69)</f>
        <v>0</v>
      </c>
      <c r="F70" s="97">
        <f>SUM(F58:F69)</f>
        <v>0</v>
      </c>
      <c r="G70" s="97">
        <f>SUM(G58:G69)</f>
        <v>20</v>
      </c>
      <c r="H70" s="98">
        <f>SUM(E70:G70)</f>
        <v>20</v>
      </c>
      <c r="I70" s="99">
        <f>H70/D70*100</f>
        <v>0.85836909871244638</v>
      </c>
      <c r="J70" s="97">
        <f>SUM(J58:J69)</f>
        <v>22</v>
      </c>
      <c r="K70" s="97">
        <f>SUM(K58:K69)</f>
        <v>33</v>
      </c>
      <c r="L70" s="97">
        <f>SUM(L58:L69)</f>
        <v>49</v>
      </c>
      <c r="M70" s="100">
        <f>SUM(J70:L70)</f>
        <v>104</v>
      </c>
      <c r="N70" s="101">
        <f>M70/D70*100</f>
        <v>4.4635193133047206</v>
      </c>
      <c r="O70" s="100">
        <f>M70+H70</f>
        <v>124</v>
      </c>
      <c r="P70" s="101">
        <f>O70/D70*100</f>
        <v>5.3218884120171674</v>
      </c>
    </row>
  </sheetData>
  <mergeCells count="14">
    <mergeCell ref="B39:B40"/>
    <mergeCell ref="C39:C40"/>
    <mergeCell ref="D39:P39"/>
    <mergeCell ref="B56:B57"/>
    <mergeCell ref="C56:C57"/>
    <mergeCell ref="D56:P56"/>
    <mergeCell ref="B2:P2"/>
    <mergeCell ref="B3:P3"/>
    <mergeCell ref="B5:B6"/>
    <mergeCell ref="C5:C6"/>
    <mergeCell ref="D5:P5"/>
    <mergeCell ref="B22:B23"/>
    <mergeCell ref="C22:C23"/>
    <mergeCell ref="D22:P2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2026-08-08T01:52:13Z</dcterms:modified>
</cp:coreProperties>
</file>