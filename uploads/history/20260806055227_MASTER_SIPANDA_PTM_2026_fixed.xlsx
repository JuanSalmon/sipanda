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Capaian Skrining PTM Per Bulan" sheetId="1" state="visible" r:id="rId3"/>
    <sheet name="TW 2 SPM" sheetId="2" state="visible" r:id="rId4"/>
    <sheet name="Semester 1 (PTM)" sheetId="3" state="visible" r:id="rId5"/>
    <sheet name="HPV DNA " sheetId="4" state="visible" r:id="rId6"/>
    <sheet name="HPV DNA 2" sheetId="5" state="visible" r:id="rId7"/>
    <sheet name="HPV DNA 3" sheetId="6" state="visible" r:id="rId8"/>
    <sheet name="MASTER_PUSKESMAS" sheetId="7" state="visible" r:id="rId9"/>
    <sheet name="MASTER_INDIKATOR" sheetId="8" state="visible" r:id="rId10"/>
    <sheet name="TARGET" sheetId="9" state="visible" r:id="rId11"/>
    <sheet name="REALISASI" sheetId="10" state="visible" r:id="rId12"/>
    <sheet name="Tarikan ASIK" sheetId="11" state="hidden" r:id="rId13"/>
  </sheets>
  <definedNames>
    <definedName function="false" hidden="false" localSheetId="0" name="_xlnm.Print_Area" vbProcedure="false">'Capaian Skrining PTM Per Bulan'!$A$1:$Z$38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<sst xmlns="http://schemas.openxmlformats.org/spreadsheetml/2006/main" count="1573" uniqueCount="326">
  <si>
    <t xml:space="preserve">Puskemas</t>
  </si>
  <si>
    <t xml:space="preserve">Januari</t>
  </si>
  <si>
    <t xml:space="preserve">Februari</t>
  </si>
  <si>
    <t xml:space="preserve">Maret</t>
  </si>
  <si>
    <t xml:space="preserve">TW I</t>
  </si>
  <si>
    <t xml:space="preserve">April</t>
  </si>
  <si>
    <t xml:space="preserve">Mei</t>
  </si>
  <si>
    <t xml:space="preserve">Juni</t>
  </si>
  <si>
    <t xml:space="preserve">TW II</t>
  </si>
  <si>
    <t xml:space="preserve">Uspro</t>
  </si>
  <si>
    <t xml:space="preserve">HT</t>
  </si>
  <si>
    <t xml:space="preserve">DM</t>
  </si>
  <si>
    <t xml:space="preserve">Eahun</t>
  </si>
  <si>
    <t xml:space="preserve">Sotimori</t>
  </si>
  <si>
    <t xml:space="preserve">Korbafo</t>
  </si>
  <si>
    <t xml:space="preserve">Sonimanu</t>
  </si>
  <si>
    <t xml:space="preserve">Feapopi</t>
  </si>
  <si>
    <t xml:space="preserve">Baa</t>
  </si>
  <si>
    <t xml:space="preserve">Oele</t>
  </si>
  <si>
    <t xml:space="preserve">Busalangga</t>
  </si>
  <si>
    <t xml:space="preserve">Oelaba</t>
  </si>
  <si>
    <t xml:space="preserve">Batutua</t>
  </si>
  <si>
    <t xml:space="preserve">Delha</t>
  </si>
  <si>
    <t xml:space="preserve">Ndao</t>
  </si>
  <si>
    <t xml:space="preserve">Jumlah</t>
  </si>
  <si>
    <t xml:space="preserve">Rekapan Capaian Skrining PTM tahun 2026</t>
  </si>
  <si>
    <t xml:space="preserve">USPRO</t>
  </si>
  <si>
    <t xml:space="preserve">ASIK DAN RME (JIKA HANYA ADA DARI RME MAKA BISA DITERIMA)</t>
  </si>
  <si>
    <t xml:space="preserve">HT DAN DM</t>
  </si>
  <si>
    <t xml:space="preserve">HANYA AMBIL DARI RME</t>
  </si>
  <si>
    <t xml:space="preserve">SOP e-SPM</t>
  </si>
  <si>
    <t xml:space="preserve">PMK No. 6 Tahun 2024</t>
  </si>
  <si>
    <t xml:space="preserve">KMK No HK.01.07/MENKES/4634/2021 ttg PNPK Tatalaksana HT Dewasa</t>
  </si>
  <si>
    <t xml:space="preserve">PNPK 2021 Tatalaksana HT pada Anak</t>
  </si>
  <si>
    <t xml:space="preserve">Keputusan Menteri Kesehatan RI Nomor HK.01.07/MENKES/603/2020 tentang Pedoman Nasional Tata Laksana Diabetes Mellitus Tipe 2 Dewasa</t>
  </si>
  <si>
    <t xml:space="preserve">Keputusan Menteri Kesehatan Nomor HK.01.07/MENKES/2009/2024 tentang Pedoman Nasional Pelayanan Klinis Tata Laksana Diabetes Mellitus pada Anak</t>
  </si>
  <si>
    <t xml:space="preserve">CAPAIAN SKRINING PTM TW II</t>
  </si>
  <si>
    <t xml:space="preserve">TAHUN 2026</t>
  </si>
  <si>
    <t xml:space="preserve">NO</t>
  </si>
  <si>
    <t xml:space="preserve">PUSKESMAS</t>
  </si>
  <si>
    <t xml:space="preserve">USIA PRODUKTIF</t>
  </si>
  <si>
    <t xml:space="preserve">TARGET TAHUNAN</t>
  </si>
  <si>
    <t xml:space="preserve">CAPAIAN TW I</t>
  </si>
  <si>
    <t xml:space="preserve">% </t>
  </si>
  <si>
    <t xml:space="preserve">CAPAIAN TW II</t>
  </si>
  <si>
    <t xml:space="preserve">Total Capaian s/d TW II</t>
  </si>
  <si>
    <t xml:space="preserve">% s.d TW II</t>
  </si>
  <si>
    <t xml:space="preserve">EAHUN</t>
  </si>
  <si>
    <t xml:space="preserve">SOTIMORI</t>
  </si>
  <si>
    <t xml:space="preserve">KORBAFO</t>
  </si>
  <si>
    <t xml:space="preserve">SONIMANU</t>
  </si>
  <si>
    <t xml:space="preserve">FEAPOPI</t>
  </si>
  <si>
    <t xml:space="preserve">BAA</t>
  </si>
  <si>
    <t xml:space="preserve">OELE</t>
  </si>
  <si>
    <t xml:space="preserve">BUSALANGGA</t>
  </si>
  <si>
    <t xml:space="preserve">OELABA</t>
  </si>
  <si>
    <t xml:space="preserve">BATUTUA</t>
  </si>
  <si>
    <t xml:space="preserve">DELHA</t>
  </si>
  <si>
    <t xml:space="preserve">NDAO</t>
  </si>
  <si>
    <t xml:space="preserve">JUMLAH</t>
  </si>
  <si>
    <t xml:space="preserve">HIPERTENSI</t>
  </si>
  <si>
    <t xml:space="preserve">%</t>
  </si>
  <si>
    <t xml:space="preserve">DIABETES MELLITUS</t>
  </si>
  <si>
    <t xml:space="preserve">Total Capaian  s/d TW II</t>
  </si>
  <si>
    <t xml:space="preserve">CAPAIAN SKRINING PTM SEMESTER 1</t>
  </si>
  <si>
    <t xml:space="preserve">PELAYANAN KESEHATAN USIA PRODUKTIF</t>
  </si>
  <si>
    <t xml:space="preserve">TARGET TAHUNAN </t>
  </si>
  <si>
    <t xml:space="preserve">CAPAIAN SEMESTER 1</t>
  </si>
  <si>
    <t xml:space="preserve">PERSENTASE</t>
  </si>
  <si>
    <t xml:space="preserve">PELAYANAN KESEHATAN PENDERITA HIPERTENSI</t>
  </si>
  <si>
    <t xml:space="preserve">PELAYANAN KESEHATAN PENDERITA DIABETES MELLITUS</t>
  </si>
  <si>
    <t xml:space="preserve">Jlh spesimen  HPV DNA</t>
  </si>
  <si>
    <t xml:space="preserve">Pkm/Bln</t>
  </si>
  <si>
    <t xml:space="preserve">Jan</t>
  </si>
  <si>
    <t xml:space="preserve">Feb</t>
  </si>
  <si>
    <t xml:space="preserve">Apr</t>
  </si>
  <si>
    <t xml:space="preserve">Juli</t>
  </si>
  <si>
    <t xml:space="preserve">Agt</t>
  </si>
  <si>
    <t xml:space="preserve">Sep</t>
  </si>
  <si>
    <t xml:space="preserve">Okt</t>
  </si>
  <si>
    <t xml:space="preserve">Nov</t>
  </si>
  <si>
    <t xml:space="preserve">Des</t>
  </si>
  <si>
    <t xml:space="preserve">Total</t>
  </si>
  <si>
    <t xml:space="preserve">CAPAIAN PEMERIKSAAN DETEKSI DINI KANKER SERVIKS MELALUI METODE IVA DAN HPV DNA</t>
  </si>
  <si>
    <t xml:space="preserve"> SERTA DETEKSI DINI KANKER PAYUDARA MELALUI SADANIS TINGKAT KABUPATEN ROTE NDAO TAHUN 2026</t>
  </si>
  <si>
    <t xml:space="preserve">PUSKESMAS </t>
  </si>
  <si>
    <t xml:space="preserve">TARGET IVA/SADANIS</t>
  </si>
  <si>
    <t xml:space="preserve">TARGET PEMERIKSAAN HPV DNA</t>
  </si>
  <si>
    <t xml:space="preserve">CAPAIAN PEMERIKSAAN</t>
  </si>
  <si>
    <t xml:space="preserve">HASIL PEMERIKSAAN</t>
  </si>
  <si>
    <t xml:space="preserve">WUS (30-50 TAHUN)</t>
  </si>
  <si>
    <t xml:space="preserve">WUS (30-69 TAHUN)</t>
  </si>
  <si>
    <t xml:space="preserve">IVA</t>
  </si>
  <si>
    <t xml:space="preserve">SADANIS</t>
  </si>
  <si>
    <t xml:space="preserve">HPV DNA</t>
  </si>
  <si>
    <t xml:space="preserve">POSITIF IVA</t>
  </si>
  <si>
    <t xml:space="preserve">ADA TUMOR/ BENJOLAN</t>
  </si>
  <si>
    <t xml:space="preserve">POSITIF HPV DNA</t>
  </si>
  <si>
    <t xml:space="preserve">KETERANGAN</t>
  </si>
  <si>
    <t xml:space="preserve">Hasil Lab belum keluar</t>
  </si>
  <si>
    <t xml:space="preserve">REKAPAN DETEKSI DINI KANKER SERVIKS DENGAN METODE HPV DNA &amp; IVA TES</t>
  </si>
  <si>
    <t xml:space="preserve">KABUPATEN ROTE NDAO TAHUN 2026</t>
  </si>
  <si>
    <t xml:space="preserve">update data per 23 Juli 2026</t>
  </si>
  <si>
    <t xml:space="preserve">JUMLAH SPESIMEN</t>
  </si>
  <si>
    <t xml:space="preserve">HASIL LABORATORIUM BELUM KELUAR</t>
  </si>
  <si>
    <t xml:space="preserve">HASIL PEMERIKSAAN HPV DNA</t>
  </si>
  <si>
    <t xml:space="preserve">HASIL IVA</t>
  </si>
  <si>
    <t xml:space="preserve">IVA + DAN DNA HPV +</t>
  </si>
  <si>
    <t xml:space="preserve">IVA - DAN DNA HPV +</t>
  </si>
  <si>
    <t xml:space="preserve">IVA + DAN DNA HPV -</t>
  </si>
  <si>
    <t xml:space="preserve">IVA - DAN DNA HPV -</t>
  </si>
  <si>
    <t xml:space="preserve">NEGATIF</t>
  </si>
  <si>
    <t xml:space="preserve">SUB TIPE 16</t>
  </si>
  <si>
    <t xml:space="preserve">SUB TIPE 18</t>
  </si>
  <si>
    <t xml:space="preserve">SUB TIPE 52</t>
  </si>
  <si>
    <t xml:space="preserve">SUB TIPE LAINNYA</t>
  </si>
  <si>
    <t xml:space="preserve">POSITIF</t>
  </si>
  <si>
    <t xml:space="preserve">CURIGA KANKER</t>
  </si>
  <si>
    <t xml:space="preserve">No</t>
  </si>
  <si>
    <t xml:space="preserve">Kode PKM</t>
  </si>
  <si>
    <t xml:space="preserve">Nama Puskesmas</t>
  </si>
  <si>
    <t xml:space="preserve">Kecamatan</t>
  </si>
  <si>
    <t xml:space="preserve">Status</t>
  </si>
  <si>
    <t xml:space="preserve">PKM01</t>
  </si>
  <si>
    <t xml:space="preserve">ROTE TIMUR</t>
  </si>
  <si>
    <t xml:space="preserve">AKTIF</t>
  </si>
  <si>
    <t xml:space="preserve">PKM02</t>
  </si>
  <si>
    <t xml:space="preserve">LANDU LEKO</t>
  </si>
  <si>
    <t xml:space="preserve">PKM03</t>
  </si>
  <si>
    <t xml:space="preserve">PANTAI BARU</t>
  </si>
  <si>
    <t xml:space="preserve">PKM04</t>
  </si>
  <si>
    <t xml:space="preserve">PKM05</t>
  </si>
  <si>
    <t xml:space="preserve">ROTE TENGAH </t>
  </si>
  <si>
    <t xml:space="preserve">PKM06</t>
  </si>
  <si>
    <t xml:space="preserve">LOBALAIN</t>
  </si>
  <si>
    <t xml:space="preserve">PKM07</t>
  </si>
  <si>
    <t xml:space="preserve">ROTE SELATAN</t>
  </si>
  <si>
    <t xml:space="preserve">PKM08</t>
  </si>
  <si>
    <t xml:space="preserve">ROTE BARAT LAUT</t>
  </si>
  <si>
    <t xml:space="preserve">PKM09</t>
  </si>
  <si>
    <t xml:space="preserve">LOAHOLU</t>
  </si>
  <si>
    <t xml:space="preserve">PKM10</t>
  </si>
  <si>
    <t xml:space="preserve">ROTE BARAT DAYA</t>
  </si>
  <si>
    <t xml:space="preserve">PKM11</t>
  </si>
  <si>
    <t xml:space="preserve">ROTE BARAT</t>
  </si>
  <si>
    <t xml:space="preserve">PKM12</t>
  </si>
  <si>
    <t xml:space="preserve">NDAO NUSE</t>
  </si>
  <si>
    <t xml:space="preserve">Kode</t>
  </si>
  <si>
    <t xml:space="preserve">Nama Indikator</t>
  </si>
  <si>
    <t xml:space="preserve">Satuan</t>
  </si>
  <si>
    <t xml:space="preserve">UP</t>
  </si>
  <si>
    <t xml:space="preserve">Usia Produktif</t>
  </si>
  <si>
    <t xml:space="preserve">Orang</t>
  </si>
  <si>
    <t xml:space="preserve">Hipertensi</t>
  </si>
  <si>
    <t xml:space="preserve">Diabetes Melitus</t>
  </si>
  <si>
    <t xml:space="preserve">HPV</t>
  </si>
  <si>
    <t xml:space="preserve">HPV DNA Co Testing IVA</t>
  </si>
  <si>
    <t xml:space="preserve">Tahun</t>
  </si>
  <si>
    <t xml:space="preserve">Puskesmas</t>
  </si>
  <si>
    <t xml:space="preserve">Indikator</t>
  </si>
  <si>
    <t xml:space="preserve">Target Tahunan</t>
  </si>
  <si>
    <t xml:space="preserve">Target Bulanan</t>
  </si>
  <si>
    <t xml:space="preserve">Bulan</t>
  </si>
  <si>
    <t xml:space="preserve">CAPAIAN BULANAN</t>
  </si>
  <si>
    <t xml:space="preserve">Tarikan data ASIK CKG</t>
  </si>
  <si>
    <t xml:space="preserve">Tanggal 1 Januari s/d 16 Juni 2026</t>
  </si>
  <si>
    <t xml:space="preserve">Pendaftar berdasarkan Klaster Usia </t>
  </si>
  <si>
    <t xml:space="preserve">Klaster Usia</t>
  </si>
  <si>
    <t xml:space="preserve">Jumlah Pendaftar (Orang)</t>
  </si>
  <si>
    <t xml:space="preserve">Bayi Baru Lahir &lt; 1 tahun </t>
  </si>
  <si>
    <t xml:space="preserve">Anak 1 - 6 tahun </t>
  </si>
  <si>
    <t xml:space="preserve">Usia sekolah 7 - 12 tahun </t>
  </si>
  <si>
    <t xml:space="preserve">Usia sekolah 13 - 15 tahun</t>
  </si>
  <si>
    <t xml:space="preserve">Usia sekolah 16 s.d &lt;18 tahun </t>
  </si>
  <si>
    <t xml:space="preserve">Dewasa 18 - 29 tahun </t>
  </si>
  <si>
    <t xml:space="preserve">Dewasa 30 - 39 tahun </t>
  </si>
  <si>
    <t xml:space="preserve">Dewasa 40 - 59 tahun </t>
  </si>
  <si>
    <t xml:space="preserve">Lansia &gt;= 60 tahun </t>
  </si>
  <si>
    <t xml:space="preserve">Total Pemeriksaan Khusus</t>
  </si>
  <si>
    <t xml:space="preserve">Jenis Skrining</t>
  </si>
  <si>
    <t xml:space="preserve">Jumlah Pendaftar</t>
  </si>
  <si>
    <t xml:space="preserve">Skrining Talasemia dan GDS</t>
  </si>
  <si>
    <t xml:space="preserve">Skrining Anemia </t>
  </si>
  <si>
    <t xml:space="preserve">Skrining HPV DNA dan Kanker Payudara</t>
  </si>
  <si>
    <t xml:space="preserve">Skrining Kanker Kolorektar dan Kanker Paru</t>
  </si>
  <si>
    <t xml:space="preserve">Tabel Agregat</t>
  </si>
  <si>
    <t xml:space="preserve">Total Pendaftar</t>
  </si>
  <si>
    <t xml:space="preserve">Total Bayi</t>
  </si>
  <si>
    <t xml:space="preserve">Bayi Perempuan</t>
  </si>
  <si>
    <t xml:space="preserve">Bayi Laki - Laki</t>
  </si>
  <si>
    <t xml:space="preserve">Total Anak</t>
  </si>
  <si>
    <t xml:space="preserve">Anak Perempuan</t>
  </si>
  <si>
    <t xml:space="preserve">Anak Laki2</t>
  </si>
  <si>
    <t xml:space="preserve">Total SD</t>
  </si>
  <si>
    <t xml:space="preserve">SD Perempuan</t>
  </si>
  <si>
    <t xml:space="preserve">SD Laki - Laki</t>
  </si>
  <si>
    <t xml:space="preserve">Total SMP</t>
  </si>
  <si>
    <t xml:space="preserve">SMP Perempuan</t>
  </si>
  <si>
    <t xml:space="preserve">SMP Laki - Laki</t>
  </si>
  <si>
    <t xml:space="preserve">Total SMA</t>
  </si>
  <si>
    <t xml:space="preserve">SMA Perempuan</t>
  </si>
  <si>
    <t xml:space="preserve">SMA Laki - Laki</t>
  </si>
  <si>
    <t xml:space="preserve">Total Dewasa I</t>
  </si>
  <si>
    <t xml:space="preserve">Dewasa I Perempuan</t>
  </si>
  <si>
    <t xml:space="preserve">Dewasa I Laki - Laki</t>
  </si>
  <si>
    <t xml:space="preserve">Total Dewasa II</t>
  </si>
  <si>
    <t xml:space="preserve">Dewasa II Perempuan</t>
  </si>
  <si>
    <t xml:space="preserve">Dewasa II Laki - Laki</t>
  </si>
  <si>
    <t xml:space="preserve">Total Dewasa III</t>
  </si>
  <si>
    <t xml:space="preserve">Dewasa III Perempuan</t>
  </si>
  <si>
    <t xml:space="preserve">Dewasa III Laki - Laki</t>
  </si>
  <si>
    <t xml:space="preserve">Total Lansia</t>
  </si>
  <si>
    <t xml:space="preserve">Lansia Perempuan</t>
  </si>
  <si>
    <t xml:space="preserve">Lansia Laki - Laki</t>
  </si>
  <si>
    <t xml:space="preserve">Lobalain</t>
  </si>
  <si>
    <t xml:space="preserve">Pantai Baru</t>
  </si>
  <si>
    <t xml:space="preserve">Rote Barat</t>
  </si>
  <si>
    <t xml:space="preserve">Ndao Nuse</t>
  </si>
  <si>
    <t xml:space="preserve">Rote Barat Daya</t>
  </si>
  <si>
    <t xml:space="preserve">Loaholu</t>
  </si>
  <si>
    <t xml:space="preserve">Rote Barat Laut</t>
  </si>
  <si>
    <t xml:space="preserve">Rote Selatan</t>
  </si>
  <si>
    <t xml:space="preserve">Rote Tengah</t>
  </si>
  <si>
    <t xml:space="preserve">Landu Leko</t>
  </si>
  <si>
    <t xml:space="preserve">Rote Timur</t>
  </si>
  <si>
    <t xml:space="preserve">Total </t>
  </si>
  <si>
    <t xml:space="preserve">Tarikan data ASIK PTM Klaster 3 </t>
  </si>
  <si>
    <t xml:space="preserve">Dashboard Peserta</t>
  </si>
  <si>
    <t xml:space="preserve">Menu : Deteksi Dini Overview</t>
  </si>
  <si>
    <t xml:space="preserve">L</t>
  </si>
  <si>
    <t xml:space="preserve">P</t>
  </si>
  <si>
    <t xml:space="preserve">Diagnosis</t>
  </si>
  <si>
    <t xml:space="preserve">Tekanan Darah</t>
  </si>
  <si>
    <t xml:space="preserve">Gula Darah</t>
  </si>
  <si>
    <t xml:space="preserve">IMT</t>
  </si>
  <si>
    <t xml:space="preserve">Jumlah Peserta</t>
  </si>
  <si>
    <t xml:space="preserve">Normal</t>
  </si>
  <si>
    <t xml:space="preserve">Pre-Hipertensi</t>
  </si>
  <si>
    <t xml:space="preserve">Jlh peserta</t>
  </si>
  <si>
    <t xml:space="preserve">Pre-Diabetes</t>
  </si>
  <si>
    <t xml:space="preserve">Diabetes</t>
  </si>
  <si>
    <t xml:space="preserve">Underweight</t>
  </si>
  <si>
    <t xml:space="preserve">Overweight</t>
  </si>
  <si>
    <t xml:space="preserve">Obesitas</t>
  </si>
  <si>
    <t xml:space="preserve">Lingkar Perut</t>
  </si>
  <si>
    <t xml:space="preserve">EKG</t>
  </si>
  <si>
    <t xml:space="preserve">Jlh Peserta</t>
  </si>
  <si>
    <t xml:space="preserve">Obesitas Sentral </t>
  </si>
  <si>
    <t xml:space="preserve">Abnormal</t>
  </si>
  <si>
    <t xml:space="preserve">Jlh peserta -Penyandang DM/HT</t>
  </si>
  <si>
    <t xml:space="preserve">Abnormal - Penyandang DM/HT</t>
  </si>
  <si>
    <t xml:space="preserve">Normal - Penyandang DM/HT</t>
  </si>
  <si>
    <t xml:space="preserve">Jlh peserta - Penyandang DM</t>
  </si>
  <si>
    <t xml:space="preserve">Abnormal - Penyandang DM</t>
  </si>
  <si>
    <t xml:space="preserve">Normal - Penyandang DM</t>
  </si>
  <si>
    <t xml:space="preserve">Jlh Peserta - Penyandang HT</t>
  </si>
  <si>
    <t xml:space="preserve">Abnormal - Penyandang HT</t>
  </si>
  <si>
    <t xml:space="preserve">Normal - Penyandang HT</t>
  </si>
  <si>
    <t xml:space="preserve">Lemak Darah</t>
  </si>
  <si>
    <t xml:space="preserve">Tidak Normal</t>
  </si>
  <si>
    <t xml:space="preserve">Jlh peserta - Penyandang HT/DM</t>
  </si>
  <si>
    <t xml:space="preserve">Normal-Penyandang HT/DM</t>
  </si>
  <si>
    <t xml:space="preserve">Tidak Normal-Penyandang HT/DM</t>
  </si>
  <si>
    <t xml:space="preserve">Jlh peserta -Penyandang HT</t>
  </si>
  <si>
    <t xml:space="preserve">Tidak Normal-Penyandang HT</t>
  </si>
  <si>
    <t xml:space="preserve">Jlh Peserta - Penyandang DM</t>
  </si>
  <si>
    <t xml:space="preserve">Tidak normal - penyandang DM</t>
  </si>
  <si>
    <t xml:space="preserve">Ca Mamae - Sadanis</t>
  </si>
  <si>
    <t xml:space="preserve">Ca Mamae  USG</t>
  </si>
  <si>
    <t xml:space="preserve">Normal </t>
  </si>
  <si>
    <t xml:space="preserve">Curiga Kanker</t>
  </si>
  <si>
    <t xml:space="preserve">Benjolan</t>
  </si>
  <si>
    <t xml:space="preserve">Simple Cyst</t>
  </si>
  <si>
    <t xml:space="preserve">Non Simple cyst</t>
  </si>
  <si>
    <t xml:space="preserve">Ca Kolorektal - Kuesioner</t>
  </si>
  <si>
    <t xml:space="preserve">Ca Kolorektal - Risiko Tinggi</t>
  </si>
  <si>
    <t xml:space="preserve">Risiko rendah</t>
  </si>
  <si>
    <t xml:space="preserve">Risiko Sedang</t>
  </si>
  <si>
    <t xml:space="preserve">Risiko Tinggi</t>
  </si>
  <si>
    <t xml:space="preserve">Tidak curiga Kanker</t>
  </si>
  <si>
    <t xml:space="preserve">Curiga tumor jinak</t>
  </si>
  <si>
    <t xml:space="preserve">Curiga kanker kolorektal</t>
  </si>
  <si>
    <t xml:space="preserve">Curiga kanker</t>
  </si>
  <si>
    <t xml:space="preserve">Ca Paru - Kuesioner</t>
  </si>
  <si>
    <t xml:space="preserve">Ca Paru - Kuesioner (Umur 45 - 70 thn)</t>
  </si>
  <si>
    <t xml:space="preserve">Risiko sedang</t>
  </si>
  <si>
    <t xml:space="preserve">Risiko tinggi</t>
  </si>
  <si>
    <t xml:space="preserve">Thalassemia</t>
  </si>
  <si>
    <t xml:space="preserve">Tidak curiga</t>
  </si>
  <si>
    <t xml:space="preserve">Curiga</t>
  </si>
  <si>
    <t xml:space="preserve">Tajam penglihatan</t>
  </si>
  <si>
    <t xml:space="preserve">Katarak</t>
  </si>
  <si>
    <t xml:space="preserve">Gangguan ringan</t>
  </si>
  <si>
    <t xml:space="preserve">Gangguan sedang</t>
  </si>
  <si>
    <t xml:space="preserve">Gangguan berat</t>
  </si>
  <si>
    <t xml:space="preserve">Bukan katarak</t>
  </si>
  <si>
    <t xml:space="preserve">Curiga katarak</t>
  </si>
  <si>
    <t xml:space="preserve">Tajam pendengaran</t>
  </si>
  <si>
    <t xml:space="preserve">Congek OMSK</t>
  </si>
  <si>
    <t xml:space="preserve">Gangguan </t>
  </si>
  <si>
    <t xml:space="preserve">Gangguan</t>
  </si>
  <si>
    <t xml:space="preserve">PPOK</t>
  </si>
  <si>
    <t xml:space="preserve">Menu : Diagnosis Overview</t>
  </si>
  <si>
    <t xml:space="preserve">Penyandang Penyakit Jantung</t>
  </si>
  <si>
    <t xml:space="preserve">Umum</t>
  </si>
  <si>
    <t xml:space="preserve">Jtg koroner</t>
  </si>
  <si>
    <t xml:space="preserve">Gagal jtg</t>
  </si>
  <si>
    <t xml:space="preserve">Kongenital</t>
  </si>
  <si>
    <t xml:space="preserve">lainnya</t>
  </si>
  <si>
    <t xml:space="preserve">Penyandang HT</t>
  </si>
  <si>
    <t xml:space="preserve">Penyandang DM</t>
  </si>
  <si>
    <t xml:space="preserve">Penyandang Obes</t>
  </si>
  <si>
    <t xml:space="preserve">Penderita Stroke</t>
  </si>
  <si>
    <t xml:space="preserve">Penyandang Ca Mamae</t>
  </si>
  <si>
    <t xml:space="preserve">Penyandang Ca Serviks</t>
  </si>
  <si>
    <t xml:space="preserve">Penyandang Thalassemia</t>
  </si>
  <si>
    <t xml:space="preserve">Penyandang Gangguan Pendengaran</t>
  </si>
  <si>
    <t xml:space="preserve">Serumen Prop</t>
  </si>
  <si>
    <t xml:space="preserve">Otitis (OMSK)</t>
  </si>
  <si>
    <t xml:space="preserve">Presbikusis</t>
  </si>
  <si>
    <t xml:space="preserve">Penyandang Gangguan Penglihatan</t>
  </si>
  <si>
    <t xml:space="preserve">Refraksi</t>
  </si>
  <si>
    <t xml:space="preserve">Miopia</t>
  </si>
  <si>
    <t xml:space="preserve">umum</t>
  </si>
  <si>
    <t xml:space="preserve">stabil</t>
  </si>
  <si>
    <t xml:space="preserve">Akserbasi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</si>
</sst>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"/>
    <numFmt numFmtId="168" formatCode="#,##0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EAD1DC"/>
        <bgColor rgb="FFD9E2F3"/>
      </patternFill>
    </fill>
    <fill>
      <patternFill patternType="solid">
        <fgColor rgb="FFCFE2F3"/>
        <bgColor rgb="FFD9E2F3"/>
      </patternFill>
    </fill>
    <fill>
      <patternFill patternType="solid">
        <fgColor rgb="FFB4C6E7"/>
        <bgColor rgb="FFB4C7E7"/>
      </patternFill>
    </fill>
    <fill>
      <patternFill patternType="solid">
        <fgColor rgb="FFC5E0B3"/>
        <bgColor rgb="FFC5E0B4"/>
      </patternFill>
    </fill>
    <fill>
      <patternFill patternType="solid">
        <fgColor rgb="FFFFE598"/>
        <bgColor rgb="FFFFF2CC"/>
      </patternFill>
    </fill>
    <fill>
      <patternFill patternType="solid">
        <fgColor rgb="FFC9DAF8"/>
        <bgColor rgb="FFCFE2F3"/>
      </patternFill>
    </fill>
    <fill>
      <patternFill patternType="solid">
        <fgColor rgb="FFB6D7A8"/>
        <bgColor rgb="FFC5E0B3"/>
      </patternFill>
    </fill>
    <fill>
      <patternFill patternType="solid">
        <fgColor theme="7" tint="0.7999"/>
        <bgColor rgb="FFFFE598"/>
      </patternFill>
    </fill>
    <fill>
      <patternFill patternType="solid">
        <fgColor rgb="FF92D050"/>
        <bgColor rgb="FFB6D7A8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D9E2F3"/>
      </patternFill>
    </fill>
    <fill>
      <patternFill patternType="solid">
        <fgColor theme="9" tint="0.5999"/>
        <bgColor rgb="FFC5E0B3"/>
      </patternFill>
    </fill>
    <fill>
      <patternFill patternType="solid">
        <fgColor theme="4" tint="0.5999"/>
        <bgColor rgb="FFB4C6E7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D9E2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8FAADC"/>
      <rgbColor rgb="FF7030A0"/>
      <rgbColor rgb="FFFFF2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5E0B4"/>
      <rgbColor rgb="FFC5E0B3"/>
      <rgbColor rgb="FFB4C7E7"/>
      <rgbColor rgb="FFEAD1DC"/>
      <rgbColor rgb="FFCC99FF"/>
      <rgbColor rgb="FFFFE598"/>
      <rgbColor rgb="FF3366FF"/>
      <rgbColor rgb="FF33CCCC"/>
      <rgbColor rgb="FF92D050"/>
      <rgbColor rgb="FFFFCC00"/>
      <rgbColor rgb="FFFF9900"/>
      <rgbColor rgb="FFFF6600"/>
      <rgbColor rgb="FF666699"/>
      <rgbColor rgb="FFB6D7A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552600</xdr:colOff>
      <xdr:row>0</xdr:row>
      <xdr:rowOff>0</xdr:rowOff>
    </xdr:from>
    <xdr:to>
      <xdr:col>17</xdr:col>
      <xdr:colOff>222120</xdr:colOff>
      <xdr:row>8</xdr:row>
      <xdr:rowOff>247320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3756320" y="0"/>
          <a:ext cx="4762080" cy="204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76320</xdr:colOff>
      <xdr:row>10</xdr:row>
      <xdr:rowOff>104760</xdr:rowOff>
    </xdr:from>
    <xdr:to>
      <xdr:col>11</xdr:col>
      <xdr:colOff>878760</xdr:colOff>
      <xdr:row>16</xdr:row>
      <xdr:rowOff>170640</xdr:rowOff>
    </xdr:to>
    <xdr:pic>
      <xdr:nvPicPr>
        <xdr:cNvPr id="1" name="image5.png" descr=""/>
        <xdr:cNvPicPr/>
      </xdr:nvPicPr>
      <xdr:blipFill>
        <a:blip r:embed="rId2"/>
        <a:stretch/>
      </xdr:blipFill>
      <xdr:spPr>
        <a:xfrm>
          <a:off x="8187120" y="2628720"/>
          <a:ext cx="4876560" cy="187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866880</xdr:colOff>
      <xdr:row>21</xdr:row>
      <xdr:rowOff>85680</xdr:rowOff>
    </xdr:from>
    <xdr:to>
      <xdr:col>8</xdr:col>
      <xdr:colOff>972720</xdr:colOff>
      <xdr:row>30</xdr:row>
      <xdr:rowOff>18720</xdr:rowOff>
    </xdr:to>
    <xdr:pic>
      <xdr:nvPicPr>
        <xdr:cNvPr id="2" name="image4.png" descr=""/>
        <xdr:cNvPicPr/>
      </xdr:nvPicPr>
      <xdr:blipFill>
        <a:blip r:embed="rId3"/>
        <a:stretch/>
      </xdr:blipFill>
      <xdr:spPr>
        <a:xfrm>
          <a:off x="7959240" y="5505480"/>
          <a:ext cx="2142720" cy="2266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647640</xdr:colOff>
      <xdr:row>21</xdr:row>
      <xdr:rowOff>85680</xdr:rowOff>
    </xdr:from>
    <xdr:to>
      <xdr:col>12</xdr:col>
      <xdr:colOff>429480</xdr:colOff>
      <xdr:row>30</xdr:row>
      <xdr:rowOff>18720</xdr:rowOff>
    </xdr:to>
    <xdr:pic>
      <xdr:nvPicPr>
        <xdr:cNvPr id="3" name="image3.png" descr=""/>
        <xdr:cNvPicPr/>
      </xdr:nvPicPr>
      <xdr:blipFill>
        <a:blip r:embed="rId4"/>
        <a:stretch/>
      </xdr:blipFill>
      <xdr:spPr>
        <a:xfrm>
          <a:off x="11814120" y="5505480"/>
          <a:ext cx="1819080" cy="2266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790560</xdr:colOff>
      <xdr:row>0</xdr:row>
      <xdr:rowOff>0</xdr:rowOff>
    </xdr:from>
    <xdr:to>
      <xdr:col>11</xdr:col>
      <xdr:colOff>69480</xdr:colOff>
      <xdr:row>8</xdr:row>
      <xdr:rowOff>75600</xdr:rowOff>
    </xdr:to>
    <xdr:pic>
      <xdr:nvPicPr>
        <xdr:cNvPr id="4" name="image6.png" descr=""/>
        <xdr:cNvPicPr/>
      </xdr:nvPicPr>
      <xdr:blipFill>
        <a:blip r:embed="rId5"/>
        <a:stretch/>
      </xdr:blipFill>
      <xdr:spPr>
        <a:xfrm>
          <a:off x="7882920" y="0"/>
          <a:ext cx="4371480" cy="1875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Z1000"/>
  <sheetViews>
    <sheetView showFormulas="false" showGridLines="true" showRowColHeaders="true" showZeros="true" rightToLeft="false" tabSelected="false" showOutlineSymbols="true" defaultGridColor="true" view="normal" topLeftCell="B1" colorId="64" zoomScale="78" zoomScaleNormal="78" zoomScalePageLayoutView="100" workbookViewId="0">
      <selection pane="topLeft" activeCell="F8" activeCellId="0" sqref="F8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14.09"/>
    <col collapsed="false" customWidth="true" hidden="false" outlineLevel="0" max="14" min="3" style="1" width="8.73"/>
    <col collapsed="false" customWidth="true" hidden="false" outlineLevel="0" max="26" min="15" style="1" width="12"/>
    <col collapsed="false" customWidth="true" hidden="false" outlineLevel="0" max="32" min="27" style="1" width="8.73"/>
  </cols>
  <sheetData>
    <row r="2" customFormat="false" ht="14.2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9.5" hidden="false" customHeight="true" outlineLevel="0" collapsed="false">
      <c r="B4" s="3" t="s">
        <v>0</v>
      </c>
      <c r="C4" s="4" t="s">
        <v>1</v>
      </c>
      <c r="D4" s="4"/>
      <c r="E4" s="4"/>
      <c r="F4" s="4" t="s">
        <v>2</v>
      </c>
      <c r="G4" s="4"/>
      <c r="H4" s="4"/>
      <c r="I4" s="4" t="s">
        <v>3</v>
      </c>
      <c r="J4" s="4"/>
      <c r="K4" s="4"/>
      <c r="L4" s="5" t="s">
        <v>4</v>
      </c>
      <c r="M4" s="5"/>
      <c r="N4" s="5"/>
      <c r="O4" s="6" t="s">
        <v>5</v>
      </c>
      <c r="P4" s="6"/>
      <c r="Q4" s="6"/>
      <c r="R4" s="6" t="s">
        <v>6</v>
      </c>
      <c r="S4" s="6"/>
      <c r="T4" s="6"/>
      <c r="U4" s="6" t="s">
        <v>7</v>
      </c>
      <c r="V4" s="6"/>
      <c r="W4" s="6"/>
      <c r="X4" s="7" t="s">
        <v>8</v>
      </c>
      <c r="Y4" s="7"/>
      <c r="Z4" s="7"/>
    </row>
    <row r="5" customFormat="false" ht="19.5" hidden="false" customHeight="true" outlineLevel="0" collapsed="false">
      <c r="B5" s="3"/>
      <c r="C5" s="8" t="s">
        <v>9</v>
      </c>
      <c r="D5" s="9" t="s">
        <v>10</v>
      </c>
      <c r="E5" s="10" t="s">
        <v>11</v>
      </c>
      <c r="F5" s="8" t="s">
        <v>9</v>
      </c>
      <c r="G5" s="9" t="s">
        <v>10</v>
      </c>
      <c r="H5" s="10" t="s">
        <v>11</v>
      </c>
      <c r="I5" s="8" t="s">
        <v>9</v>
      </c>
      <c r="J5" s="9" t="s">
        <v>10</v>
      </c>
      <c r="K5" s="10" t="s">
        <v>11</v>
      </c>
      <c r="L5" s="8" t="s">
        <v>9</v>
      </c>
      <c r="M5" s="9" t="s">
        <v>10</v>
      </c>
      <c r="N5" s="10" t="s">
        <v>11</v>
      </c>
      <c r="O5" s="8" t="s">
        <v>9</v>
      </c>
      <c r="P5" s="9" t="s">
        <v>10</v>
      </c>
      <c r="Q5" s="10" t="s">
        <v>11</v>
      </c>
      <c r="R5" s="8" t="s">
        <v>9</v>
      </c>
      <c r="S5" s="9" t="s">
        <v>10</v>
      </c>
      <c r="T5" s="10" t="s">
        <v>11</v>
      </c>
      <c r="U5" s="8" t="s">
        <v>9</v>
      </c>
      <c r="V5" s="9" t="s">
        <v>10</v>
      </c>
      <c r="W5" s="10" t="s">
        <v>11</v>
      </c>
      <c r="X5" s="8" t="s">
        <v>9</v>
      </c>
      <c r="Y5" s="9" t="s">
        <v>10</v>
      </c>
      <c r="Z5" s="10" t="s">
        <v>11</v>
      </c>
    </row>
    <row r="6" customFormat="false" ht="16.5" hidden="false" customHeight="true" outlineLevel="0" collapsed="false">
      <c r="B6" s="11" t="s">
        <v>12</v>
      </c>
      <c r="C6" s="12" t="n">
        <v>15</v>
      </c>
      <c r="D6" s="13" t="n">
        <v>0</v>
      </c>
      <c r="E6" s="14" t="n">
        <v>1</v>
      </c>
      <c r="F6" s="12" t="n">
        <v>58</v>
      </c>
      <c r="G6" s="13" t="n">
        <v>0</v>
      </c>
      <c r="H6" s="14" t="n">
        <v>0</v>
      </c>
      <c r="I6" s="12" t="n">
        <v>46</v>
      </c>
      <c r="J6" s="13" t="n">
        <v>1</v>
      </c>
      <c r="K6" s="14" t="n">
        <v>0</v>
      </c>
      <c r="L6" s="12" t="n">
        <f aca="false">C6+F6+I6</f>
        <v>119</v>
      </c>
      <c r="M6" s="13" t="n">
        <f aca="false">D6+G6+J6</f>
        <v>1</v>
      </c>
      <c r="N6" s="14" t="n">
        <f aca="false">E6+H6+K6</f>
        <v>1</v>
      </c>
      <c r="O6" s="12" t="n">
        <v>222</v>
      </c>
      <c r="P6" s="13" t="n">
        <v>21</v>
      </c>
      <c r="Q6" s="14" t="n">
        <v>6</v>
      </c>
      <c r="R6" s="12" t="n">
        <v>295</v>
      </c>
      <c r="S6" s="13" t="n">
        <v>7</v>
      </c>
      <c r="T6" s="14" t="n">
        <v>9</v>
      </c>
      <c r="U6" s="12" t="n">
        <v>481</v>
      </c>
      <c r="V6" s="13" t="n">
        <v>12</v>
      </c>
      <c r="W6" s="14" t="n">
        <v>4</v>
      </c>
      <c r="X6" s="12" t="n">
        <f aca="false">O6+R6+U6</f>
        <v>998</v>
      </c>
      <c r="Y6" s="13" t="n">
        <f aca="false">P6+S6+V6</f>
        <v>40</v>
      </c>
      <c r="Z6" s="14" t="n">
        <f aca="false">Q6+T6+W6</f>
        <v>19</v>
      </c>
    </row>
    <row r="7" customFormat="false" ht="16.5" hidden="false" customHeight="true" outlineLevel="0" collapsed="false">
      <c r="B7" s="11" t="s">
        <v>13</v>
      </c>
      <c r="C7" s="12" t="n">
        <v>112</v>
      </c>
      <c r="D7" s="13" t="n">
        <v>26</v>
      </c>
      <c r="E7" s="14" t="n">
        <v>6</v>
      </c>
      <c r="F7" s="12" t="n">
        <v>244</v>
      </c>
      <c r="G7" s="13" t="n">
        <v>16</v>
      </c>
      <c r="H7" s="14" t="n">
        <v>8</v>
      </c>
      <c r="I7" s="12" t="n">
        <v>120</v>
      </c>
      <c r="J7" s="13" t="n">
        <v>36</v>
      </c>
      <c r="K7" s="14" t="n">
        <v>2</v>
      </c>
      <c r="L7" s="12" t="n">
        <f aca="false">C7+F7+I7</f>
        <v>476</v>
      </c>
      <c r="M7" s="13" t="n">
        <f aca="false">D7+G7+J7</f>
        <v>78</v>
      </c>
      <c r="N7" s="14" t="n">
        <f aca="false">E7+H7+K7</f>
        <v>16</v>
      </c>
      <c r="O7" s="12" t="n">
        <v>133</v>
      </c>
      <c r="P7" s="13" t="n">
        <v>13</v>
      </c>
      <c r="Q7" s="14" t="n">
        <v>7</v>
      </c>
      <c r="R7" s="12" t="n">
        <v>117</v>
      </c>
      <c r="S7" s="13" t="n">
        <v>7</v>
      </c>
      <c r="T7" s="14" t="n">
        <v>5</v>
      </c>
      <c r="U7" s="12" t="n">
        <v>214</v>
      </c>
      <c r="V7" s="13" t="n">
        <v>105</v>
      </c>
      <c r="W7" s="14" t="n">
        <v>6</v>
      </c>
      <c r="X7" s="12" t="n">
        <f aca="false">O7+R7+U7</f>
        <v>464</v>
      </c>
      <c r="Y7" s="13" t="n">
        <f aca="false">P7+S7+V7</f>
        <v>125</v>
      </c>
      <c r="Z7" s="14" t="n">
        <f aca="false">Q7+T7+W7</f>
        <v>18</v>
      </c>
    </row>
    <row r="8" customFormat="false" ht="16.5" hidden="false" customHeight="true" outlineLevel="0" collapsed="false">
      <c r="B8" s="11" t="s">
        <v>14</v>
      </c>
      <c r="C8" s="12" t="n">
        <v>107</v>
      </c>
      <c r="D8" s="13" t="n">
        <v>0</v>
      </c>
      <c r="E8" s="14" t="n">
        <v>1</v>
      </c>
      <c r="F8" s="12" t="n">
        <v>105</v>
      </c>
      <c r="G8" s="13" t="n">
        <v>0</v>
      </c>
      <c r="H8" s="14" t="n">
        <v>0</v>
      </c>
      <c r="I8" s="12" t="n">
        <v>86</v>
      </c>
      <c r="J8" s="13" t="n">
        <v>6</v>
      </c>
      <c r="K8" s="14" t="n">
        <v>0</v>
      </c>
      <c r="L8" s="12" t="n">
        <f aca="false">C8+F8+I8</f>
        <v>298</v>
      </c>
      <c r="M8" s="13" t="n">
        <f aca="false">D8+G8+J8</f>
        <v>6</v>
      </c>
      <c r="N8" s="14" t="n">
        <f aca="false">E8+H8+K8</f>
        <v>1</v>
      </c>
      <c r="O8" s="12" t="n">
        <v>129</v>
      </c>
      <c r="P8" s="13" t="n">
        <v>6</v>
      </c>
      <c r="Q8" s="14" t="n">
        <v>2</v>
      </c>
      <c r="R8" s="12" t="n">
        <v>90</v>
      </c>
      <c r="S8" s="13" t="n">
        <v>1</v>
      </c>
      <c r="T8" s="14" t="n">
        <v>0</v>
      </c>
      <c r="U8" s="12" t="n">
        <v>117</v>
      </c>
      <c r="V8" s="13" t="n">
        <v>2</v>
      </c>
      <c r="W8" s="14" t="n">
        <v>0</v>
      </c>
      <c r="X8" s="12" t="n">
        <f aca="false">O8+R8+U8</f>
        <v>336</v>
      </c>
      <c r="Y8" s="13" t="n">
        <f aca="false">P8+S8+V8</f>
        <v>9</v>
      </c>
      <c r="Z8" s="14" t="n">
        <f aca="false">Q8+T8+W8</f>
        <v>2</v>
      </c>
    </row>
    <row r="9" customFormat="false" ht="16.5" hidden="false" customHeight="true" outlineLevel="0" collapsed="false">
      <c r="B9" s="11" t="s">
        <v>15</v>
      </c>
      <c r="C9" s="12" t="n">
        <v>14</v>
      </c>
      <c r="D9" s="13" t="n">
        <v>1</v>
      </c>
      <c r="E9" s="14" t="n">
        <v>0</v>
      </c>
      <c r="F9" s="12" t="n">
        <v>42</v>
      </c>
      <c r="G9" s="13" t="n">
        <v>0</v>
      </c>
      <c r="H9" s="14" t="n">
        <v>1</v>
      </c>
      <c r="I9" s="12" t="n">
        <v>16</v>
      </c>
      <c r="J9" s="13" t="n">
        <v>1</v>
      </c>
      <c r="K9" s="14" t="n">
        <v>2</v>
      </c>
      <c r="L9" s="12" t="n">
        <f aca="false">C9+F9+I9</f>
        <v>72</v>
      </c>
      <c r="M9" s="13" t="n">
        <f aca="false">D9+G9+J9</f>
        <v>2</v>
      </c>
      <c r="N9" s="14" t="n">
        <f aca="false">E9+H9+K9</f>
        <v>3</v>
      </c>
      <c r="O9" s="12" t="n">
        <v>148</v>
      </c>
      <c r="P9" s="13" t="n">
        <v>2</v>
      </c>
      <c r="Q9" s="14" t="n">
        <v>0</v>
      </c>
      <c r="R9" s="12" t="n">
        <v>231</v>
      </c>
      <c r="S9" s="13" t="n">
        <v>9</v>
      </c>
      <c r="T9" s="14" t="n">
        <v>2</v>
      </c>
      <c r="U9" s="12" t="n">
        <v>618</v>
      </c>
      <c r="V9" s="13" t="n">
        <v>10</v>
      </c>
      <c r="W9" s="14" t="n">
        <v>4</v>
      </c>
      <c r="X9" s="12" t="n">
        <f aca="false">O9+R9+U9</f>
        <v>997</v>
      </c>
      <c r="Y9" s="13" t="n">
        <f aca="false">P9+S9+V9</f>
        <v>21</v>
      </c>
      <c r="Z9" s="14" t="n">
        <f aca="false">Q9+T9+W9</f>
        <v>6</v>
      </c>
    </row>
    <row r="10" customFormat="false" ht="16.5" hidden="false" customHeight="true" outlineLevel="0" collapsed="false">
      <c r="B10" s="11" t="s">
        <v>16</v>
      </c>
      <c r="C10" s="12" t="n">
        <v>475</v>
      </c>
      <c r="D10" s="13" t="n">
        <v>21</v>
      </c>
      <c r="E10" s="14" t="n">
        <v>8</v>
      </c>
      <c r="F10" s="12" t="n">
        <v>198</v>
      </c>
      <c r="G10" s="13" t="n">
        <v>23</v>
      </c>
      <c r="H10" s="14" t="n">
        <v>10</v>
      </c>
      <c r="I10" s="12" t="n">
        <v>139</v>
      </c>
      <c r="J10" s="13" t="n">
        <v>8</v>
      </c>
      <c r="K10" s="14" t="n">
        <v>7</v>
      </c>
      <c r="L10" s="12" t="n">
        <f aca="false">C10+F10+I10</f>
        <v>812</v>
      </c>
      <c r="M10" s="13" t="n">
        <f aca="false">D10+G10+J10</f>
        <v>52</v>
      </c>
      <c r="N10" s="14" t="n">
        <f aca="false">E10+H10+K10</f>
        <v>25</v>
      </c>
      <c r="O10" s="12" t="n">
        <v>228</v>
      </c>
      <c r="P10" s="13" t="n">
        <v>29</v>
      </c>
      <c r="Q10" s="14" t="n">
        <v>9</v>
      </c>
      <c r="R10" s="12" t="n">
        <v>204</v>
      </c>
      <c r="S10" s="13" t="n">
        <v>24</v>
      </c>
      <c r="T10" s="14" t="n">
        <v>11</v>
      </c>
      <c r="U10" s="12" t="n">
        <v>113</v>
      </c>
      <c r="V10" s="13" t="n">
        <v>12</v>
      </c>
      <c r="W10" s="14" t="n">
        <v>6</v>
      </c>
      <c r="X10" s="12" t="n">
        <f aca="false">O10+R10+U10</f>
        <v>545</v>
      </c>
      <c r="Y10" s="13" t="n">
        <f aca="false">P10+S10+V10</f>
        <v>65</v>
      </c>
      <c r="Z10" s="14" t="n">
        <f aca="false">Q10+T10+W10</f>
        <v>26</v>
      </c>
    </row>
    <row r="11" customFormat="false" ht="16.5" hidden="false" customHeight="true" outlineLevel="0" collapsed="false">
      <c r="B11" s="11" t="s">
        <v>17</v>
      </c>
      <c r="C11" s="12" t="n">
        <v>1120</v>
      </c>
      <c r="D11" s="13" t="n">
        <v>152</v>
      </c>
      <c r="E11" s="14" t="n">
        <v>61</v>
      </c>
      <c r="F11" s="12" t="n">
        <v>778</v>
      </c>
      <c r="G11" s="13" t="n">
        <v>76</v>
      </c>
      <c r="H11" s="14" t="n">
        <v>16</v>
      </c>
      <c r="I11" s="12" t="n">
        <v>843</v>
      </c>
      <c r="J11" s="13" t="n">
        <v>118</v>
      </c>
      <c r="K11" s="14" t="n">
        <v>35</v>
      </c>
      <c r="L11" s="12" t="n">
        <f aca="false">C11+F11+I11</f>
        <v>2741</v>
      </c>
      <c r="M11" s="13" t="n">
        <f aca="false">D11+G11+J11</f>
        <v>346</v>
      </c>
      <c r="N11" s="14" t="n">
        <f aca="false">E11+H11+K11</f>
        <v>112</v>
      </c>
      <c r="O11" s="12" t="n">
        <v>770</v>
      </c>
      <c r="P11" s="13" t="n">
        <v>79</v>
      </c>
      <c r="Q11" s="14" t="n">
        <v>23</v>
      </c>
      <c r="R11" s="12" t="n">
        <v>535</v>
      </c>
      <c r="S11" s="13" t="n">
        <v>70</v>
      </c>
      <c r="T11" s="14" t="n">
        <v>14</v>
      </c>
      <c r="U11" s="12" t="n">
        <v>943</v>
      </c>
      <c r="V11" s="13" t="n">
        <v>100</v>
      </c>
      <c r="W11" s="14" t="n">
        <v>21</v>
      </c>
      <c r="X11" s="12" t="n">
        <f aca="false">O11+R11+U11</f>
        <v>2248</v>
      </c>
      <c r="Y11" s="13" t="n">
        <f aca="false">P11+S11+V11</f>
        <v>249</v>
      </c>
      <c r="Z11" s="14" t="n">
        <f aca="false">Q11+T11+W11</f>
        <v>58</v>
      </c>
    </row>
    <row r="12" customFormat="false" ht="16.5" hidden="false" customHeight="true" outlineLevel="0" collapsed="false">
      <c r="B12" s="11" t="s">
        <v>18</v>
      </c>
      <c r="C12" s="12" t="n">
        <v>48</v>
      </c>
      <c r="D12" s="13" t="n">
        <v>22</v>
      </c>
      <c r="E12" s="14" t="n">
        <v>0</v>
      </c>
      <c r="F12" s="12" t="n">
        <v>70</v>
      </c>
      <c r="G12" s="13" t="n">
        <v>23</v>
      </c>
      <c r="H12" s="14" t="n">
        <v>0</v>
      </c>
      <c r="I12" s="12" t="n">
        <v>231</v>
      </c>
      <c r="J12" s="13" t="n">
        <v>11</v>
      </c>
      <c r="K12" s="14" t="n">
        <v>8</v>
      </c>
      <c r="L12" s="12" t="n">
        <f aca="false">C12+F12+I12</f>
        <v>349</v>
      </c>
      <c r="M12" s="13" t="n">
        <f aca="false">D12+G12+J12</f>
        <v>56</v>
      </c>
      <c r="N12" s="14" t="n">
        <f aca="false">E12+H12+K12</f>
        <v>8</v>
      </c>
      <c r="O12" s="12" t="n">
        <v>257</v>
      </c>
      <c r="P12" s="13" t="n">
        <v>1</v>
      </c>
      <c r="Q12" s="14" t="n">
        <v>0</v>
      </c>
      <c r="R12" s="12" t="n">
        <v>311</v>
      </c>
      <c r="S12" s="13" t="n">
        <v>4</v>
      </c>
      <c r="T12" s="14" t="n">
        <v>1</v>
      </c>
      <c r="U12" s="12" t="n">
        <v>55</v>
      </c>
      <c r="V12" s="13" t="n">
        <v>22</v>
      </c>
      <c r="W12" s="14" t="n">
        <v>10</v>
      </c>
      <c r="X12" s="12" t="n">
        <f aca="false">O12+R12+U12</f>
        <v>623</v>
      </c>
      <c r="Y12" s="13" t="n">
        <f aca="false">P12+S12+V12</f>
        <v>27</v>
      </c>
      <c r="Z12" s="14" t="n">
        <f aca="false">Q12+T12+W12</f>
        <v>11</v>
      </c>
    </row>
    <row r="13" customFormat="false" ht="16.5" hidden="false" customHeight="true" outlineLevel="0" collapsed="false">
      <c r="B13" s="11" t="s">
        <v>19</v>
      </c>
      <c r="C13" s="12" t="n">
        <v>114</v>
      </c>
      <c r="D13" s="13" t="n">
        <v>8</v>
      </c>
      <c r="E13" s="14" t="n">
        <v>1</v>
      </c>
      <c r="F13" s="12" t="n">
        <v>106</v>
      </c>
      <c r="G13" s="13" t="n">
        <v>11</v>
      </c>
      <c r="H13" s="14" t="n">
        <v>1</v>
      </c>
      <c r="I13" s="12" t="n">
        <v>148</v>
      </c>
      <c r="J13" s="13" t="n">
        <v>23</v>
      </c>
      <c r="K13" s="14" t="n">
        <v>0</v>
      </c>
      <c r="L13" s="12" t="n">
        <f aca="false">C13+F13+I13</f>
        <v>368</v>
      </c>
      <c r="M13" s="13" t="n">
        <f aca="false">D13+G13+J13</f>
        <v>42</v>
      </c>
      <c r="N13" s="14" t="n">
        <f aca="false">E13+H13+K13</f>
        <v>2</v>
      </c>
      <c r="O13" s="12" t="n">
        <v>941</v>
      </c>
      <c r="P13" s="13" t="n">
        <v>6</v>
      </c>
      <c r="Q13" s="14" t="n">
        <v>0</v>
      </c>
      <c r="R13" s="12" t="n">
        <v>122</v>
      </c>
      <c r="S13" s="13" t="n">
        <v>29</v>
      </c>
      <c r="T13" s="14" t="n">
        <v>4</v>
      </c>
      <c r="U13" s="12" t="n">
        <v>122</v>
      </c>
      <c r="V13" s="13" t="n">
        <v>42</v>
      </c>
      <c r="W13" s="14" t="n">
        <v>4</v>
      </c>
      <c r="X13" s="12" t="n">
        <f aca="false">O13+R13+U13</f>
        <v>1185</v>
      </c>
      <c r="Y13" s="13" t="n">
        <f aca="false">P13+S13+V13</f>
        <v>77</v>
      </c>
      <c r="Z13" s="14" t="n">
        <f aca="false">Q13+T13+W13</f>
        <v>8</v>
      </c>
    </row>
    <row r="14" customFormat="false" ht="16.5" hidden="false" customHeight="true" outlineLevel="0" collapsed="false">
      <c r="B14" s="11" t="s">
        <v>20</v>
      </c>
      <c r="C14" s="12" t="n">
        <v>0</v>
      </c>
      <c r="D14" s="13" t="n">
        <v>1</v>
      </c>
      <c r="E14" s="14" t="n">
        <v>5</v>
      </c>
      <c r="F14" s="12" t="n">
        <v>1493</v>
      </c>
      <c r="G14" s="13" t="n">
        <v>0</v>
      </c>
      <c r="H14" s="14" t="n">
        <v>0</v>
      </c>
      <c r="I14" s="12" t="n">
        <v>15</v>
      </c>
      <c r="J14" s="13" t="n">
        <v>7</v>
      </c>
      <c r="K14" s="14" t="n">
        <v>2</v>
      </c>
      <c r="L14" s="12" t="n">
        <f aca="false">C14+F14+I14</f>
        <v>1508</v>
      </c>
      <c r="M14" s="13" t="n">
        <f aca="false">D14+G14+J14</f>
        <v>8</v>
      </c>
      <c r="N14" s="14" t="n">
        <f aca="false">E14+H14+K14</f>
        <v>7</v>
      </c>
      <c r="O14" s="12" t="n">
        <v>1082</v>
      </c>
      <c r="P14" s="13" t="n">
        <v>16</v>
      </c>
      <c r="Q14" s="14" t="n">
        <v>3</v>
      </c>
      <c r="R14" s="12" t="n">
        <v>980</v>
      </c>
      <c r="S14" s="13" t="n">
        <v>28</v>
      </c>
      <c r="T14" s="14" t="n">
        <v>5</v>
      </c>
      <c r="U14" s="12" t="n">
        <v>587</v>
      </c>
      <c r="V14" s="13" t="n">
        <v>33</v>
      </c>
      <c r="W14" s="14" t="n">
        <v>4</v>
      </c>
      <c r="X14" s="12" t="n">
        <f aca="false">O14+R14+U14</f>
        <v>2649</v>
      </c>
      <c r="Y14" s="13" t="n">
        <f aca="false">P14+S14+V14</f>
        <v>77</v>
      </c>
      <c r="Z14" s="14" t="n">
        <f aca="false">Q14+T14+W14</f>
        <v>12</v>
      </c>
    </row>
    <row r="15" customFormat="false" ht="16.5" hidden="false" customHeight="true" outlineLevel="0" collapsed="false">
      <c r="B15" s="11" t="s">
        <v>21</v>
      </c>
      <c r="C15" s="12" t="n">
        <v>138</v>
      </c>
      <c r="D15" s="13" t="n">
        <v>9</v>
      </c>
      <c r="E15" s="14" t="n">
        <v>2</v>
      </c>
      <c r="F15" s="12" t="n">
        <v>108</v>
      </c>
      <c r="G15" s="13" t="n">
        <v>1</v>
      </c>
      <c r="H15" s="14" t="n">
        <v>2</v>
      </c>
      <c r="I15" s="12" t="n">
        <v>121</v>
      </c>
      <c r="J15" s="13" t="n">
        <v>2</v>
      </c>
      <c r="K15" s="14" t="n">
        <v>0</v>
      </c>
      <c r="L15" s="12" t="n">
        <f aca="false">C15+F15+I15</f>
        <v>367</v>
      </c>
      <c r="M15" s="13" t="n">
        <f aca="false">D15+G15+J15</f>
        <v>12</v>
      </c>
      <c r="N15" s="14" t="n">
        <f aca="false">E15+H15+K15</f>
        <v>4</v>
      </c>
      <c r="O15" s="12" t="n">
        <v>1218</v>
      </c>
      <c r="P15" s="13" t="n">
        <v>3</v>
      </c>
      <c r="Q15" s="14" t="n">
        <v>8</v>
      </c>
      <c r="R15" s="12" t="n">
        <v>342</v>
      </c>
      <c r="S15" s="13" t="n">
        <v>4</v>
      </c>
      <c r="T15" s="14" t="n">
        <v>10</v>
      </c>
      <c r="U15" s="12" t="n">
        <v>13</v>
      </c>
      <c r="V15" s="13" t="n">
        <v>0</v>
      </c>
      <c r="W15" s="14" t="n">
        <v>2</v>
      </c>
      <c r="X15" s="12" t="n">
        <f aca="false">O15+R15+U15</f>
        <v>1573</v>
      </c>
      <c r="Y15" s="13" t="n">
        <f aca="false">P15+S15+V15</f>
        <v>7</v>
      </c>
      <c r="Z15" s="14" t="n">
        <f aca="false">Q15+T15+W15</f>
        <v>20</v>
      </c>
    </row>
    <row r="16" customFormat="false" ht="16.5" hidden="false" customHeight="true" outlineLevel="0" collapsed="false">
      <c r="B16" s="11" t="s">
        <v>22</v>
      </c>
      <c r="C16" s="12" t="n">
        <v>302</v>
      </c>
      <c r="D16" s="13" t="n">
        <v>38</v>
      </c>
      <c r="E16" s="14" t="n">
        <v>9</v>
      </c>
      <c r="F16" s="12" t="n">
        <v>273</v>
      </c>
      <c r="G16" s="13" t="n">
        <v>48</v>
      </c>
      <c r="H16" s="14" t="n">
        <v>9</v>
      </c>
      <c r="I16" s="12" t="n">
        <v>373</v>
      </c>
      <c r="J16" s="13" t="n">
        <v>32</v>
      </c>
      <c r="K16" s="14" t="n">
        <v>3</v>
      </c>
      <c r="L16" s="12" t="n">
        <f aca="false">C16+F16+I16</f>
        <v>948</v>
      </c>
      <c r="M16" s="13" t="n">
        <f aca="false">D16+G16+J16</f>
        <v>118</v>
      </c>
      <c r="N16" s="14" t="n">
        <f aca="false">E16+H16+K16</f>
        <v>21</v>
      </c>
      <c r="O16" s="12" t="n">
        <v>261</v>
      </c>
      <c r="P16" s="13" t="n">
        <v>19</v>
      </c>
      <c r="Q16" s="14" t="n">
        <v>3</v>
      </c>
      <c r="R16" s="12" t="n">
        <v>172</v>
      </c>
      <c r="S16" s="13" t="n">
        <v>27</v>
      </c>
      <c r="T16" s="14" t="n">
        <v>5</v>
      </c>
      <c r="U16" s="12" t="n">
        <v>157</v>
      </c>
      <c r="V16" s="13" t="n">
        <v>25</v>
      </c>
      <c r="W16" s="14" t="n">
        <v>4</v>
      </c>
      <c r="X16" s="12" t="n">
        <f aca="false">O16+R16+U16</f>
        <v>590</v>
      </c>
      <c r="Y16" s="13" t="n">
        <f aca="false">P16+S16+V16</f>
        <v>71</v>
      </c>
      <c r="Z16" s="14" t="n">
        <f aca="false">Q16+T16+W16</f>
        <v>12</v>
      </c>
    </row>
    <row r="17" customFormat="false" ht="16.5" hidden="false" customHeight="true" outlineLevel="0" collapsed="false">
      <c r="B17" s="11" t="s">
        <v>23</v>
      </c>
      <c r="C17" s="12" t="n">
        <v>66</v>
      </c>
      <c r="D17" s="13" t="n">
        <v>3</v>
      </c>
      <c r="E17" s="14" t="n">
        <v>2</v>
      </c>
      <c r="F17" s="12" t="n">
        <v>15</v>
      </c>
      <c r="G17" s="13" t="n">
        <v>4</v>
      </c>
      <c r="H17" s="14" t="n">
        <v>0</v>
      </c>
      <c r="I17" s="12" t="n">
        <v>22</v>
      </c>
      <c r="J17" s="13" t="n">
        <v>5</v>
      </c>
      <c r="K17" s="14" t="n">
        <v>0</v>
      </c>
      <c r="L17" s="12" t="n">
        <f aca="false">C17+F17+I17</f>
        <v>103</v>
      </c>
      <c r="M17" s="13" t="n">
        <f aca="false">D17+G17+J17</f>
        <v>12</v>
      </c>
      <c r="N17" s="14" t="n">
        <f aca="false">E17+H17+K17</f>
        <v>2</v>
      </c>
      <c r="O17" s="12" t="n">
        <v>25</v>
      </c>
      <c r="P17" s="13" t="n">
        <v>1</v>
      </c>
      <c r="Q17" s="14" t="n">
        <v>0</v>
      </c>
      <c r="R17" s="12" t="n">
        <v>22</v>
      </c>
      <c r="S17" s="13" t="n">
        <v>1</v>
      </c>
      <c r="T17" s="14" t="n">
        <v>1</v>
      </c>
      <c r="U17" s="12" t="n">
        <v>20</v>
      </c>
      <c r="V17" s="13" t="n">
        <v>5</v>
      </c>
      <c r="W17" s="14" t="n">
        <v>0</v>
      </c>
      <c r="X17" s="12" t="n">
        <f aca="false">O17+R17+U17</f>
        <v>67</v>
      </c>
      <c r="Y17" s="13" t="n">
        <f aca="false">P17+S17+V17</f>
        <v>7</v>
      </c>
      <c r="Z17" s="14" t="n">
        <f aca="false">Q17+T17+W17</f>
        <v>1</v>
      </c>
    </row>
    <row r="18" customFormat="false" ht="16.5" hidden="false" customHeight="true" outlineLevel="0" collapsed="false">
      <c r="B18" s="15" t="s">
        <v>24</v>
      </c>
      <c r="C18" s="8" t="n">
        <f aca="false">SUM(C6:C17)</f>
        <v>2511</v>
      </c>
      <c r="D18" s="9" t="n">
        <f aca="false">SUM(D6:D17)</f>
        <v>281</v>
      </c>
      <c r="E18" s="10" t="n">
        <f aca="false">SUM(E6:E17)</f>
        <v>96</v>
      </c>
      <c r="F18" s="8" t="n">
        <f aca="false">SUM(F6:F17)</f>
        <v>3490</v>
      </c>
      <c r="G18" s="9" t="n">
        <f aca="false">SUM(G6:G17)</f>
        <v>202</v>
      </c>
      <c r="H18" s="10" t="n">
        <f aca="false">SUM(H6:H17)</f>
        <v>47</v>
      </c>
      <c r="I18" s="8" t="n">
        <f aca="false">SUM(I6:I17)</f>
        <v>2160</v>
      </c>
      <c r="J18" s="9" t="n">
        <f aca="false">SUM(J6:J17)</f>
        <v>250</v>
      </c>
      <c r="K18" s="10" t="n">
        <f aca="false">SUM(K6:K17)</f>
        <v>59</v>
      </c>
      <c r="L18" s="8" t="n">
        <f aca="false">C18+F18+I18</f>
        <v>8161</v>
      </c>
      <c r="M18" s="9" t="n">
        <f aca="false">D18+G18+J18</f>
        <v>733</v>
      </c>
      <c r="N18" s="10" t="n">
        <f aca="false">E18+H18+K18</f>
        <v>202</v>
      </c>
      <c r="O18" s="8" t="n">
        <f aca="false">SUM(O6:O17)</f>
        <v>5414</v>
      </c>
      <c r="P18" s="9" t="n">
        <f aca="false">SUM(P6:P17)</f>
        <v>196</v>
      </c>
      <c r="Q18" s="10" t="n">
        <f aca="false">SUM(Q6:Q17)</f>
        <v>61</v>
      </c>
      <c r="R18" s="8" t="n">
        <f aca="false">SUM(R6:R17)</f>
        <v>3421</v>
      </c>
      <c r="S18" s="9" t="n">
        <f aca="false">SUM(S6:S17)</f>
        <v>211</v>
      </c>
      <c r="T18" s="10" t="n">
        <f aca="false">SUM(T6:T17)</f>
        <v>67</v>
      </c>
      <c r="U18" s="8" t="n">
        <f aca="false">SUM(U6:U17)</f>
        <v>3440</v>
      </c>
      <c r="V18" s="9" t="n">
        <f aca="false">SUM(V6:V17)</f>
        <v>368</v>
      </c>
      <c r="W18" s="10" t="n">
        <f aca="false">SUM(W6:W17)</f>
        <v>65</v>
      </c>
      <c r="X18" s="8" t="n">
        <f aca="false">O18+R18+U18</f>
        <v>12275</v>
      </c>
      <c r="Y18" s="9" t="n">
        <f aca="false">P18+S18+V18</f>
        <v>775</v>
      </c>
      <c r="Z18" s="10" t="n">
        <f aca="false">Q18+T18+W18</f>
        <v>193</v>
      </c>
    </row>
    <row r="21" customFormat="false" ht="15.75" hidden="false" customHeight="true" outlineLevel="0" collapsed="false">
      <c r="B21" s="16" t="s">
        <v>25</v>
      </c>
    </row>
    <row r="22" customFormat="false" ht="15.75" hidden="false" customHeight="true" outlineLevel="0" collapsed="false"/>
    <row r="23" customFormat="false" ht="15.75" hidden="false" customHeight="true" outlineLevel="0" collapsed="false">
      <c r="B23" s="3" t="s">
        <v>0</v>
      </c>
      <c r="C23" s="4" t="s">
        <v>4</v>
      </c>
      <c r="D23" s="4"/>
      <c r="E23" s="4"/>
      <c r="F23" s="6" t="s">
        <v>8</v>
      </c>
      <c r="G23" s="6"/>
      <c r="H23" s="6"/>
    </row>
    <row r="24" customFormat="false" ht="15.75" hidden="false" customHeight="true" outlineLevel="0" collapsed="false">
      <c r="B24" s="3"/>
      <c r="C24" s="8" t="s">
        <v>9</v>
      </c>
      <c r="D24" s="9" t="s">
        <v>10</v>
      </c>
      <c r="E24" s="10" t="s">
        <v>11</v>
      </c>
      <c r="F24" s="17" t="s">
        <v>9</v>
      </c>
      <c r="G24" s="9" t="s">
        <v>10</v>
      </c>
      <c r="H24" s="10" t="s">
        <v>11</v>
      </c>
    </row>
    <row r="25" customFormat="false" ht="15.75" hidden="false" customHeight="true" outlineLevel="0" collapsed="false">
      <c r="B25" s="11" t="s">
        <v>12</v>
      </c>
      <c r="C25" s="18" t="n">
        <v>119</v>
      </c>
      <c r="D25" s="19" t="n">
        <v>1</v>
      </c>
      <c r="E25" s="20" t="n">
        <v>1</v>
      </c>
      <c r="F25" s="18" t="n">
        <v>998</v>
      </c>
      <c r="G25" s="19" t="n">
        <v>40</v>
      </c>
      <c r="H25" s="20" t="n">
        <v>19</v>
      </c>
    </row>
    <row r="26" customFormat="false" ht="15.75" hidden="false" customHeight="true" outlineLevel="0" collapsed="false">
      <c r="B26" s="11" t="s">
        <v>13</v>
      </c>
      <c r="C26" s="18" t="n">
        <v>476</v>
      </c>
      <c r="D26" s="19" t="n">
        <v>78</v>
      </c>
      <c r="E26" s="20" t="n">
        <v>16</v>
      </c>
      <c r="F26" s="18" t="n">
        <v>464</v>
      </c>
      <c r="G26" s="19" t="n">
        <v>125</v>
      </c>
      <c r="H26" s="20" t="n">
        <v>18</v>
      </c>
    </row>
    <row r="27" customFormat="false" ht="15.75" hidden="false" customHeight="true" outlineLevel="0" collapsed="false">
      <c r="B27" s="11" t="s">
        <v>14</v>
      </c>
      <c r="C27" s="18" t="n">
        <v>298</v>
      </c>
      <c r="D27" s="19" t="n">
        <v>6</v>
      </c>
      <c r="E27" s="20" t="n">
        <v>1</v>
      </c>
      <c r="F27" s="18" t="n">
        <v>336</v>
      </c>
      <c r="G27" s="19" t="n">
        <v>9</v>
      </c>
      <c r="H27" s="20" t="n">
        <v>2</v>
      </c>
    </row>
    <row r="28" customFormat="false" ht="15.75" hidden="false" customHeight="true" outlineLevel="0" collapsed="false">
      <c r="B28" s="11" t="s">
        <v>15</v>
      </c>
      <c r="C28" s="18" t="n">
        <v>72</v>
      </c>
      <c r="D28" s="19" t="n">
        <v>2</v>
      </c>
      <c r="E28" s="20" t="n">
        <v>3</v>
      </c>
      <c r="F28" s="18" t="n">
        <v>997</v>
      </c>
      <c r="G28" s="19" t="n">
        <v>21</v>
      </c>
      <c r="H28" s="20" t="n">
        <v>6</v>
      </c>
    </row>
    <row r="29" customFormat="false" ht="15.75" hidden="false" customHeight="true" outlineLevel="0" collapsed="false">
      <c r="B29" s="11" t="s">
        <v>16</v>
      </c>
      <c r="C29" s="18" t="n">
        <v>812</v>
      </c>
      <c r="D29" s="19" t="n">
        <v>52</v>
      </c>
      <c r="E29" s="20" t="n">
        <v>25</v>
      </c>
      <c r="F29" s="18" t="n">
        <v>545</v>
      </c>
      <c r="G29" s="19" t="n">
        <v>65</v>
      </c>
      <c r="H29" s="20" t="n">
        <v>26</v>
      </c>
    </row>
    <row r="30" customFormat="false" ht="15.75" hidden="false" customHeight="true" outlineLevel="0" collapsed="false">
      <c r="B30" s="11" t="s">
        <v>17</v>
      </c>
      <c r="C30" s="18" t="n">
        <v>2741</v>
      </c>
      <c r="D30" s="19" t="n">
        <v>346</v>
      </c>
      <c r="E30" s="20" t="n">
        <v>112</v>
      </c>
      <c r="F30" s="18" t="n">
        <v>2248</v>
      </c>
      <c r="G30" s="19" t="n">
        <v>249</v>
      </c>
      <c r="H30" s="20" t="n">
        <v>58</v>
      </c>
    </row>
    <row r="31" customFormat="false" ht="15.75" hidden="false" customHeight="true" outlineLevel="0" collapsed="false">
      <c r="B31" s="11" t="s">
        <v>18</v>
      </c>
      <c r="C31" s="18" t="n">
        <v>349</v>
      </c>
      <c r="D31" s="19" t="n">
        <v>56</v>
      </c>
      <c r="E31" s="20" t="n">
        <v>8</v>
      </c>
      <c r="F31" s="18" t="n">
        <v>623</v>
      </c>
      <c r="G31" s="19" t="n">
        <v>27</v>
      </c>
      <c r="H31" s="20" t="n">
        <v>11</v>
      </c>
    </row>
    <row r="32" customFormat="false" ht="15.75" hidden="false" customHeight="true" outlineLevel="0" collapsed="false">
      <c r="B32" s="11" t="s">
        <v>19</v>
      </c>
      <c r="C32" s="18" t="n">
        <v>368</v>
      </c>
      <c r="D32" s="19" t="n">
        <v>42</v>
      </c>
      <c r="E32" s="20" t="n">
        <v>2</v>
      </c>
      <c r="F32" s="18" t="n">
        <v>1185</v>
      </c>
      <c r="G32" s="19" t="n">
        <v>77</v>
      </c>
      <c r="H32" s="20" t="n">
        <v>8</v>
      </c>
    </row>
    <row r="33" customFormat="false" ht="15.75" hidden="false" customHeight="true" outlineLevel="0" collapsed="false">
      <c r="B33" s="11" t="s">
        <v>20</v>
      </c>
      <c r="C33" s="18" t="n">
        <v>1508</v>
      </c>
      <c r="D33" s="19" t="n">
        <v>8</v>
      </c>
      <c r="E33" s="20" t="n">
        <v>7</v>
      </c>
      <c r="F33" s="18" t="n">
        <v>2649</v>
      </c>
      <c r="G33" s="19" t="n">
        <v>77</v>
      </c>
      <c r="H33" s="20" t="n">
        <v>12</v>
      </c>
    </row>
    <row r="34" customFormat="false" ht="15.75" hidden="false" customHeight="true" outlineLevel="0" collapsed="false">
      <c r="B34" s="11" t="s">
        <v>21</v>
      </c>
      <c r="C34" s="18" t="n">
        <v>367</v>
      </c>
      <c r="D34" s="19" t="n">
        <v>12</v>
      </c>
      <c r="E34" s="20" t="n">
        <v>4</v>
      </c>
      <c r="F34" s="18" t="n">
        <v>1573</v>
      </c>
      <c r="G34" s="19" t="n">
        <v>7</v>
      </c>
      <c r="H34" s="20" t="n">
        <v>20</v>
      </c>
    </row>
    <row r="35" customFormat="false" ht="15.75" hidden="false" customHeight="true" outlineLevel="0" collapsed="false">
      <c r="B35" s="11" t="s">
        <v>22</v>
      </c>
      <c r="C35" s="18" t="n">
        <v>948</v>
      </c>
      <c r="D35" s="19" t="n">
        <v>118</v>
      </c>
      <c r="E35" s="20" t="n">
        <v>21</v>
      </c>
      <c r="F35" s="18" t="n">
        <v>590</v>
      </c>
      <c r="G35" s="19" t="n">
        <v>71</v>
      </c>
      <c r="H35" s="20" t="n">
        <v>12</v>
      </c>
    </row>
    <row r="36" customFormat="false" ht="15.75" hidden="false" customHeight="true" outlineLevel="0" collapsed="false">
      <c r="B36" s="11" t="s">
        <v>23</v>
      </c>
      <c r="C36" s="18" t="n">
        <v>103</v>
      </c>
      <c r="D36" s="19" t="n">
        <v>12</v>
      </c>
      <c r="E36" s="20" t="n">
        <v>2</v>
      </c>
      <c r="F36" s="18" t="n">
        <v>67</v>
      </c>
      <c r="G36" s="19" t="n">
        <v>7</v>
      </c>
      <c r="H36" s="20" t="n">
        <v>1</v>
      </c>
    </row>
    <row r="37" customFormat="false" ht="15.75" hidden="false" customHeight="true" outlineLevel="0" collapsed="false">
      <c r="B37" s="15" t="s">
        <v>24</v>
      </c>
      <c r="C37" s="21" t="n">
        <f aca="false">SUM(C25:C36)</f>
        <v>8161</v>
      </c>
      <c r="D37" s="22" t="n">
        <f aca="false">SUM(D25:D36)</f>
        <v>733</v>
      </c>
      <c r="E37" s="23" t="n">
        <f aca="false">SUM(E25:E36)</f>
        <v>202</v>
      </c>
      <c r="F37" s="21" t="n">
        <f aca="false">SUM(F25:F36)</f>
        <v>12275</v>
      </c>
      <c r="G37" s="22" t="n">
        <f aca="false">SUM(G25:G36)</f>
        <v>775</v>
      </c>
      <c r="H37" s="23" t="n">
        <f aca="false">SUM(H25:H36)</f>
        <v>193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>
      <c r="B41" s="1" t="s">
        <v>26</v>
      </c>
      <c r="C41" s="1" t="s">
        <v>27</v>
      </c>
    </row>
    <row r="42" customFormat="false" ht="15.75" hidden="false" customHeight="true" outlineLevel="0" collapsed="false">
      <c r="B42" s="1" t="s">
        <v>28</v>
      </c>
      <c r="C42" s="1" t="s">
        <v>29</v>
      </c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>
      <c r="B45" s="24" t="s">
        <v>30</v>
      </c>
      <c r="C45" s="24"/>
      <c r="D45" s="24"/>
    </row>
    <row r="46" customFormat="false" ht="15.75" hidden="false" customHeight="true" outlineLevel="0" collapsed="false">
      <c r="B46" s="16"/>
      <c r="C46" s="24"/>
      <c r="D46" s="24"/>
    </row>
    <row r="47" customFormat="false" ht="15.75" hidden="false" customHeight="true" outlineLevel="0" collapsed="false">
      <c r="B47" s="16" t="s">
        <v>9</v>
      </c>
      <c r="C47" s="24" t="s">
        <v>31</v>
      </c>
      <c r="D47" s="24"/>
    </row>
    <row r="48" customFormat="false" ht="15.75" hidden="false" customHeight="true" outlineLevel="0" collapsed="false">
      <c r="B48" s="25" t="s">
        <v>10</v>
      </c>
      <c r="C48" s="24" t="s">
        <v>32</v>
      </c>
      <c r="D48" s="24"/>
    </row>
    <row r="49" customFormat="false" ht="15.75" hidden="false" customHeight="true" outlineLevel="0" collapsed="false">
      <c r="B49" s="25"/>
      <c r="C49" s="24" t="s">
        <v>33</v>
      </c>
      <c r="D49" s="24"/>
    </row>
    <row r="50" customFormat="false" ht="15.75" hidden="false" customHeight="true" outlineLevel="0" collapsed="false">
      <c r="B50" s="25" t="s">
        <v>11</v>
      </c>
      <c r="C50" s="24" t="s">
        <v>34</v>
      </c>
      <c r="D50" s="24"/>
    </row>
    <row r="51" customFormat="false" ht="15.75" hidden="false" customHeight="true" outlineLevel="0" collapsed="false">
      <c r="B51" s="25"/>
      <c r="C51" s="24" t="s">
        <v>35</v>
      </c>
      <c r="D51" s="24"/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2:Z2"/>
    <mergeCell ref="B4:B5"/>
    <mergeCell ref="C4:E4"/>
    <mergeCell ref="F4:H4"/>
    <mergeCell ref="I4:K4"/>
    <mergeCell ref="L4:N4"/>
    <mergeCell ref="O4:Q4"/>
    <mergeCell ref="R4:T4"/>
    <mergeCell ref="U4:W4"/>
    <mergeCell ref="X4:Z4"/>
    <mergeCell ref="B23:B24"/>
    <mergeCell ref="C23:E23"/>
    <mergeCell ref="F23:H23"/>
    <mergeCell ref="B48:B49"/>
    <mergeCell ref="B50:B5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4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994"/>
  <sheetViews>
    <sheetView showFormulas="false" showGridLines="true" showRowColHeaders="true" showZeros="true" rightToLeft="false" tabSelected="false" showOutlineSymbols="true" defaultGridColor="true" view="normal" topLeftCell="A36" colorId="64" zoomScale="66" zoomScaleNormal="66" zoomScalePageLayoutView="100" workbookViewId="0">
      <selection pane="topLeft" activeCell="B1" activeCellId="0" sqref="B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7.82"/>
    <col collapsed="false" customWidth="true" hidden="false" outlineLevel="0" max="3" min="3" style="1" width="19.09"/>
    <col collapsed="false" customWidth="false" hidden="false" outlineLevel="0" max="4" min="4" style="1" width="14.45"/>
    <col collapsed="false" customWidth="true" hidden="false" outlineLevel="0" max="5" min="5" style="1" width="17.82"/>
    <col collapsed="false" customWidth="false" hidden="false" outlineLevel="0" max="6" min="6" style="1" width="14.45"/>
    <col collapsed="false" customWidth="true" hidden="false" outlineLevel="0" max="7" min="7" style="1" width="16.54"/>
    <col collapsed="false" customWidth="false" hidden="false" outlineLevel="0" max="11" min="8" style="1" width="14.45"/>
    <col collapsed="false" customWidth="true" hidden="false" outlineLevel="0" max="12" min="12" style="1" width="17.82"/>
    <col collapsed="false" customWidth="false" hidden="false" outlineLevel="0" max="13" min="13" style="1" width="14.45"/>
    <col collapsed="false" customWidth="true" hidden="false" outlineLevel="0" max="14" min="14" style="1" width="16.54"/>
    <col collapsed="false" customWidth="false" hidden="false" outlineLevel="0" max="17" min="15" style="1" width="14.45"/>
    <col collapsed="false" customWidth="true" hidden="false" outlineLevel="0" max="29" min="18" style="1" width="8.73"/>
  </cols>
  <sheetData>
    <row r="1" customFormat="false" ht="15" hidden="false" customHeight="true" outlineLevel="0" collapsed="false">
      <c r="B1" s="26" t="s">
        <v>36</v>
      </c>
      <c r="C1" s="26"/>
      <c r="D1" s="26"/>
      <c r="E1" s="26"/>
      <c r="F1" s="26"/>
      <c r="G1" s="26"/>
      <c r="H1" s="26"/>
      <c r="I1" s="26"/>
      <c r="J1" s="26"/>
    </row>
    <row r="2" customFormat="false" ht="18" hidden="false" customHeight="true" outlineLevel="0" collapsed="false">
      <c r="B2" s="26"/>
      <c r="C2" s="26"/>
      <c r="D2" s="26"/>
      <c r="E2" s="26"/>
      <c r="F2" s="26"/>
      <c r="G2" s="26"/>
      <c r="H2" s="26"/>
      <c r="I2" s="26"/>
      <c r="J2" s="26"/>
    </row>
    <row r="3" customFormat="false" ht="18" hidden="false" customHeight="true" outlineLevel="0" collapsed="false">
      <c r="B3" s="26" t="s">
        <v>37</v>
      </c>
      <c r="C3" s="26"/>
      <c r="D3" s="26"/>
      <c r="E3" s="26"/>
      <c r="F3" s="26"/>
      <c r="G3" s="26"/>
      <c r="H3" s="26"/>
      <c r="I3" s="26"/>
      <c r="J3" s="26"/>
    </row>
    <row r="5" customFormat="false" ht="15" hidden="false" customHeight="true" outlineLevel="0" collapsed="false">
      <c r="B5" s="27" t="s">
        <v>38</v>
      </c>
      <c r="C5" s="27" t="s">
        <v>39</v>
      </c>
      <c r="D5" s="28" t="s">
        <v>40</v>
      </c>
      <c r="E5" s="28"/>
      <c r="F5" s="28"/>
      <c r="G5" s="28"/>
      <c r="H5" s="28"/>
      <c r="I5" s="28"/>
      <c r="J5" s="28"/>
    </row>
    <row r="6" customFormat="false" ht="55.5" hidden="false" customHeight="true" outlineLevel="0" collapsed="false">
      <c r="B6" s="27"/>
      <c r="C6" s="27"/>
      <c r="D6" s="29" t="s">
        <v>41</v>
      </c>
      <c r="E6" s="30" t="s">
        <v>42</v>
      </c>
      <c r="F6" s="30" t="s">
        <v>43</v>
      </c>
      <c r="G6" s="30" t="s">
        <v>44</v>
      </c>
      <c r="H6" s="30" t="s">
        <v>43</v>
      </c>
      <c r="I6" s="31" t="s">
        <v>45</v>
      </c>
      <c r="J6" s="30" t="s">
        <v>46</v>
      </c>
    </row>
    <row r="7" customFormat="false" ht="15" hidden="false" customHeight="true" outlineLevel="0" collapsed="false">
      <c r="B7" s="32" t="n">
        <v>1</v>
      </c>
      <c r="C7" s="32" t="s">
        <v>47</v>
      </c>
      <c r="D7" s="33" t="n">
        <v>8998</v>
      </c>
      <c r="E7" s="33" t="n">
        <v>119</v>
      </c>
      <c r="F7" s="34" t="n">
        <f aca="false">E7/D7*100</f>
        <v>1.32251611469215</v>
      </c>
      <c r="G7" s="33" t="n">
        <v>998</v>
      </c>
      <c r="H7" s="34" t="n">
        <f aca="false">G7/D7*100</f>
        <v>11.0913536341409</v>
      </c>
      <c r="I7" s="35" t="n">
        <f aca="false">E7+G7</f>
        <v>1117</v>
      </c>
      <c r="J7" s="34" t="n">
        <f aca="false">I7/D7*100</f>
        <v>12.4138697488331</v>
      </c>
    </row>
    <row r="8" customFormat="false" ht="15" hidden="false" customHeight="true" outlineLevel="0" collapsed="false">
      <c r="B8" s="32" t="n">
        <v>2</v>
      </c>
      <c r="C8" s="32" t="s">
        <v>48</v>
      </c>
      <c r="D8" s="33" t="n">
        <v>3234</v>
      </c>
      <c r="E8" s="33" t="n">
        <v>476</v>
      </c>
      <c r="F8" s="34" t="n">
        <f aca="false">E8/D8*100</f>
        <v>14.7186147186147</v>
      </c>
      <c r="G8" s="33" t="n">
        <v>464</v>
      </c>
      <c r="H8" s="34" t="n">
        <f aca="false">G8/D8*100</f>
        <v>14.3475572047001</v>
      </c>
      <c r="I8" s="35" t="n">
        <f aca="false">E8+G8</f>
        <v>940</v>
      </c>
      <c r="J8" s="34" t="n">
        <f aca="false">I8/D8*100</f>
        <v>29.0661719233148</v>
      </c>
    </row>
    <row r="9" customFormat="false" ht="15" hidden="false" customHeight="true" outlineLevel="0" collapsed="false">
      <c r="B9" s="32" t="n">
        <v>3</v>
      </c>
      <c r="C9" s="32" t="s">
        <v>49</v>
      </c>
      <c r="D9" s="33" t="n">
        <v>5429</v>
      </c>
      <c r="E9" s="33" t="n">
        <v>298</v>
      </c>
      <c r="F9" s="34" t="n">
        <f aca="false">E9/D9*100</f>
        <v>5.48904033892061</v>
      </c>
      <c r="G9" s="33" t="n">
        <v>336</v>
      </c>
      <c r="H9" s="34" t="n">
        <f aca="false">G9/D9*100</f>
        <v>6.18898508012525</v>
      </c>
      <c r="I9" s="35" t="n">
        <f aca="false">E9+G9</f>
        <v>634</v>
      </c>
      <c r="J9" s="34" t="n">
        <f aca="false">I9/D9*100</f>
        <v>11.6780254190459</v>
      </c>
    </row>
    <row r="10" customFormat="false" ht="15" hidden="false" customHeight="true" outlineLevel="0" collapsed="false">
      <c r="B10" s="32" t="n">
        <v>4</v>
      </c>
      <c r="C10" s="32" t="s">
        <v>50</v>
      </c>
      <c r="D10" s="33" t="n">
        <v>3480</v>
      </c>
      <c r="E10" s="33" t="n">
        <v>72</v>
      </c>
      <c r="F10" s="34" t="n">
        <f aca="false">E10/D10*100</f>
        <v>2.06896551724138</v>
      </c>
      <c r="G10" s="33" t="n">
        <v>997</v>
      </c>
      <c r="H10" s="34" t="n">
        <f aca="false">G10/D10*100</f>
        <v>28.6494252873563</v>
      </c>
      <c r="I10" s="35" t="n">
        <f aca="false">E10+G10</f>
        <v>1069</v>
      </c>
      <c r="J10" s="34" t="n">
        <f aca="false">I10/D10*100</f>
        <v>30.7183908045977</v>
      </c>
    </row>
    <row r="11" customFormat="false" ht="15" hidden="false" customHeight="true" outlineLevel="0" collapsed="false">
      <c r="B11" s="32" t="n">
        <v>5</v>
      </c>
      <c r="C11" s="32" t="s">
        <v>51</v>
      </c>
      <c r="D11" s="33" t="n">
        <v>5856</v>
      </c>
      <c r="E11" s="33" t="n">
        <v>812</v>
      </c>
      <c r="F11" s="34" t="n">
        <f aca="false">E11/D11*100</f>
        <v>13.8661202185792</v>
      </c>
      <c r="G11" s="33" t="n">
        <v>545</v>
      </c>
      <c r="H11" s="34" t="n">
        <f aca="false">G11/D11*100</f>
        <v>9.30669398907104</v>
      </c>
      <c r="I11" s="35" t="n">
        <f aca="false">E11+G11</f>
        <v>1357</v>
      </c>
      <c r="J11" s="34" t="n">
        <f aca="false">I11/D11*100</f>
        <v>23.1728142076503</v>
      </c>
    </row>
    <row r="12" customFormat="false" ht="15" hidden="false" customHeight="true" outlineLevel="0" collapsed="false">
      <c r="B12" s="32" t="n">
        <v>6</v>
      </c>
      <c r="C12" s="32" t="s">
        <v>52</v>
      </c>
      <c r="D12" s="33" t="n">
        <v>19105</v>
      </c>
      <c r="E12" s="33" t="n">
        <v>2741</v>
      </c>
      <c r="F12" s="34" t="n">
        <f aca="false">E12/D12*100</f>
        <v>14.3470295734101</v>
      </c>
      <c r="G12" s="33" t="n">
        <v>2248</v>
      </c>
      <c r="H12" s="34" t="n">
        <f aca="false">G12/D12*100</f>
        <v>11.7665532583093</v>
      </c>
      <c r="I12" s="35" t="n">
        <f aca="false">E12+G12</f>
        <v>4989</v>
      </c>
      <c r="J12" s="34" t="n">
        <f aca="false">I12/D12*100</f>
        <v>26.1135828317194</v>
      </c>
    </row>
    <row r="13" customFormat="false" ht="15" hidden="false" customHeight="true" outlineLevel="0" collapsed="false">
      <c r="B13" s="32" t="n">
        <v>7</v>
      </c>
      <c r="C13" s="32" t="s">
        <v>53</v>
      </c>
      <c r="D13" s="33" t="n">
        <v>3923</v>
      </c>
      <c r="E13" s="33" t="n">
        <v>349</v>
      </c>
      <c r="F13" s="34" t="n">
        <f aca="false">E13/D13*100</f>
        <v>8.89625286770329</v>
      </c>
      <c r="G13" s="33" t="n">
        <v>623</v>
      </c>
      <c r="H13" s="34" t="n">
        <f aca="false">G13/D13*100</f>
        <v>15.8807035432067</v>
      </c>
      <c r="I13" s="35" t="n">
        <f aca="false">E13+G13</f>
        <v>972</v>
      </c>
      <c r="J13" s="34" t="n">
        <f aca="false">I13/D13*100</f>
        <v>24.77695641091</v>
      </c>
    </row>
    <row r="14" customFormat="false" ht="15" hidden="false" customHeight="true" outlineLevel="0" collapsed="false">
      <c r="B14" s="32" t="n">
        <v>8</v>
      </c>
      <c r="C14" s="32" t="s">
        <v>54</v>
      </c>
      <c r="D14" s="33" t="n">
        <v>10052</v>
      </c>
      <c r="E14" s="33" t="n">
        <v>368</v>
      </c>
      <c r="F14" s="34" t="n">
        <f aca="false">E14/D14*100</f>
        <v>3.66096299243932</v>
      </c>
      <c r="G14" s="33" t="n">
        <v>1185</v>
      </c>
      <c r="H14" s="34" t="n">
        <f aca="false">G14/D14*100</f>
        <v>11.7886987664146</v>
      </c>
      <c r="I14" s="35" t="n">
        <f aca="false">E14+G14</f>
        <v>1553</v>
      </c>
      <c r="J14" s="34" t="n">
        <f aca="false">I14/D14*100</f>
        <v>15.449661758854</v>
      </c>
    </row>
    <row r="15" customFormat="false" ht="15" hidden="false" customHeight="true" outlineLevel="0" collapsed="false">
      <c r="B15" s="32" t="n">
        <v>9</v>
      </c>
      <c r="C15" s="32" t="s">
        <v>55</v>
      </c>
      <c r="D15" s="33" t="n">
        <v>7502</v>
      </c>
      <c r="E15" s="33" t="n">
        <v>1508</v>
      </c>
      <c r="F15" s="34" t="n">
        <f aca="false">E15/D15*100</f>
        <v>20.1013063183151</v>
      </c>
      <c r="G15" s="33" t="n">
        <v>2649</v>
      </c>
      <c r="H15" s="34" t="n">
        <f aca="false">G15/D15*100</f>
        <v>35.3105838443082</v>
      </c>
      <c r="I15" s="35" t="n">
        <f aca="false">E15+G15</f>
        <v>4157</v>
      </c>
      <c r="J15" s="34" t="n">
        <f aca="false">I15/D15*100</f>
        <v>55.4118901626233</v>
      </c>
    </row>
    <row r="16" customFormat="false" ht="15" hidden="false" customHeight="true" outlineLevel="0" collapsed="false">
      <c r="B16" s="32" t="n">
        <v>10</v>
      </c>
      <c r="C16" s="32" t="s">
        <v>56</v>
      </c>
      <c r="D16" s="33" t="n">
        <v>16392</v>
      </c>
      <c r="E16" s="33" t="n">
        <v>367</v>
      </c>
      <c r="F16" s="34" t="n">
        <f aca="false">E16/D16*100</f>
        <v>2.23889702293802</v>
      </c>
      <c r="G16" s="33" t="n">
        <v>1573</v>
      </c>
      <c r="H16" s="34" t="n">
        <f aca="false">G16/D16*100</f>
        <v>9.59614446071254</v>
      </c>
      <c r="I16" s="35" t="n">
        <f aca="false">E16+G16</f>
        <v>1940</v>
      </c>
      <c r="J16" s="34" t="n">
        <f aca="false">I16/D16*100</f>
        <v>11.8350414836506</v>
      </c>
    </row>
    <row r="17" customFormat="false" ht="15" hidden="false" customHeight="true" outlineLevel="0" collapsed="false">
      <c r="B17" s="32" t="n">
        <v>11</v>
      </c>
      <c r="C17" s="32" t="s">
        <v>57</v>
      </c>
      <c r="D17" s="33" t="n">
        <v>6154</v>
      </c>
      <c r="E17" s="33" t="n">
        <v>948</v>
      </c>
      <c r="F17" s="34" t="n">
        <f aca="false">E17/D17*100</f>
        <v>15.4046148846279</v>
      </c>
      <c r="G17" s="33" t="n">
        <v>590</v>
      </c>
      <c r="H17" s="34" t="n">
        <f aca="false">G17/D17*100</f>
        <v>9.58726031849204</v>
      </c>
      <c r="I17" s="35" t="n">
        <f aca="false">E17+G17</f>
        <v>1538</v>
      </c>
      <c r="J17" s="34" t="n">
        <f aca="false">I17/D17*100</f>
        <v>24.9918752031199</v>
      </c>
    </row>
    <row r="18" customFormat="false" ht="15" hidden="false" customHeight="true" outlineLevel="0" collapsed="false">
      <c r="B18" s="32" t="n">
        <v>12</v>
      </c>
      <c r="C18" s="32" t="s">
        <v>58</v>
      </c>
      <c r="D18" s="33" t="n">
        <v>2274</v>
      </c>
      <c r="E18" s="33" t="n">
        <v>103</v>
      </c>
      <c r="F18" s="34" t="n">
        <f aca="false">E18/D18*100</f>
        <v>4.52946350043975</v>
      </c>
      <c r="G18" s="33" t="n">
        <v>67</v>
      </c>
      <c r="H18" s="34" t="n">
        <f aca="false">G18/D18*100</f>
        <v>2.94635004397537</v>
      </c>
      <c r="I18" s="35" t="n">
        <f aca="false">E18+G18</f>
        <v>170</v>
      </c>
      <c r="J18" s="34" t="n">
        <f aca="false">I18/D18*100</f>
        <v>7.47581354441513</v>
      </c>
    </row>
    <row r="19" customFormat="false" ht="15" hidden="false" customHeight="true" outlineLevel="0" collapsed="false">
      <c r="B19" s="36"/>
      <c r="C19" s="37" t="s">
        <v>59</v>
      </c>
      <c r="D19" s="38" t="n">
        <f aca="false">SUM(D7:D18)</f>
        <v>92399</v>
      </c>
      <c r="E19" s="38" t="n">
        <f aca="false">SUM(E7:E18)</f>
        <v>8161</v>
      </c>
      <c r="F19" s="39" t="n">
        <f aca="false">E19/D19*100</f>
        <v>8.83234667041851</v>
      </c>
      <c r="G19" s="30" t="n">
        <f aca="false">SUM(G7:G18)</f>
        <v>12275</v>
      </c>
      <c r="H19" s="34" t="n">
        <f aca="false">G19/D19*100</f>
        <v>13.284775809262</v>
      </c>
      <c r="I19" s="40" t="n">
        <f aca="false">G19+E19</f>
        <v>20436</v>
      </c>
      <c r="J19" s="41" t="n">
        <f aca="false">I19/D19*100</f>
        <v>22.1171224796805</v>
      </c>
    </row>
    <row r="21" customFormat="false" ht="15.75" hidden="false" customHeight="true" outlineLevel="0" collapsed="false"/>
    <row r="22" customFormat="false" ht="15.75" hidden="false" customHeight="true" outlineLevel="0" collapsed="false">
      <c r="B22" s="27" t="s">
        <v>38</v>
      </c>
      <c r="C22" s="27" t="s">
        <v>39</v>
      </c>
      <c r="D22" s="42" t="s">
        <v>60</v>
      </c>
      <c r="E22" s="42"/>
      <c r="F22" s="42"/>
      <c r="G22" s="42"/>
      <c r="H22" s="42"/>
      <c r="I22" s="42"/>
      <c r="J22" s="42"/>
    </row>
    <row r="23" customFormat="false" ht="44.25" hidden="false" customHeight="true" outlineLevel="0" collapsed="false">
      <c r="B23" s="27"/>
      <c r="C23" s="27"/>
      <c r="D23" s="43" t="s">
        <v>41</v>
      </c>
      <c r="E23" s="44" t="s">
        <v>42</v>
      </c>
      <c r="F23" s="44" t="s">
        <v>61</v>
      </c>
      <c r="G23" s="44" t="s">
        <v>44</v>
      </c>
      <c r="H23" s="43" t="s">
        <v>61</v>
      </c>
      <c r="I23" s="43" t="s">
        <v>45</v>
      </c>
      <c r="J23" s="43" t="s">
        <v>46</v>
      </c>
    </row>
    <row r="24" customFormat="false" ht="15.75" hidden="false" customHeight="true" outlineLevel="0" collapsed="false">
      <c r="B24" s="32" t="n">
        <v>1</v>
      </c>
      <c r="C24" s="32" t="s">
        <v>47</v>
      </c>
      <c r="D24" s="45" t="n">
        <v>444</v>
      </c>
      <c r="E24" s="45" t="n">
        <v>1</v>
      </c>
      <c r="F24" s="46" t="n">
        <f aca="false">E24/D24*100</f>
        <v>0.225225225225225</v>
      </c>
      <c r="G24" s="47" t="n">
        <v>40</v>
      </c>
      <c r="H24" s="46" t="n">
        <f aca="false">G24/D24*100</f>
        <v>9.00900900900901</v>
      </c>
      <c r="I24" s="48" t="n">
        <f aca="false">E24+G24</f>
        <v>41</v>
      </c>
      <c r="J24" s="46" t="n">
        <f aca="false">I24/D24*100</f>
        <v>9.23423423423424</v>
      </c>
    </row>
    <row r="25" customFormat="false" ht="15.75" hidden="false" customHeight="true" outlineLevel="0" collapsed="false">
      <c r="B25" s="32" t="n">
        <v>2</v>
      </c>
      <c r="C25" s="32" t="s">
        <v>48</v>
      </c>
      <c r="D25" s="45" t="n">
        <v>160</v>
      </c>
      <c r="E25" s="45" t="n">
        <v>78</v>
      </c>
      <c r="F25" s="46" t="n">
        <f aca="false">E25/D25*100</f>
        <v>48.75</v>
      </c>
      <c r="G25" s="47" t="n">
        <v>125</v>
      </c>
      <c r="H25" s="46" t="n">
        <f aca="false">G25/D25*100</f>
        <v>78.125</v>
      </c>
      <c r="I25" s="48" t="n">
        <f aca="false">E25+G25</f>
        <v>203</v>
      </c>
      <c r="J25" s="46" t="n">
        <f aca="false">I25/D25*100</f>
        <v>126.875</v>
      </c>
    </row>
    <row r="26" customFormat="false" ht="15.75" hidden="false" customHeight="true" outlineLevel="0" collapsed="false">
      <c r="B26" s="32" t="n">
        <v>3</v>
      </c>
      <c r="C26" s="32" t="s">
        <v>49</v>
      </c>
      <c r="D26" s="45" t="n">
        <v>271</v>
      </c>
      <c r="E26" s="45" t="n">
        <v>6</v>
      </c>
      <c r="F26" s="46" t="n">
        <f aca="false">E26/D26*100</f>
        <v>2.2140221402214</v>
      </c>
      <c r="G26" s="47" t="n">
        <v>9</v>
      </c>
      <c r="H26" s="46" t="n">
        <f aca="false">G26/D26*100</f>
        <v>3.3210332103321</v>
      </c>
      <c r="I26" s="48" t="n">
        <f aca="false">E26+G26</f>
        <v>15</v>
      </c>
      <c r="J26" s="46" t="n">
        <f aca="false">I26/D26*100</f>
        <v>5.53505535055351</v>
      </c>
    </row>
    <row r="27" customFormat="false" ht="15.75" hidden="false" customHeight="true" outlineLevel="0" collapsed="false">
      <c r="B27" s="32" t="n">
        <v>4</v>
      </c>
      <c r="C27" s="32" t="s">
        <v>50</v>
      </c>
      <c r="D27" s="45" t="n">
        <v>170</v>
      </c>
      <c r="E27" s="45" t="n">
        <v>2</v>
      </c>
      <c r="F27" s="46" t="n">
        <f aca="false">E27/D27*100</f>
        <v>1.17647058823529</v>
      </c>
      <c r="G27" s="47" t="n">
        <v>21</v>
      </c>
      <c r="H27" s="46" t="n">
        <f aca="false">G27/D27*100</f>
        <v>12.3529411764706</v>
      </c>
      <c r="I27" s="48" t="n">
        <f aca="false">E27+G27</f>
        <v>23</v>
      </c>
      <c r="J27" s="46" t="n">
        <f aca="false">I27/D27*100</f>
        <v>13.5294117647059</v>
      </c>
    </row>
    <row r="28" customFormat="false" ht="15.75" hidden="false" customHeight="true" outlineLevel="0" collapsed="false">
      <c r="B28" s="32" t="n">
        <v>5</v>
      </c>
      <c r="C28" s="32" t="s">
        <v>51</v>
      </c>
      <c r="D28" s="45" t="n">
        <v>284</v>
      </c>
      <c r="E28" s="45" t="n">
        <v>52</v>
      </c>
      <c r="F28" s="46" t="n">
        <f aca="false">E28/D28*100</f>
        <v>18.3098591549296</v>
      </c>
      <c r="G28" s="47" t="n">
        <v>65</v>
      </c>
      <c r="H28" s="46" t="n">
        <f aca="false">G28/D28*100</f>
        <v>22.887323943662</v>
      </c>
      <c r="I28" s="48" t="n">
        <f aca="false">E28+G28</f>
        <v>117</v>
      </c>
      <c r="J28" s="46" t="n">
        <f aca="false">I28/D28*100</f>
        <v>41.1971830985916</v>
      </c>
    </row>
    <row r="29" customFormat="false" ht="15.75" hidden="false" customHeight="true" outlineLevel="0" collapsed="false">
      <c r="B29" s="32" t="n">
        <v>6</v>
      </c>
      <c r="C29" s="32" t="s">
        <v>52</v>
      </c>
      <c r="D29" s="45" t="n">
        <v>909</v>
      </c>
      <c r="E29" s="45" t="n">
        <v>346</v>
      </c>
      <c r="F29" s="46" t="n">
        <f aca="false">E29/D29*100</f>
        <v>38.0638063806381</v>
      </c>
      <c r="G29" s="47" t="n">
        <v>249</v>
      </c>
      <c r="H29" s="46" t="n">
        <f aca="false">G29/D29*100</f>
        <v>27.3927392739274</v>
      </c>
      <c r="I29" s="48" t="n">
        <f aca="false">E29+G29</f>
        <v>595</v>
      </c>
      <c r="J29" s="46" t="n">
        <f aca="false">I29/D29*100</f>
        <v>65.4565456545655</v>
      </c>
    </row>
    <row r="30" customFormat="false" ht="15.75" hidden="false" customHeight="true" outlineLevel="0" collapsed="false">
      <c r="B30" s="32" t="n">
        <v>7</v>
      </c>
      <c r="C30" s="32" t="s">
        <v>53</v>
      </c>
      <c r="D30" s="45" t="n">
        <v>188</v>
      </c>
      <c r="E30" s="45" t="n">
        <v>56</v>
      </c>
      <c r="F30" s="46" t="n">
        <f aca="false">E30/D30*100</f>
        <v>29.7872340425532</v>
      </c>
      <c r="G30" s="47" t="n">
        <v>27</v>
      </c>
      <c r="H30" s="46" t="n">
        <f aca="false">G30/D30*100</f>
        <v>14.3617021276596</v>
      </c>
      <c r="I30" s="48" t="n">
        <f aca="false">E30+G30</f>
        <v>83</v>
      </c>
      <c r="J30" s="46" t="n">
        <f aca="false">I30/D30*100</f>
        <v>44.1489361702128</v>
      </c>
    </row>
    <row r="31" customFormat="false" ht="15.75" hidden="false" customHeight="true" outlineLevel="0" collapsed="false">
      <c r="B31" s="32" t="n">
        <v>8</v>
      </c>
      <c r="C31" s="32" t="s">
        <v>54</v>
      </c>
      <c r="D31" s="45" t="n">
        <v>459</v>
      </c>
      <c r="E31" s="45" t="n">
        <v>42</v>
      </c>
      <c r="F31" s="46" t="n">
        <f aca="false">E31/D31*100</f>
        <v>9.15032679738562</v>
      </c>
      <c r="G31" s="47" t="n">
        <v>77</v>
      </c>
      <c r="H31" s="46" t="n">
        <f aca="false">G31/D31*100</f>
        <v>16.7755991285403</v>
      </c>
      <c r="I31" s="48" t="n">
        <f aca="false">E31+G31</f>
        <v>119</v>
      </c>
      <c r="J31" s="46" t="n">
        <f aca="false">I31/D31*100</f>
        <v>25.9259259259259</v>
      </c>
    </row>
    <row r="32" customFormat="false" ht="15.75" hidden="false" customHeight="true" outlineLevel="0" collapsed="false">
      <c r="B32" s="32" t="n">
        <v>9</v>
      </c>
      <c r="C32" s="32" t="s">
        <v>55</v>
      </c>
      <c r="D32" s="45" t="n">
        <v>341</v>
      </c>
      <c r="E32" s="45" t="n">
        <v>8</v>
      </c>
      <c r="F32" s="46" t="n">
        <f aca="false">E32/D32*100</f>
        <v>2.34604105571848</v>
      </c>
      <c r="G32" s="47" t="n">
        <v>77</v>
      </c>
      <c r="H32" s="46" t="n">
        <f aca="false">G32/D32*100</f>
        <v>22.5806451612903</v>
      </c>
      <c r="I32" s="48" t="n">
        <f aca="false">E32+G32</f>
        <v>85</v>
      </c>
      <c r="J32" s="46" t="n">
        <f aca="false">I32/D32*100</f>
        <v>24.9266862170088</v>
      </c>
    </row>
    <row r="33" customFormat="false" ht="15.75" hidden="false" customHeight="true" outlineLevel="0" collapsed="false">
      <c r="B33" s="32" t="n">
        <v>10</v>
      </c>
      <c r="C33" s="32" t="s">
        <v>56</v>
      </c>
      <c r="D33" s="45" t="n">
        <v>726</v>
      </c>
      <c r="E33" s="45" t="n">
        <v>11</v>
      </c>
      <c r="F33" s="46" t="n">
        <f aca="false">E33/D33*100</f>
        <v>1.51515151515152</v>
      </c>
      <c r="G33" s="47" t="n">
        <v>7</v>
      </c>
      <c r="H33" s="46" t="n">
        <f aca="false">G33/D33*100</f>
        <v>0.964187327823691</v>
      </c>
      <c r="I33" s="48" t="n">
        <f aca="false">E33+G33</f>
        <v>18</v>
      </c>
      <c r="J33" s="46" t="n">
        <f aca="false">I33/D33*100</f>
        <v>2.47933884297521</v>
      </c>
    </row>
    <row r="34" customFormat="false" ht="15.75" hidden="false" customHeight="true" outlineLevel="0" collapsed="false">
      <c r="B34" s="32" t="n">
        <v>11</v>
      </c>
      <c r="C34" s="32" t="s">
        <v>57</v>
      </c>
      <c r="D34" s="45" t="n">
        <v>282</v>
      </c>
      <c r="E34" s="45" t="n">
        <v>118</v>
      </c>
      <c r="F34" s="46" t="n">
        <f aca="false">E34/D34*100</f>
        <v>41.8439716312057</v>
      </c>
      <c r="G34" s="47" t="n">
        <v>71</v>
      </c>
      <c r="H34" s="46" t="n">
        <f aca="false">G34/D34*100</f>
        <v>25.177304964539</v>
      </c>
      <c r="I34" s="48" t="n">
        <f aca="false">E34+G34</f>
        <v>189</v>
      </c>
      <c r="J34" s="46" t="n">
        <f aca="false">I34/D34*100</f>
        <v>67.0212765957447</v>
      </c>
    </row>
    <row r="35" customFormat="false" ht="15.75" hidden="false" customHeight="true" outlineLevel="0" collapsed="false">
      <c r="B35" s="32" t="n">
        <v>12</v>
      </c>
      <c r="C35" s="32" t="s">
        <v>58</v>
      </c>
      <c r="D35" s="45" t="n">
        <v>112</v>
      </c>
      <c r="E35" s="45" t="n">
        <v>12</v>
      </c>
      <c r="F35" s="46" t="n">
        <f aca="false">E35/D35*100</f>
        <v>10.7142857142857</v>
      </c>
      <c r="G35" s="47" t="n">
        <v>7</v>
      </c>
      <c r="H35" s="46" t="n">
        <f aca="false">G35/D35*100</f>
        <v>6.25</v>
      </c>
      <c r="I35" s="48" t="n">
        <f aca="false">E35+G35</f>
        <v>19</v>
      </c>
      <c r="J35" s="46" t="n">
        <f aca="false">I35/D35*100</f>
        <v>16.9642857142857</v>
      </c>
    </row>
    <row r="36" customFormat="false" ht="15.75" hidden="false" customHeight="true" outlineLevel="0" collapsed="false">
      <c r="B36" s="36"/>
      <c r="C36" s="37" t="s">
        <v>59</v>
      </c>
      <c r="D36" s="49" t="n">
        <f aca="false">SUM(D24:D35)</f>
        <v>4346</v>
      </c>
      <c r="E36" s="49" t="n">
        <f aca="false">SUM(E24:E35)</f>
        <v>732</v>
      </c>
      <c r="F36" s="50" t="n">
        <f aca="false">E36/D36*100</f>
        <v>16.8430740911183</v>
      </c>
      <c r="G36" s="51" t="n">
        <f aca="false">SUM(G24:G35)</f>
        <v>775</v>
      </c>
      <c r="H36" s="50" t="n">
        <f aca="false">G36/D36*100</f>
        <v>17.8324896456512</v>
      </c>
      <c r="I36" s="52" t="n">
        <f aca="false">G36+E36</f>
        <v>1507</v>
      </c>
      <c r="J36" s="50" t="n">
        <f aca="false">I36/D36*100</f>
        <v>34.6755637367694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>
      <c r="B39" s="27" t="s">
        <v>38</v>
      </c>
      <c r="C39" s="27" t="s">
        <v>39</v>
      </c>
      <c r="D39" s="53" t="s">
        <v>62</v>
      </c>
      <c r="E39" s="53"/>
      <c r="F39" s="53"/>
      <c r="G39" s="53"/>
      <c r="H39" s="53"/>
      <c r="I39" s="53"/>
      <c r="J39" s="53"/>
    </row>
    <row r="40" customFormat="false" ht="42" hidden="false" customHeight="true" outlineLevel="0" collapsed="false">
      <c r="B40" s="27"/>
      <c r="C40" s="27"/>
      <c r="D40" s="54" t="s">
        <v>41</v>
      </c>
      <c r="E40" s="55" t="s">
        <v>42</v>
      </c>
      <c r="F40" s="55" t="s">
        <v>61</v>
      </c>
      <c r="G40" s="56" t="s">
        <v>44</v>
      </c>
      <c r="H40" s="55" t="s">
        <v>61</v>
      </c>
      <c r="I40" s="54" t="s">
        <v>63</v>
      </c>
      <c r="J40" s="54" t="s">
        <v>46</v>
      </c>
    </row>
    <row r="41" customFormat="false" ht="15.75" hidden="false" customHeight="true" outlineLevel="0" collapsed="false">
      <c r="B41" s="32" t="n">
        <v>1</v>
      </c>
      <c r="C41" s="32" t="s">
        <v>47</v>
      </c>
      <c r="D41" s="57" t="n">
        <v>111</v>
      </c>
      <c r="E41" s="57" t="n">
        <v>1</v>
      </c>
      <c r="F41" s="58" t="n">
        <f aca="false">E41/D41*100</f>
        <v>0.900900900900901</v>
      </c>
      <c r="G41" s="59" t="n">
        <v>19</v>
      </c>
      <c r="H41" s="60" t="n">
        <f aca="false">G41/D41*100</f>
        <v>17.1171171171171</v>
      </c>
      <c r="I41" s="61" t="n">
        <f aca="false">G41+E41</f>
        <v>20</v>
      </c>
      <c r="J41" s="62" t="n">
        <f aca="false">I41/D41*100</f>
        <v>18.018018018018</v>
      </c>
    </row>
    <row r="42" customFormat="false" ht="15.75" hidden="false" customHeight="true" outlineLevel="0" collapsed="false">
      <c r="B42" s="32" t="n">
        <v>2</v>
      </c>
      <c r="C42" s="32" t="s">
        <v>48</v>
      </c>
      <c r="D42" s="57" t="n">
        <v>40</v>
      </c>
      <c r="E42" s="57" t="n">
        <v>16</v>
      </c>
      <c r="F42" s="58" t="n">
        <f aca="false">E42/D42*100</f>
        <v>40</v>
      </c>
      <c r="G42" s="59" t="n">
        <v>18</v>
      </c>
      <c r="H42" s="60" t="n">
        <f aca="false">G42/D42*100</f>
        <v>45</v>
      </c>
      <c r="I42" s="61" t="n">
        <f aca="false">G42+E42</f>
        <v>34</v>
      </c>
      <c r="J42" s="62" t="n">
        <f aca="false">I42/D42*100</f>
        <v>85</v>
      </c>
    </row>
    <row r="43" customFormat="false" ht="15.75" hidden="false" customHeight="true" outlineLevel="0" collapsed="false">
      <c r="B43" s="32" t="n">
        <v>3</v>
      </c>
      <c r="C43" s="32" t="s">
        <v>49</v>
      </c>
      <c r="D43" s="57" t="n">
        <v>67</v>
      </c>
      <c r="E43" s="57" t="n">
        <v>1</v>
      </c>
      <c r="F43" s="58" t="n">
        <f aca="false">E43/D43*100</f>
        <v>1.49253731343284</v>
      </c>
      <c r="G43" s="59" t="n">
        <v>2</v>
      </c>
      <c r="H43" s="60" t="n">
        <f aca="false">G43/D43*100</f>
        <v>2.98507462686567</v>
      </c>
      <c r="I43" s="61" t="n">
        <f aca="false">G43+E43</f>
        <v>3</v>
      </c>
      <c r="J43" s="62" t="n">
        <f aca="false">I43/D43*100</f>
        <v>4.47761194029851</v>
      </c>
    </row>
    <row r="44" customFormat="false" ht="15.75" hidden="false" customHeight="true" outlineLevel="0" collapsed="false">
      <c r="B44" s="32" t="n">
        <v>4</v>
      </c>
      <c r="C44" s="32" t="s">
        <v>50</v>
      </c>
      <c r="D44" s="57" t="n">
        <v>43</v>
      </c>
      <c r="E44" s="57" t="n">
        <v>3</v>
      </c>
      <c r="F44" s="58" t="n">
        <f aca="false">E44/D44*100</f>
        <v>6.97674418604651</v>
      </c>
      <c r="G44" s="59" t="n">
        <v>6</v>
      </c>
      <c r="H44" s="60" t="n">
        <f aca="false">G44/D44*100</f>
        <v>13.953488372093</v>
      </c>
      <c r="I44" s="61" t="n">
        <f aca="false">G44+E44</f>
        <v>9</v>
      </c>
      <c r="J44" s="62" t="n">
        <f aca="false">I44/D44*100</f>
        <v>20.9302325581395</v>
      </c>
    </row>
    <row r="45" customFormat="false" ht="15.75" hidden="false" customHeight="true" outlineLevel="0" collapsed="false">
      <c r="B45" s="32" t="n">
        <v>5</v>
      </c>
      <c r="C45" s="32" t="s">
        <v>51</v>
      </c>
      <c r="D45" s="57" t="n">
        <v>71</v>
      </c>
      <c r="E45" s="57" t="n">
        <v>25</v>
      </c>
      <c r="F45" s="58" t="n">
        <f aca="false">E45/D45*100</f>
        <v>35.2112676056338</v>
      </c>
      <c r="G45" s="59" t="n">
        <v>26</v>
      </c>
      <c r="H45" s="60" t="n">
        <f aca="false">G45/D45*100</f>
        <v>36.6197183098592</v>
      </c>
      <c r="I45" s="61" t="n">
        <f aca="false">G45+E45</f>
        <v>51</v>
      </c>
      <c r="J45" s="62" t="n">
        <f aca="false">I45/D45*100</f>
        <v>71.830985915493</v>
      </c>
    </row>
    <row r="46" customFormat="false" ht="15.75" hidden="false" customHeight="true" outlineLevel="0" collapsed="false">
      <c r="B46" s="32" t="n">
        <v>6</v>
      </c>
      <c r="C46" s="32" t="s">
        <v>52</v>
      </c>
      <c r="D46" s="57" t="n">
        <v>227</v>
      </c>
      <c r="E46" s="57" t="n">
        <v>112</v>
      </c>
      <c r="F46" s="58" t="n">
        <f aca="false">E46/D46*100</f>
        <v>49.3392070484582</v>
      </c>
      <c r="G46" s="59" t="n">
        <v>58</v>
      </c>
      <c r="H46" s="60" t="n">
        <f aca="false">G46/D46*100</f>
        <v>25.5506607929515</v>
      </c>
      <c r="I46" s="61" t="n">
        <f aca="false">G46+E46</f>
        <v>170</v>
      </c>
      <c r="J46" s="62" t="n">
        <f aca="false">I46/D46*100</f>
        <v>74.8898678414097</v>
      </c>
    </row>
    <row r="47" customFormat="false" ht="15.75" hidden="false" customHeight="true" outlineLevel="0" collapsed="false">
      <c r="B47" s="32" t="n">
        <v>7</v>
      </c>
      <c r="C47" s="32" t="s">
        <v>53</v>
      </c>
      <c r="D47" s="57" t="n">
        <v>47</v>
      </c>
      <c r="E47" s="57" t="n">
        <v>8</v>
      </c>
      <c r="F47" s="58" t="n">
        <f aca="false">E47/D47*100</f>
        <v>17.0212765957447</v>
      </c>
      <c r="G47" s="59" t="n">
        <v>11</v>
      </c>
      <c r="H47" s="60" t="n">
        <f aca="false">G47/D47*100</f>
        <v>23.4042553191489</v>
      </c>
      <c r="I47" s="61" t="n">
        <f aca="false">G47+E47</f>
        <v>19</v>
      </c>
      <c r="J47" s="62" t="n">
        <f aca="false">I47/D47*100</f>
        <v>40.4255319148936</v>
      </c>
    </row>
    <row r="48" customFormat="false" ht="15.75" hidden="false" customHeight="true" outlineLevel="0" collapsed="false">
      <c r="B48" s="32" t="n">
        <v>8</v>
      </c>
      <c r="C48" s="32" t="s">
        <v>54</v>
      </c>
      <c r="D48" s="57" t="n">
        <v>115</v>
      </c>
      <c r="E48" s="57" t="n">
        <v>2</v>
      </c>
      <c r="F48" s="58" t="n">
        <f aca="false">E48/D48*100</f>
        <v>1.73913043478261</v>
      </c>
      <c r="G48" s="59" t="n">
        <v>8</v>
      </c>
      <c r="H48" s="60" t="n">
        <f aca="false">G48/D48*100</f>
        <v>6.95652173913044</v>
      </c>
      <c r="I48" s="61" t="n">
        <f aca="false">G48+E48</f>
        <v>10</v>
      </c>
      <c r="J48" s="62" t="n">
        <f aca="false">I48/D48*100</f>
        <v>8.69565217391304</v>
      </c>
    </row>
    <row r="49" customFormat="false" ht="15.75" hidden="false" customHeight="true" outlineLevel="0" collapsed="false">
      <c r="B49" s="32" t="n">
        <v>9</v>
      </c>
      <c r="C49" s="32" t="s">
        <v>55</v>
      </c>
      <c r="D49" s="57" t="n">
        <v>85</v>
      </c>
      <c r="E49" s="57" t="n">
        <v>7</v>
      </c>
      <c r="F49" s="58" t="n">
        <f aca="false">E49/D49*100</f>
        <v>8.23529411764706</v>
      </c>
      <c r="G49" s="59" t="n">
        <v>12</v>
      </c>
      <c r="H49" s="60" t="n">
        <f aca="false">G49/D49*100</f>
        <v>14.1176470588235</v>
      </c>
      <c r="I49" s="61" t="n">
        <f aca="false">G49+E49</f>
        <v>19</v>
      </c>
      <c r="J49" s="62" t="n">
        <f aca="false">I49/D49*100</f>
        <v>22.3529411764706</v>
      </c>
    </row>
    <row r="50" customFormat="false" ht="15.75" hidden="false" customHeight="true" outlineLevel="0" collapsed="false">
      <c r="B50" s="32" t="n">
        <v>10</v>
      </c>
      <c r="C50" s="32" t="s">
        <v>56</v>
      </c>
      <c r="D50" s="57" t="n">
        <v>182</v>
      </c>
      <c r="E50" s="57" t="n">
        <v>4</v>
      </c>
      <c r="F50" s="58" t="n">
        <f aca="false">E50/D50*100</f>
        <v>2.1978021978022</v>
      </c>
      <c r="G50" s="59" t="n">
        <v>20</v>
      </c>
      <c r="H50" s="60" t="n">
        <f aca="false">G50/D50*100</f>
        <v>10.989010989011</v>
      </c>
      <c r="I50" s="61" t="n">
        <f aca="false">G50+E50</f>
        <v>24</v>
      </c>
      <c r="J50" s="62" t="n">
        <f aca="false">I50/D50*100</f>
        <v>13.1868131868132</v>
      </c>
    </row>
    <row r="51" customFormat="false" ht="15.75" hidden="false" customHeight="true" outlineLevel="0" collapsed="false">
      <c r="B51" s="32" t="n">
        <v>11</v>
      </c>
      <c r="C51" s="32" t="s">
        <v>57</v>
      </c>
      <c r="D51" s="57" t="n">
        <v>70</v>
      </c>
      <c r="E51" s="57" t="n">
        <v>21</v>
      </c>
      <c r="F51" s="58" t="n">
        <f aca="false">E51/D51*100</f>
        <v>30</v>
      </c>
      <c r="G51" s="59" t="n">
        <v>12</v>
      </c>
      <c r="H51" s="60" t="n">
        <f aca="false">G51/D51*100</f>
        <v>17.1428571428571</v>
      </c>
      <c r="I51" s="61" t="n">
        <f aca="false">G51+E51</f>
        <v>33</v>
      </c>
      <c r="J51" s="62" t="n">
        <f aca="false">I51/D51*100</f>
        <v>47.1428571428571</v>
      </c>
    </row>
    <row r="52" customFormat="false" ht="15.75" hidden="false" customHeight="true" outlineLevel="0" collapsed="false">
      <c r="B52" s="32" t="n">
        <v>12</v>
      </c>
      <c r="C52" s="32" t="s">
        <v>58</v>
      </c>
      <c r="D52" s="57" t="n">
        <v>28</v>
      </c>
      <c r="E52" s="57" t="n">
        <v>2</v>
      </c>
      <c r="F52" s="58" t="n">
        <f aca="false">E52/D52*100</f>
        <v>7.14285714285714</v>
      </c>
      <c r="G52" s="59" t="n">
        <v>1</v>
      </c>
      <c r="H52" s="60" t="n">
        <f aca="false">G52/D52*100</f>
        <v>3.57142857142857</v>
      </c>
      <c r="I52" s="61" t="n">
        <f aca="false">G52+E52</f>
        <v>3</v>
      </c>
      <c r="J52" s="62" t="n">
        <f aca="false">I52/D52*100</f>
        <v>10.7142857142857</v>
      </c>
    </row>
    <row r="53" customFormat="false" ht="15.75" hidden="false" customHeight="true" outlineLevel="0" collapsed="false">
      <c r="B53" s="36"/>
      <c r="C53" s="37" t="s">
        <v>59</v>
      </c>
      <c r="D53" s="63" t="n">
        <f aca="false">SUM(D41:D52)</f>
        <v>1086</v>
      </c>
      <c r="E53" s="63" t="n">
        <f aca="false">SUM(E41:E52)</f>
        <v>202</v>
      </c>
      <c r="F53" s="64" t="n">
        <f aca="false">E53/D53*100</f>
        <v>18.6003683241252</v>
      </c>
      <c r="G53" s="54" t="n">
        <v>193</v>
      </c>
      <c r="H53" s="65" t="n">
        <f aca="false">G53/D53*100</f>
        <v>17.7716390423573</v>
      </c>
      <c r="I53" s="66" t="n">
        <f aca="false">G53+E53</f>
        <v>395</v>
      </c>
      <c r="J53" s="67" t="n">
        <f aca="false">I53/D53*100</f>
        <v>36.3720073664825</v>
      </c>
    </row>
    <row r="54" customFormat="false" ht="15.75" hidden="false" customHeight="true" outlineLevel="0" collapsed="false">
      <c r="I54" s="68"/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mergeCells count="11">
    <mergeCell ref="B1:J2"/>
    <mergeCell ref="B3:J3"/>
    <mergeCell ref="B5:B6"/>
    <mergeCell ref="C5:C6"/>
    <mergeCell ref="D5:J5"/>
    <mergeCell ref="B22:B23"/>
    <mergeCell ref="C22:C23"/>
    <mergeCell ref="D22:J22"/>
    <mergeCell ref="B39:B40"/>
    <mergeCell ref="C39:C40"/>
    <mergeCell ref="D39:J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94"/>
  <sheetViews>
    <sheetView showFormulas="false" showGridLines="true" showRowColHeaders="true" showZeros="true" rightToLeft="false" tabSelected="false" showOutlineSymbols="true" defaultGridColor="true" view="normal" topLeftCell="A22" colorId="64" zoomScale="54" zoomScaleNormal="54" zoomScalePageLayoutView="100" workbookViewId="0">
      <selection pane="topLeft" activeCell="B55" activeCellId="0" sqref="B55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7.82"/>
    <col collapsed="false" customWidth="true" hidden="false" outlineLevel="0" max="3" min="3" style="1" width="19.09"/>
    <col collapsed="false" customWidth="true" hidden="false" outlineLevel="0" max="4" min="4" style="1" width="19.73"/>
    <col collapsed="false" customWidth="true" hidden="false" outlineLevel="0" max="5" min="5" style="1" width="20.82"/>
    <col collapsed="false" customWidth="true" hidden="false" outlineLevel="0" max="6" min="6" style="1" width="15.54"/>
    <col collapsed="false" customWidth="false" hidden="false" outlineLevel="0" max="7" min="7" style="1" width="14.45"/>
    <col collapsed="false" customWidth="true" hidden="false" outlineLevel="0" max="8" min="8" style="1" width="17.82"/>
    <col collapsed="false" customWidth="false" hidden="false" outlineLevel="0" max="9" min="9" style="1" width="14.45"/>
    <col collapsed="false" customWidth="true" hidden="false" outlineLevel="0" max="10" min="10" style="1" width="16.54"/>
    <col collapsed="false" customWidth="false" hidden="false" outlineLevel="0" max="13" min="11" style="1" width="14.45"/>
    <col collapsed="false" customWidth="true" hidden="false" outlineLevel="0" max="25" min="14" style="1" width="8.73"/>
    <col collapsed="false" customWidth="false" hidden="false" outlineLevel="0" max="16384" min="26" style="1" width="14.45"/>
  </cols>
  <sheetData>
    <row r="1" customFormat="false" ht="15" hidden="false" customHeight="true" outlineLevel="0" collapsed="false">
      <c r="B1" s="69" t="s">
        <v>64</v>
      </c>
      <c r="C1" s="69"/>
      <c r="D1" s="69"/>
      <c r="E1" s="69"/>
      <c r="F1" s="69"/>
    </row>
    <row r="2" customFormat="false" ht="18" hidden="false" customHeight="true" outlineLevel="0" collapsed="false">
      <c r="B2" s="69"/>
      <c r="C2" s="69"/>
      <c r="D2" s="69"/>
      <c r="E2" s="69"/>
      <c r="F2" s="69"/>
    </row>
    <row r="3" customFormat="false" ht="18" hidden="false" customHeight="true" outlineLevel="0" collapsed="false">
      <c r="B3" s="26" t="s">
        <v>37</v>
      </c>
      <c r="C3" s="26"/>
      <c r="D3" s="26"/>
      <c r="E3" s="26"/>
      <c r="F3" s="26"/>
    </row>
    <row r="5" customFormat="false" ht="15" hidden="false" customHeight="true" outlineLevel="0" collapsed="false">
      <c r="B5" s="27" t="s">
        <v>38</v>
      </c>
      <c r="C5" s="27" t="s">
        <v>39</v>
      </c>
      <c r="D5" s="27" t="s">
        <v>65</v>
      </c>
      <c r="E5" s="27"/>
      <c r="F5" s="27"/>
    </row>
    <row r="6" customFormat="false" ht="55.5" hidden="false" customHeight="true" outlineLevel="0" collapsed="false">
      <c r="B6" s="27"/>
      <c r="C6" s="27"/>
      <c r="D6" s="70" t="s">
        <v>66</v>
      </c>
      <c r="E6" s="71" t="s">
        <v>67</v>
      </c>
      <c r="F6" s="72" t="s">
        <v>68</v>
      </c>
    </row>
    <row r="7" customFormat="false" ht="15" hidden="false" customHeight="true" outlineLevel="0" collapsed="false">
      <c r="B7" s="32" t="n">
        <v>1</v>
      </c>
      <c r="C7" s="32" t="s">
        <v>47</v>
      </c>
      <c r="D7" s="32" t="n">
        <v>8998</v>
      </c>
      <c r="E7" s="73" t="n">
        <v>1117</v>
      </c>
      <c r="F7" s="74" t="n">
        <f aca="false">E7/D7*100</f>
        <v>12.4138697488331</v>
      </c>
    </row>
    <row r="8" customFormat="false" ht="15" hidden="false" customHeight="true" outlineLevel="0" collapsed="false">
      <c r="B8" s="32" t="n">
        <v>2</v>
      </c>
      <c r="C8" s="32" t="s">
        <v>48</v>
      </c>
      <c r="D8" s="32" t="n">
        <v>3234</v>
      </c>
      <c r="E8" s="73" t="n">
        <v>940</v>
      </c>
      <c r="F8" s="74" t="n">
        <f aca="false">E8/D8*100</f>
        <v>29.0661719233148</v>
      </c>
    </row>
    <row r="9" customFormat="false" ht="15" hidden="false" customHeight="true" outlineLevel="0" collapsed="false">
      <c r="B9" s="32" t="n">
        <v>3</v>
      </c>
      <c r="C9" s="32" t="s">
        <v>49</v>
      </c>
      <c r="D9" s="32" t="n">
        <v>5429</v>
      </c>
      <c r="E9" s="73" t="n">
        <v>634</v>
      </c>
      <c r="F9" s="74" t="n">
        <f aca="false">E9/D9*100</f>
        <v>11.6780254190459</v>
      </c>
    </row>
    <row r="10" customFormat="false" ht="15" hidden="false" customHeight="true" outlineLevel="0" collapsed="false">
      <c r="B10" s="32" t="n">
        <v>4</v>
      </c>
      <c r="C10" s="32" t="s">
        <v>50</v>
      </c>
      <c r="D10" s="32" t="n">
        <v>3480</v>
      </c>
      <c r="E10" s="73" t="n">
        <v>1069</v>
      </c>
      <c r="F10" s="74" t="n">
        <f aca="false">E10/D10*100</f>
        <v>30.7183908045977</v>
      </c>
    </row>
    <row r="11" customFormat="false" ht="15" hidden="false" customHeight="true" outlineLevel="0" collapsed="false">
      <c r="B11" s="32" t="n">
        <v>5</v>
      </c>
      <c r="C11" s="32" t="s">
        <v>51</v>
      </c>
      <c r="D11" s="32" t="n">
        <v>5856</v>
      </c>
      <c r="E11" s="73" t="n">
        <v>1357</v>
      </c>
      <c r="F11" s="74" t="n">
        <f aca="false">E11/D11*100</f>
        <v>23.1728142076503</v>
      </c>
    </row>
    <row r="12" customFormat="false" ht="15" hidden="false" customHeight="true" outlineLevel="0" collapsed="false">
      <c r="B12" s="32" t="n">
        <v>6</v>
      </c>
      <c r="C12" s="32" t="s">
        <v>52</v>
      </c>
      <c r="D12" s="32" t="n">
        <v>19105</v>
      </c>
      <c r="E12" s="73" t="n">
        <v>4989</v>
      </c>
      <c r="F12" s="74" t="n">
        <f aca="false">E12/D12*100</f>
        <v>26.1135828317194</v>
      </c>
    </row>
    <row r="13" customFormat="false" ht="15" hidden="false" customHeight="true" outlineLevel="0" collapsed="false">
      <c r="B13" s="32" t="n">
        <v>7</v>
      </c>
      <c r="C13" s="32" t="s">
        <v>53</v>
      </c>
      <c r="D13" s="32" t="n">
        <v>3923</v>
      </c>
      <c r="E13" s="73" t="n">
        <v>972</v>
      </c>
      <c r="F13" s="74" t="n">
        <f aca="false">E13/D13*100</f>
        <v>24.77695641091</v>
      </c>
    </row>
    <row r="14" customFormat="false" ht="15" hidden="false" customHeight="true" outlineLevel="0" collapsed="false">
      <c r="B14" s="32" t="n">
        <v>8</v>
      </c>
      <c r="C14" s="32" t="s">
        <v>54</v>
      </c>
      <c r="D14" s="32" t="n">
        <v>10052</v>
      </c>
      <c r="E14" s="73" t="n">
        <v>1553</v>
      </c>
      <c r="F14" s="74" t="n">
        <f aca="false">E14/D14*100</f>
        <v>15.449661758854</v>
      </c>
    </row>
    <row r="15" customFormat="false" ht="15" hidden="false" customHeight="true" outlineLevel="0" collapsed="false">
      <c r="B15" s="75" t="n">
        <v>9</v>
      </c>
      <c r="C15" s="75" t="s">
        <v>55</v>
      </c>
      <c r="D15" s="75" t="n">
        <v>7502</v>
      </c>
      <c r="E15" s="76" t="n">
        <v>4157</v>
      </c>
      <c r="F15" s="77" t="n">
        <f aca="false">E15/D15*100</f>
        <v>55.4118901626233</v>
      </c>
    </row>
    <row r="16" customFormat="false" ht="15" hidden="false" customHeight="true" outlineLevel="0" collapsed="false">
      <c r="B16" s="32" t="n">
        <v>10</v>
      </c>
      <c r="C16" s="32" t="s">
        <v>56</v>
      </c>
      <c r="D16" s="32" t="n">
        <v>16392</v>
      </c>
      <c r="E16" s="73" t="n">
        <v>1940</v>
      </c>
      <c r="F16" s="74" t="n">
        <f aca="false">E16/D16*100</f>
        <v>11.8350414836506</v>
      </c>
    </row>
    <row r="17" customFormat="false" ht="15" hidden="false" customHeight="true" outlineLevel="0" collapsed="false">
      <c r="B17" s="32" t="n">
        <v>11</v>
      </c>
      <c r="C17" s="32" t="s">
        <v>57</v>
      </c>
      <c r="D17" s="32" t="n">
        <v>6154</v>
      </c>
      <c r="E17" s="73" t="n">
        <v>1538</v>
      </c>
      <c r="F17" s="74" t="n">
        <f aca="false">E17/D17*100</f>
        <v>24.9918752031199</v>
      </c>
    </row>
    <row r="18" customFormat="false" ht="15" hidden="false" customHeight="true" outlineLevel="0" collapsed="false">
      <c r="B18" s="78" t="n">
        <v>12</v>
      </c>
      <c r="C18" s="78" t="s">
        <v>58</v>
      </c>
      <c r="D18" s="78" t="n">
        <v>2274</v>
      </c>
      <c r="E18" s="79" t="n">
        <v>170</v>
      </c>
      <c r="F18" s="80" t="n">
        <f aca="false">E18/D18*100</f>
        <v>7.47581354441513</v>
      </c>
    </row>
    <row r="19" customFormat="false" ht="15" hidden="false" customHeight="true" outlineLevel="0" collapsed="false">
      <c r="B19" s="36"/>
      <c r="C19" s="37" t="s">
        <v>59</v>
      </c>
      <c r="D19" s="37" t="n">
        <f aca="false">SUM(D7:D18)</f>
        <v>92399</v>
      </c>
      <c r="E19" s="81" t="n">
        <f aca="false">SUM(E7:E18)</f>
        <v>20436</v>
      </c>
      <c r="F19" s="82" t="n">
        <f aca="false">E19/D19*100</f>
        <v>22.1171224796805</v>
      </c>
    </row>
    <row r="21" customFormat="false" ht="15.75" hidden="false" customHeight="true" outlineLevel="0" collapsed="false"/>
    <row r="22" customFormat="false" ht="15.75" hidden="false" customHeight="true" outlineLevel="0" collapsed="false">
      <c r="B22" s="27" t="s">
        <v>38</v>
      </c>
      <c r="C22" s="27" t="s">
        <v>39</v>
      </c>
      <c r="D22" s="27" t="s">
        <v>69</v>
      </c>
      <c r="E22" s="27"/>
      <c r="F22" s="27"/>
    </row>
    <row r="23" customFormat="false" ht="44.25" hidden="false" customHeight="true" outlineLevel="0" collapsed="false">
      <c r="B23" s="27"/>
      <c r="C23" s="27"/>
      <c r="D23" s="70" t="s">
        <v>66</v>
      </c>
      <c r="E23" s="70" t="s">
        <v>67</v>
      </c>
      <c r="F23" s="70" t="s">
        <v>68</v>
      </c>
    </row>
    <row r="24" customFormat="false" ht="15.75" hidden="false" customHeight="true" outlineLevel="0" collapsed="false">
      <c r="B24" s="32" t="n">
        <v>1</v>
      </c>
      <c r="C24" s="32" t="s">
        <v>47</v>
      </c>
      <c r="D24" s="32" t="n">
        <v>444</v>
      </c>
      <c r="E24" s="73" t="n">
        <v>41</v>
      </c>
      <c r="F24" s="74" t="n">
        <f aca="false">E24/D24*100</f>
        <v>9.23423423423424</v>
      </c>
    </row>
    <row r="25" customFormat="false" ht="15.75" hidden="false" customHeight="true" outlineLevel="0" collapsed="false">
      <c r="B25" s="75" t="n">
        <v>2</v>
      </c>
      <c r="C25" s="75" t="s">
        <v>48</v>
      </c>
      <c r="D25" s="75" t="n">
        <v>160</v>
      </c>
      <c r="E25" s="76" t="n">
        <v>203</v>
      </c>
      <c r="F25" s="77" t="n">
        <f aca="false">E25/D25*100</f>
        <v>126.875</v>
      </c>
    </row>
    <row r="26" customFormat="false" ht="15.75" hidden="false" customHeight="true" outlineLevel="0" collapsed="false">
      <c r="B26" s="32" t="n">
        <v>3</v>
      </c>
      <c r="C26" s="32" t="s">
        <v>49</v>
      </c>
      <c r="D26" s="32" t="n">
        <v>271</v>
      </c>
      <c r="E26" s="73" t="n">
        <v>15</v>
      </c>
      <c r="F26" s="74" t="n">
        <f aca="false">E26/D26*100</f>
        <v>5.53505535055351</v>
      </c>
    </row>
    <row r="27" customFormat="false" ht="15.75" hidden="false" customHeight="true" outlineLevel="0" collapsed="false">
      <c r="B27" s="32" t="n">
        <v>4</v>
      </c>
      <c r="C27" s="32" t="s">
        <v>50</v>
      </c>
      <c r="D27" s="32" t="n">
        <v>170</v>
      </c>
      <c r="E27" s="73" t="n">
        <v>23</v>
      </c>
      <c r="F27" s="74" t="n">
        <f aca="false">E27/D27*100</f>
        <v>13.5294117647059</v>
      </c>
    </row>
    <row r="28" customFormat="false" ht="15.75" hidden="false" customHeight="true" outlineLevel="0" collapsed="false">
      <c r="B28" s="32" t="n">
        <v>5</v>
      </c>
      <c r="C28" s="32" t="s">
        <v>51</v>
      </c>
      <c r="D28" s="32" t="n">
        <v>284</v>
      </c>
      <c r="E28" s="73" t="n">
        <v>117</v>
      </c>
      <c r="F28" s="74" t="n">
        <f aca="false">E28/D28*100</f>
        <v>41.1971830985916</v>
      </c>
    </row>
    <row r="29" customFormat="false" ht="15.75" hidden="false" customHeight="true" outlineLevel="0" collapsed="false">
      <c r="B29" s="32" t="n">
        <v>6</v>
      </c>
      <c r="C29" s="32" t="s">
        <v>52</v>
      </c>
      <c r="D29" s="32" t="n">
        <v>909</v>
      </c>
      <c r="E29" s="73" t="n">
        <v>595</v>
      </c>
      <c r="F29" s="74" t="n">
        <f aca="false">E29/D29*100</f>
        <v>65.4565456545655</v>
      </c>
    </row>
    <row r="30" customFormat="false" ht="15.75" hidden="false" customHeight="true" outlineLevel="0" collapsed="false">
      <c r="B30" s="32" t="n">
        <v>7</v>
      </c>
      <c r="C30" s="32" t="s">
        <v>53</v>
      </c>
      <c r="D30" s="32" t="n">
        <v>188</v>
      </c>
      <c r="E30" s="73" t="n">
        <v>83</v>
      </c>
      <c r="F30" s="74" t="n">
        <f aca="false">E30/D30*100</f>
        <v>44.1489361702128</v>
      </c>
    </row>
    <row r="31" customFormat="false" ht="15.75" hidden="false" customHeight="true" outlineLevel="0" collapsed="false">
      <c r="B31" s="32" t="n">
        <v>8</v>
      </c>
      <c r="C31" s="32" t="s">
        <v>54</v>
      </c>
      <c r="D31" s="32" t="n">
        <v>459</v>
      </c>
      <c r="E31" s="73" t="n">
        <v>119</v>
      </c>
      <c r="F31" s="74" t="n">
        <f aca="false">E31/D31*100</f>
        <v>25.9259259259259</v>
      </c>
    </row>
    <row r="32" customFormat="false" ht="15.75" hidden="false" customHeight="true" outlineLevel="0" collapsed="false">
      <c r="B32" s="32" t="n">
        <v>9</v>
      </c>
      <c r="C32" s="32" t="s">
        <v>55</v>
      </c>
      <c r="D32" s="32" t="n">
        <v>341</v>
      </c>
      <c r="E32" s="73" t="n">
        <v>85</v>
      </c>
      <c r="F32" s="74" t="n">
        <f aca="false">E32/D32*100</f>
        <v>24.9266862170088</v>
      </c>
    </row>
    <row r="33" customFormat="false" ht="15.75" hidden="false" customHeight="true" outlineLevel="0" collapsed="false">
      <c r="B33" s="78" t="n">
        <v>10</v>
      </c>
      <c r="C33" s="78" t="s">
        <v>56</v>
      </c>
      <c r="D33" s="78" t="n">
        <v>726</v>
      </c>
      <c r="E33" s="79" t="n">
        <v>18</v>
      </c>
      <c r="F33" s="80" t="n">
        <f aca="false">E33/D33*100</f>
        <v>2.47933884297521</v>
      </c>
    </row>
    <row r="34" customFormat="false" ht="15.75" hidden="false" customHeight="true" outlineLevel="0" collapsed="false">
      <c r="B34" s="32" t="n">
        <v>11</v>
      </c>
      <c r="C34" s="32" t="s">
        <v>57</v>
      </c>
      <c r="D34" s="32" t="n">
        <v>282</v>
      </c>
      <c r="E34" s="73" t="n">
        <v>189</v>
      </c>
      <c r="F34" s="74" t="n">
        <f aca="false">E34/D34*100</f>
        <v>67.0212765957447</v>
      </c>
    </row>
    <row r="35" customFormat="false" ht="15.75" hidden="false" customHeight="true" outlineLevel="0" collapsed="false">
      <c r="B35" s="32" t="n">
        <v>12</v>
      </c>
      <c r="C35" s="32" t="s">
        <v>58</v>
      </c>
      <c r="D35" s="32" t="n">
        <v>112</v>
      </c>
      <c r="E35" s="73" t="n">
        <v>19</v>
      </c>
      <c r="F35" s="74" t="n">
        <f aca="false">E35/D35*100</f>
        <v>16.9642857142857</v>
      </c>
    </row>
    <row r="36" customFormat="false" ht="15.75" hidden="false" customHeight="true" outlineLevel="0" collapsed="false">
      <c r="B36" s="36"/>
      <c r="C36" s="37" t="s">
        <v>59</v>
      </c>
      <c r="D36" s="37" t="n">
        <f aca="false">SUM(D24:D35)</f>
        <v>4346</v>
      </c>
      <c r="E36" s="83" t="n">
        <f aca="false">SUM(E24:E35)</f>
        <v>1507</v>
      </c>
      <c r="F36" s="82" t="n">
        <f aca="false">E36/D36*100</f>
        <v>34.6755637367694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>
      <c r="B39" s="27" t="s">
        <v>38</v>
      </c>
      <c r="C39" s="27" t="s">
        <v>39</v>
      </c>
      <c r="D39" s="84" t="s">
        <v>70</v>
      </c>
      <c r="E39" s="84"/>
      <c r="F39" s="84"/>
    </row>
    <row r="40" customFormat="false" ht="42" hidden="false" customHeight="true" outlineLevel="0" collapsed="false">
      <c r="B40" s="27"/>
      <c r="C40" s="27"/>
      <c r="D40" s="85" t="s">
        <v>66</v>
      </c>
      <c r="E40" s="85" t="s">
        <v>67</v>
      </c>
      <c r="F40" s="85" t="s">
        <v>68</v>
      </c>
    </row>
    <row r="41" customFormat="false" ht="15.75" hidden="false" customHeight="true" outlineLevel="0" collapsed="false">
      <c r="B41" s="32" t="n">
        <v>1</v>
      </c>
      <c r="C41" s="32" t="s">
        <v>47</v>
      </c>
      <c r="D41" s="32" t="n">
        <v>111</v>
      </c>
      <c r="E41" s="86" t="n">
        <v>20</v>
      </c>
      <c r="F41" s="74" t="n">
        <f aca="false">E41/D41*100</f>
        <v>18.018018018018</v>
      </c>
    </row>
    <row r="42" customFormat="false" ht="15.75" hidden="false" customHeight="true" outlineLevel="0" collapsed="false">
      <c r="B42" s="75" t="n">
        <v>2</v>
      </c>
      <c r="C42" s="75" t="s">
        <v>48</v>
      </c>
      <c r="D42" s="75" t="n">
        <v>40</v>
      </c>
      <c r="E42" s="87" t="n">
        <v>34</v>
      </c>
      <c r="F42" s="77" t="n">
        <f aca="false">E42/D42*100</f>
        <v>85</v>
      </c>
    </row>
    <row r="43" customFormat="false" ht="15.75" hidden="false" customHeight="true" outlineLevel="0" collapsed="false">
      <c r="B43" s="32" t="n">
        <v>3</v>
      </c>
      <c r="C43" s="32" t="s">
        <v>49</v>
      </c>
      <c r="D43" s="32" t="n">
        <v>67</v>
      </c>
      <c r="E43" s="86" t="n">
        <v>3</v>
      </c>
      <c r="F43" s="74" t="n">
        <f aca="false">E43/D43*100</f>
        <v>4.47761194029851</v>
      </c>
    </row>
    <row r="44" customFormat="false" ht="15.75" hidden="false" customHeight="true" outlineLevel="0" collapsed="false">
      <c r="B44" s="32" t="n">
        <v>4</v>
      </c>
      <c r="C44" s="32" t="s">
        <v>50</v>
      </c>
      <c r="D44" s="32" t="n">
        <v>43</v>
      </c>
      <c r="E44" s="86" t="n">
        <v>9</v>
      </c>
      <c r="F44" s="74" t="n">
        <f aca="false">E44/D44*100</f>
        <v>20.9302325581395</v>
      </c>
    </row>
    <row r="45" customFormat="false" ht="15.75" hidden="false" customHeight="true" outlineLevel="0" collapsed="false">
      <c r="B45" s="32" t="n">
        <v>5</v>
      </c>
      <c r="C45" s="32" t="s">
        <v>51</v>
      </c>
      <c r="D45" s="32" t="n">
        <v>71</v>
      </c>
      <c r="E45" s="86" t="n">
        <v>51</v>
      </c>
      <c r="F45" s="74" t="n">
        <f aca="false">E45/D45*100</f>
        <v>71.830985915493</v>
      </c>
    </row>
    <row r="46" customFormat="false" ht="15.75" hidden="false" customHeight="true" outlineLevel="0" collapsed="false">
      <c r="B46" s="32" t="n">
        <v>6</v>
      </c>
      <c r="C46" s="32" t="s">
        <v>52</v>
      </c>
      <c r="D46" s="32" t="n">
        <v>227</v>
      </c>
      <c r="E46" s="86" t="n">
        <v>170</v>
      </c>
      <c r="F46" s="74" t="n">
        <f aca="false">E46/D46*100</f>
        <v>74.8898678414097</v>
      </c>
    </row>
    <row r="47" customFormat="false" ht="15.75" hidden="false" customHeight="true" outlineLevel="0" collapsed="false">
      <c r="B47" s="32" t="n">
        <v>7</v>
      </c>
      <c r="C47" s="32" t="s">
        <v>53</v>
      </c>
      <c r="D47" s="32" t="n">
        <v>47</v>
      </c>
      <c r="E47" s="86" t="n">
        <v>19</v>
      </c>
      <c r="F47" s="74" t="n">
        <f aca="false">E47/D47*100</f>
        <v>40.4255319148936</v>
      </c>
    </row>
    <row r="48" customFormat="false" ht="15.75" hidden="false" customHeight="true" outlineLevel="0" collapsed="false">
      <c r="B48" s="78" t="n">
        <v>8</v>
      </c>
      <c r="C48" s="78" t="s">
        <v>54</v>
      </c>
      <c r="D48" s="78" t="n">
        <v>115</v>
      </c>
      <c r="E48" s="88" t="n">
        <v>10</v>
      </c>
      <c r="F48" s="80" t="n">
        <f aca="false">E48/D48*100</f>
        <v>8.69565217391304</v>
      </c>
    </row>
    <row r="49" customFormat="false" ht="15.75" hidden="false" customHeight="true" outlineLevel="0" collapsed="false">
      <c r="B49" s="32" t="n">
        <v>9</v>
      </c>
      <c r="C49" s="32" t="s">
        <v>55</v>
      </c>
      <c r="D49" s="32" t="n">
        <v>85</v>
      </c>
      <c r="E49" s="86" t="n">
        <v>19</v>
      </c>
      <c r="F49" s="74" t="n">
        <f aca="false">E49/D49*100</f>
        <v>22.3529411764706</v>
      </c>
    </row>
    <row r="50" customFormat="false" ht="15.75" hidden="false" customHeight="true" outlineLevel="0" collapsed="false">
      <c r="B50" s="32" t="n">
        <v>10</v>
      </c>
      <c r="C50" s="32" t="s">
        <v>56</v>
      </c>
      <c r="D50" s="32" t="n">
        <v>182</v>
      </c>
      <c r="E50" s="86" t="n">
        <v>24</v>
      </c>
      <c r="F50" s="74" t="n">
        <f aca="false">E50/D50*100</f>
        <v>13.1868131868132</v>
      </c>
    </row>
    <row r="51" customFormat="false" ht="15.75" hidden="false" customHeight="true" outlineLevel="0" collapsed="false">
      <c r="B51" s="32" t="n">
        <v>11</v>
      </c>
      <c r="C51" s="32" t="s">
        <v>57</v>
      </c>
      <c r="D51" s="32" t="n">
        <v>70</v>
      </c>
      <c r="E51" s="86" t="n">
        <v>33</v>
      </c>
      <c r="F51" s="74" t="n">
        <f aca="false">E51/D51*100</f>
        <v>47.1428571428571</v>
      </c>
    </row>
    <row r="52" customFormat="false" ht="15.75" hidden="false" customHeight="true" outlineLevel="0" collapsed="false">
      <c r="B52" s="32" t="n">
        <v>12</v>
      </c>
      <c r="C52" s="32" t="s">
        <v>58</v>
      </c>
      <c r="D52" s="32" t="n">
        <v>28</v>
      </c>
      <c r="E52" s="86" t="n">
        <v>3</v>
      </c>
      <c r="F52" s="74" t="n">
        <f aca="false">E52/D52*100</f>
        <v>10.7142857142857</v>
      </c>
    </row>
    <row r="53" customFormat="false" ht="15.75" hidden="false" customHeight="true" outlineLevel="0" collapsed="false">
      <c r="B53" s="36"/>
      <c r="C53" s="37" t="s">
        <v>59</v>
      </c>
      <c r="D53" s="37" t="n">
        <f aca="false">SUM(D41:D52)</f>
        <v>1086</v>
      </c>
      <c r="E53" s="89" t="n">
        <f aca="false">SUM(E41:E52)</f>
        <v>395</v>
      </c>
      <c r="F53" s="82" t="n">
        <f aca="false">E53/D53*100</f>
        <v>36.3720073664825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mergeCells count="11">
    <mergeCell ref="B1:F2"/>
    <mergeCell ref="B3:F3"/>
    <mergeCell ref="B5:B6"/>
    <mergeCell ref="C5:C6"/>
    <mergeCell ref="D5:F5"/>
    <mergeCell ref="B22:B23"/>
    <mergeCell ref="C22:C23"/>
    <mergeCell ref="D22:F22"/>
    <mergeCell ref="B39:B40"/>
    <mergeCell ref="C39:C40"/>
    <mergeCell ref="D39:F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1.73"/>
  </cols>
  <sheetData>
    <row r="4" customFormat="false" ht="14.25" hidden="false" customHeight="false" outlineLevel="0" collapsed="false">
      <c r="B4" s="90" t="s">
        <v>71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</row>
    <row r="5" customFormat="false" ht="14.25" hidden="false" customHeight="false" outlineLevel="0" collapsed="false">
      <c r="B5" s="91" t="s">
        <v>72</v>
      </c>
      <c r="C5" s="90" t="s">
        <v>73</v>
      </c>
      <c r="D5" s="90" t="s">
        <v>74</v>
      </c>
      <c r="E5" s="90" t="s">
        <v>3</v>
      </c>
      <c r="F5" s="90" t="s">
        <v>75</v>
      </c>
      <c r="G5" s="90" t="s">
        <v>6</v>
      </c>
      <c r="H5" s="90" t="s">
        <v>7</v>
      </c>
      <c r="I5" s="90" t="s">
        <v>76</v>
      </c>
      <c r="J5" s="90" t="s">
        <v>77</v>
      </c>
      <c r="K5" s="90" t="s">
        <v>78</v>
      </c>
      <c r="L5" s="90" t="s">
        <v>79</v>
      </c>
      <c r="M5" s="90" t="s">
        <v>80</v>
      </c>
      <c r="N5" s="90" t="s">
        <v>81</v>
      </c>
    </row>
    <row r="6" customFormat="false" ht="14.25" hidden="false" customHeight="false" outlineLevel="0" collapsed="false">
      <c r="B6" s="91" t="s">
        <v>12</v>
      </c>
      <c r="C6" s="92" t="n">
        <v>0</v>
      </c>
      <c r="D6" s="92" t="n">
        <v>0</v>
      </c>
      <c r="E6" s="92" t="n">
        <v>0</v>
      </c>
      <c r="F6" s="92" t="n">
        <v>0</v>
      </c>
      <c r="G6" s="92" t="n">
        <v>0</v>
      </c>
      <c r="H6" s="92" t="n">
        <v>0</v>
      </c>
      <c r="I6" s="93" t="n">
        <v>8</v>
      </c>
      <c r="J6" s="92"/>
      <c r="K6" s="92"/>
      <c r="L6" s="92"/>
      <c r="M6" s="92"/>
      <c r="N6" s="92"/>
    </row>
    <row r="7" customFormat="false" ht="14.25" hidden="false" customHeight="false" outlineLevel="0" collapsed="false">
      <c r="B7" s="91" t="s">
        <v>13</v>
      </c>
      <c r="C7" s="92" t="n">
        <v>0</v>
      </c>
      <c r="D7" s="92" t="n">
        <v>0</v>
      </c>
      <c r="E7" s="92" t="n">
        <v>0</v>
      </c>
      <c r="F7" s="92" t="n">
        <v>0</v>
      </c>
      <c r="G7" s="92" t="n">
        <v>0</v>
      </c>
      <c r="H7" s="92" t="n">
        <v>0</v>
      </c>
      <c r="I7" s="93" t="n">
        <v>9</v>
      </c>
      <c r="J7" s="92"/>
      <c r="K7" s="92"/>
      <c r="L7" s="92"/>
      <c r="M7" s="92"/>
      <c r="N7" s="92"/>
    </row>
    <row r="8" customFormat="false" ht="14.25" hidden="false" customHeight="false" outlineLevel="0" collapsed="false">
      <c r="B8" s="91" t="s">
        <v>14</v>
      </c>
      <c r="C8" s="92" t="n">
        <v>0</v>
      </c>
      <c r="D8" s="92" t="n">
        <v>0</v>
      </c>
      <c r="E8" s="92" t="n">
        <v>0</v>
      </c>
      <c r="F8" s="92" t="n">
        <v>0</v>
      </c>
      <c r="G8" s="92" t="n">
        <v>0</v>
      </c>
      <c r="H8" s="92" t="n">
        <v>2</v>
      </c>
      <c r="I8" s="93" t="n">
        <v>4</v>
      </c>
      <c r="J8" s="92"/>
      <c r="K8" s="92"/>
      <c r="L8" s="92"/>
      <c r="M8" s="92"/>
      <c r="N8" s="92"/>
    </row>
    <row r="9" customFormat="false" ht="14.25" hidden="false" customHeight="false" outlineLevel="0" collapsed="false">
      <c r="B9" s="91" t="s">
        <v>15</v>
      </c>
      <c r="C9" s="92" t="n">
        <v>0</v>
      </c>
      <c r="D9" s="92" t="n">
        <v>0</v>
      </c>
      <c r="E9" s="92" t="n">
        <v>0</v>
      </c>
      <c r="F9" s="92" t="n">
        <v>0</v>
      </c>
      <c r="G9" s="92" t="n">
        <v>0</v>
      </c>
      <c r="H9" s="92" t="n">
        <v>0</v>
      </c>
      <c r="I9" s="92" t="n">
        <v>0</v>
      </c>
      <c r="J9" s="92"/>
      <c r="K9" s="92"/>
      <c r="L9" s="92"/>
      <c r="M9" s="92"/>
      <c r="N9" s="92"/>
    </row>
    <row r="10" customFormat="false" ht="14.25" hidden="false" customHeight="false" outlineLevel="0" collapsed="false">
      <c r="B10" s="91" t="s">
        <v>16</v>
      </c>
      <c r="C10" s="92" t="n">
        <v>0</v>
      </c>
      <c r="D10" s="92" t="n">
        <v>0</v>
      </c>
      <c r="E10" s="92" t="n">
        <v>0</v>
      </c>
      <c r="F10" s="92" t="n">
        <v>0</v>
      </c>
      <c r="G10" s="92" t="n">
        <v>0</v>
      </c>
      <c r="H10" s="92" t="n">
        <v>0</v>
      </c>
      <c r="I10" s="93" t="n">
        <v>13</v>
      </c>
      <c r="J10" s="92"/>
      <c r="K10" s="92"/>
      <c r="L10" s="92"/>
      <c r="M10" s="92"/>
      <c r="N10" s="92"/>
    </row>
    <row r="11" customFormat="false" ht="14.25" hidden="false" customHeight="false" outlineLevel="0" collapsed="false">
      <c r="B11" s="91" t="s">
        <v>17</v>
      </c>
      <c r="C11" s="92" t="n">
        <v>0</v>
      </c>
      <c r="D11" s="92" t="n">
        <v>0</v>
      </c>
      <c r="E11" s="92" t="n">
        <v>0</v>
      </c>
      <c r="F11" s="92" t="n">
        <v>0</v>
      </c>
      <c r="G11" s="92" t="n">
        <v>0</v>
      </c>
      <c r="H11" s="92" t="n">
        <v>0</v>
      </c>
      <c r="I11" s="93" t="n">
        <v>27</v>
      </c>
      <c r="J11" s="92"/>
      <c r="K11" s="92"/>
      <c r="L11" s="92"/>
      <c r="M11" s="92"/>
      <c r="N11" s="92"/>
    </row>
    <row r="12" customFormat="false" ht="14.25" hidden="false" customHeight="false" outlineLevel="0" collapsed="false">
      <c r="B12" s="91" t="s">
        <v>18</v>
      </c>
      <c r="C12" s="92" t="n">
        <v>0</v>
      </c>
      <c r="D12" s="92" t="n">
        <v>0</v>
      </c>
      <c r="E12" s="92" t="n">
        <v>0</v>
      </c>
      <c r="F12" s="92" t="n">
        <v>0</v>
      </c>
      <c r="G12" s="92" t="n">
        <v>0</v>
      </c>
      <c r="H12" s="93" t="n">
        <v>13</v>
      </c>
      <c r="I12" s="93" t="n">
        <v>7</v>
      </c>
      <c r="J12" s="92"/>
      <c r="K12" s="92"/>
      <c r="L12" s="92"/>
      <c r="M12" s="92"/>
      <c r="N12" s="92"/>
    </row>
    <row r="13" customFormat="false" ht="14.25" hidden="false" customHeight="false" outlineLevel="0" collapsed="false">
      <c r="B13" s="91" t="s">
        <v>19</v>
      </c>
      <c r="C13" s="92" t="n">
        <v>0</v>
      </c>
      <c r="D13" s="92" t="n">
        <v>0</v>
      </c>
      <c r="E13" s="92" t="n">
        <v>0</v>
      </c>
      <c r="F13" s="92" t="n">
        <v>0</v>
      </c>
      <c r="G13" s="93" t="n">
        <v>10</v>
      </c>
      <c r="H13" s="93" t="n">
        <v>13</v>
      </c>
      <c r="I13" s="93" t="n">
        <v>11</v>
      </c>
      <c r="J13" s="92"/>
      <c r="K13" s="92"/>
      <c r="L13" s="92"/>
      <c r="M13" s="92"/>
      <c r="N13" s="92"/>
    </row>
    <row r="14" customFormat="false" ht="14.25" hidden="false" customHeight="false" outlineLevel="0" collapsed="false">
      <c r="B14" s="91" t="s">
        <v>20</v>
      </c>
      <c r="C14" s="92" t="n">
        <v>0</v>
      </c>
      <c r="D14" s="92" t="n">
        <v>0</v>
      </c>
      <c r="E14" s="92" t="n">
        <v>0</v>
      </c>
      <c r="F14" s="93" t="n">
        <v>22</v>
      </c>
      <c r="G14" s="92" t="n">
        <v>0</v>
      </c>
      <c r="H14" s="92" t="n">
        <v>0</v>
      </c>
      <c r="I14" s="92" t="n">
        <v>0</v>
      </c>
      <c r="J14" s="92"/>
      <c r="K14" s="92"/>
      <c r="L14" s="92"/>
      <c r="M14" s="92"/>
      <c r="N14" s="92"/>
    </row>
    <row r="15" customFormat="false" ht="14.25" hidden="false" customHeight="false" outlineLevel="0" collapsed="false">
      <c r="B15" s="91" t="s">
        <v>21</v>
      </c>
      <c r="C15" s="92" t="n">
        <v>0</v>
      </c>
      <c r="D15" s="92" t="n">
        <v>0</v>
      </c>
      <c r="E15" s="92" t="n">
        <v>0</v>
      </c>
      <c r="F15" s="92" t="n">
        <v>0</v>
      </c>
      <c r="G15" s="93" t="n">
        <v>23</v>
      </c>
      <c r="H15" s="92" t="n">
        <v>0</v>
      </c>
      <c r="I15" s="92" t="n">
        <v>0</v>
      </c>
      <c r="J15" s="92"/>
      <c r="K15" s="92"/>
      <c r="L15" s="92"/>
      <c r="M15" s="92"/>
      <c r="N15" s="92"/>
    </row>
    <row r="16" customFormat="false" ht="14.25" hidden="false" customHeight="false" outlineLevel="0" collapsed="false">
      <c r="B16" s="91" t="s">
        <v>22</v>
      </c>
      <c r="C16" s="92" t="n">
        <v>0</v>
      </c>
      <c r="D16" s="92" t="n">
        <v>0</v>
      </c>
      <c r="E16" s="93" t="n">
        <v>20</v>
      </c>
      <c r="F16" s="92" t="n">
        <v>0</v>
      </c>
      <c r="G16" s="92" t="n">
        <v>0</v>
      </c>
      <c r="H16" s="93" t="n">
        <v>21</v>
      </c>
      <c r="I16" s="92" t="n">
        <v>0</v>
      </c>
      <c r="J16" s="92"/>
      <c r="K16" s="92"/>
      <c r="L16" s="92"/>
      <c r="M16" s="92"/>
      <c r="N16" s="92"/>
    </row>
    <row r="17" customFormat="false" ht="14.25" hidden="false" customHeight="false" outlineLevel="0" collapsed="false">
      <c r="B17" s="91" t="s">
        <v>23</v>
      </c>
      <c r="C17" s="92" t="n">
        <v>0</v>
      </c>
      <c r="D17" s="92" t="n">
        <v>0</v>
      </c>
      <c r="E17" s="92" t="n">
        <v>0</v>
      </c>
      <c r="F17" s="92" t="n">
        <v>0</v>
      </c>
      <c r="G17" s="92" t="n">
        <v>0</v>
      </c>
      <c r="H17" s="92" t="n">
        <v>0</v>
      </c>
      <c r="I17" s="92" t="n">
        <v>0</v>
      </c>
      <c r="J17" s="92"/>
      <c r="K17" s="92"/>
      <c r="L17" s="92"/>
      <c r="M17" s="92"/>
      <c r="N17" s="92"/>
    </row>
    <row r="18" customFormat="false" ht="14.25" hidden="false" customHeight="false" outlineLevel="0" collapsed="false">
      <c r="B18" s="94" t="s">
        <v>82</v>
      </c>
    </row>
  </sheetData>
  <mergeCells count="1">
    <mergeCell ref="B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O2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J22" activeCellId="0" sqref="J22"/>
    </sheetView>
  </sheetViews>
  <sheetFormatPr defaultColWidth="8.6796875" defaultRowHeight="14.25" zeroHeight="false" outlineLevelRow="0" outlineLevelCol="0"/>
  <cols>
    <col collapsed="false" customWidth="true" hidden="false" outlineLevel="0" max="4" min="4" style="1" width="16.18"/>
    <col collapsed="false" customWidth="true" hidden="false" outlineLevel="0" max="5" min="5" style="1" width="26.09"/>
    <col collapsed="false" customWidth="true" hidden="false" outlineLevel="0" max="6" min="6" style="1" width="13.63"/>
    <col collapsed="false" customWidth="true" hidden="false" outlineLevel="0" max="7" min="7" style="1" width="12.27"/>
  </cols>
  <sheetData>
    <row r="4" customFormat="false" ht="15" hidden="false" customHeight="true" outlineLevel="0" collapsed="false">
      <c r="B4" s="95" t="s">
        <v>83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</row>
    <row r="5" customFormat="false" ht="15" hidden="false" customHeight="true" outlineLevel="0" collapsed="false">
      <c r="B5" s="95" t="s">
        <v>84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8" customFormat="false" ht="28.5" hidden="false" customHeight="true" outlineLevel="0" collapsed="false">
      <c r="B8" s="96" t="s">
        <v>38</v>
      </c>
      <c r="C8" s="96" t="s">
        <v>85</v>
      </c>
      <c r="D8" s="97" t="s">
        <v>86</v>
      </c>
      <c r="E8" s="97" t="s">
        <v>87</v>
      </c>
      <c r="F8" s="97" t="s">
        <v>88</v>
      </c>
      <c r="G8" s="97"/>
      <c r="H8" s="97"/>
      <c r="I8" s="97"/>
      <c r="J8" s="97"/>
      <c r="K8" s="97"/>
      <c r="L8" s="97" t="s">
        <v>89</v>
      </c>
      <c r="M8" s="97"/>
      <c r="N8" s="97"/>
      <c r="O8" s="97"/>
    </row>
    <row r="9" customFormat="false" ht="57.75" hidden="false" customHeight="true" outlineLevel="0" collapsed="false">
      <c r="B9" s="96"/>
      <c r="C9" s="96"/>
      <c r="D9" s="97" t="s">
        <v>90</v>
      </c>
      <c r="E9" s="97" t="s">
        <v>91</v>
      </c>
      <c r="F9" s="96" t="s">
        <v>92</v>
      </c>
      <c r="G9" s="96" t="s">
        <v>61</v>
      </c>
      <c r="H9" s="96" t="s">
        <v>93</v>
      </c>
      <c r="I9" s="96" t="s">
        <v>61</v>
      </c>
      <c r="J9" s="96" t="s">
        <v>94</v>
      </c>
      <c r="K9" s="96" t="s">
        <v>61</v>
      </c>
      <c r="L9" s="97" t="s">
        <v>95</v>
      </c>
      <c r="M9" s="97" t="s">
        <v>96</v>
      </c>
      <c r="N9" s="97" t="s">
        <v>97</v>
      </c>
      <c r="O9" s="97" t="s">
        <v>98</v>
      </c>
    </row>
    <row r="10" customFormat="false" ht="14.25" hidden="false" customHeight="false" outlineLevel="0" collapsed="false">
      <c r="B10" s="92" t="n">
        <v>1</v>
      </c>
      <c r="C10" s="98" t="s">
        <v>47</v>
      </c>
      <c r="D10" s="98" t="n">
        <v>3201</v>
      </c>
      <c r="E10" s="98" t="n">
        <v>221</v>
      </c>
      <c r="F10" s="98" t="n">
        <v>8</v>
      </c>
      <c r="G10" s="99" t="n">
        <f aca="false">F10/D10*100</f>
        <v>0.249921899406435</v>
      </c>
      <c r="H10" s="98" t="n">
        <v>8</v>
      </c>
      <c r="I10" s="99" t="n">
        <f aca="false">H10/D10*100</f>
        <v>0.249921899406435</v>
      </c>
      <c r="J10" s="98" t="n">
        <v>8</v>
      </c>
      <c r="K10" s="99" t="n">
        <f aca="false">J10/E10*100</f>
        <v>3.61990950226244</v>
      </c>
      <c r="L10" s="98" t="n">
        <v>0</v>
      </c>
      <c r="M10" s="98" t="n">
        <v>0</v>
      </c>
      <c r="N10" s="98" t="n">
        <v>1</v>
      </c>
      <c r="O10" s="98" t="s">
        <v>99</v>
      </c>
    </row>
    <row r="11" customFormat="false" ht="14.25" hidden="false" customHeight="false" outlineLevel="0" collapsed="false">
      <c r="B11" s="92" t="n">
        <v>2</v>
      </c>
      <c r="C11" s="98" t="s">
        <v>48</v>
      </c>
      <c r="D11" s="98" t="n">
        <v>1153</v>
      </c>
      <c r="E11" s="98" t="n">
        <v>79</v>
      </c>
      <c r="F11" s="98" t="n">
        <v>9</v>
      </c>
      <c r="G11" s="100" t="n">
        <f aca="false">F11/D11*100</f>
        <v>0.780572419774501</v>
      </c>
      <c r="H11" s="98" t="n">
        <v>9</v>
      </c>
      <c r="I11" s="99" t="n">
        <f aca="false">H11/D11*100</f>
        <v>0.780572419774501</v>
      </c>
      <c r="J11" s="98" t="n">
        <v>9</v>
      </c>
      <c r="K11" s="99" t="n">
        <f aca="false">J11/E11*100</f>
        <v>11.3924050632911</v>
      </c>
      <c r="L11" s="98" t="n">
        <v>0</v>
      </c>
      <c r="M11" s="98" t="n">
        <v>0</v>
      </c>
      <c r="N11" s="98" t="n">
        <v>0</v>
      </c>
      <c r="O11" s="98" t="s">
        <v>99</v>
      </c>
    </row>
    <row r="12" customFormat="false" ht="14.25" hidden="false" customHeight="false" outlineLevel="0" collapsed="false">
      <c r="B12" s="92" t="n">
        <v>3</v>
      </c>
      <c r="C12" s="98" t="s">
        <v>49</v>
      </c>
      <c r="D12" s="98" t="n">
        <v>2093</v>
      </c>
      <c r="E12" s="98" t="n">
        <v>147</v>
      </c>
      <c r="F12" s="98" t="n">
        <v>6</v>
      </c>
      <c r="G12" s="99" t="n">
        <f aca="false">F12/D12*100</f>
        <v>0.286669851887243</v>
      </c>
      <c r="H12" s="98" t="n">
        <v>6</v>
      </c>
      <c r="I12" s="99" t="n">
        <f aca="false">H12/D12*100</f>
        <v>0.286669851887243</v>
      </c>
      <c r="J12" s="98" t="n">
        <v>6</v>
      </c>
      <c r="K12" s="99" t="n">
        <f aca="false">J12/E12*100</f>
        <v>4.08163265306123</v>
      </c>
      <c r="L12" s="98" t="n">
        <v>0</v>
      </c>
      <c r="M12" s="98" t="n">
        <v>0</v>
      </c>
      <c r="N12" s="98" t="n">
        <v>0</v>
      </c>
      <c r="O12" s="98" t="s">
        <v>99</v>
      </c>
    </row>
    <row r="13" customFormat="false" ht="14.25" hidden="false" customHeight="false" outlineLevel="0" collapsed="false">
      <c r="B13" s="101" t="n">
        <v>4</v>
      </c>
      <c r="C13" s="102" t="s">
        <v>50</v>
      </c>
      <c r="D13" s="102" t="n">
        <v>1197</v>
      </c>
      <c r="E13" s="102" t="n">
        <v>84</v>
      </c>
      <c r="F13" s="102" t="n">
        <v>0</v>
      </c>
      <c r="G13" s="103" t="n">
        <f aca="false">F13/D13*100</f>
        <v>0</v>
      </c>
      <c r="H13" s="102" t="n">
        <v>0</v>
      </c>
      <c r="I13" s="103" t="n">
        <f aca="false">H13/D13*100</f>
        <v>0</v>
      </c>
      <c r="J13" s="102" t="n">
        <v>0</v>
      </c>
      <c r="K13" s="102" t="n">
        <f aca="false">J13/E13*100</f>
        <v>0</v>
      </c>
      <c r="L13" s="102" t="n">
        <v>0</v>
      </c>
      <c r="M13" s="102" t="n">
        <v>0</v>
      </c>
      <c r="N13" s="102" t="n">
        <v>0</v>
      </c>
      <c r="O13" s="102"/>
    </row>
    <row r="14" customFormat="false" ht="14.25" hidden="false" customHeight="false" outlineLevel="0" collapsed="false">
      <c r="B14" s="92" t="n">
        <v>5</v>
      </c>
      <c r="C14" s="98" t="s">
        <v>51</v>
      </c>
      <c r="D14" s="98" t="n">
        <v>2109</v>
      </c>
      <c r="E14" s="98" t="n">
        <v>155</v>
      </c>
      <c r="F14" s="98" t="n">
        <v>13</v>
      </c>
      <c r="G14" s="99" t="n">
        <f aca="false">F14/D14*100</f>
        <v>0.616405879563774</v>
      </c>
      <c r="H14" s="98" t="n">
        <v>13</v>
      </c>
      <c r="I14" s="99" t="n">
        <f aca="false">H14/D14*100</f>
        <v>0.616405879563774</v>
      </c>
      <c r="J14" s="98" t="n">
        <v>13</v>
      </c>
      <c r="K14" s="99" t="n">
        <f aca="false">J14/E14*100</f>
        <v>8.38709677419355</v>
      </c>
      <c r="L14" s="98" t="n">
        <v>0</v>
      </c>
      <c r="M14" s="98" t="n">
        <v>0</v>
      </c>
      <c r="N14" s="98" t="n">
        <v>0</v>
      </c>
      <c r="O14" s="98" t="s">
        <v>99</v>
      </c>
    </row>
    <row r="15" customFormat="false" ht="14.25" hidden="false" customHeight="false" outlineLevel="0" collapsed="false">
      <c r="B15" s="92" t="n">
        <v>6</v>
      </c>
      <c r="C15" s="98" t="s">
        <v>52</v>
      </c>
      <c r="D15" s="98" t="n">
        <v>7151</v>
      </c>
      <c r="E15" s="98" t="n">
        <v>546</v>
      </c>
      <c r="F15" s="98" t="n">
        <v>27</v>
      </c>
      <c r="G15" s="99" t="n">
        <f aca="false">F15/D15*100</f>
        <v>0.377569570689414</v>
      </c>
      <c r="H15" s="98" t="n">
        <v>27</v>
      </c>
      <c r="I15" s="99" t="n">
        <f aca="false">H15/D15*100</f>
        <v>0.377569570689414</v>
      </c>
      <c r="J15" s="98" t="n">
        <v>27</v>
      </c>
      <c r="K15" s="99" t="n">
        <f aca="false">J15/E15*100</f>
        <v>4.94505494505495</v>
      </c>
      <c r="L15" s="98" t="n">
        <v>0</v>
      </c>
      <c r="M15" s="98" t="n">
        <v>0</v>
      </c>
      <c r="N15" s="98" t="n">
        <v>0</v>
      </c>
      <c r="O15" s="98" t="s">
        <v>99</v>
      </c>
    </row>
    <row r="16" customFormat="false" ht="14.25" hidden="false" customHeight="false" outlineLevel="0" collapsed="false">
      <c r="B16" s="92" t="n">
        <v>7</v>
      </c>
      <c r="C16" s="98" t="s">
        <v>53</v>
      </c>
      <c r="D16" s="98" t="n">
        <v>1340</v>
      </c>
      <c r="E16" s="98" t="n">
        <v>96</v>
      </c>
      <c r="F16" s="98" t="n">
        <v>20</v>
      </c>
      <c r="G16" s="99" t="n">
        <f aca="false">F16/D16*100</f>
        <v>1.49253731343284</v>
      </c>
      <c r="H16" s="98" t="n">
        <v>20</v>
      </c>
      <c r="I16" s="99" t="n">
        <f aca="false">H16/D16*100</f>
        <v>1.49253731343284</v>
      </c>
      <c r="J16" s="98" t="n">
        <v>20</v>
      </c>
      <c r="K16" s="99" t="n">
        <f aca="false">J16/E16*100</f>
        <v>20.8333333333333</v>
      </c>
      <c r="L16" s="98" t="n">
        <v>0</v>
      </c>
      <c r="M16" s="98" t="n">
        <v>0</v>
      </c>
      <c r="N16" s="98" t="n">
        <v>1</v>
      </c>
      <c r="O16" s="98" t="s">
        <v>99</v>
      </c>
    </row>
    <row r="17" customFormat="false" ht="14.25" hidden="false" customHeight="false" outlineLevel="0" collapsed="false">
      <c r="B17" s="92" t="n">
        <v>8</v>
      </c>
      <c r="C17" s="98" t="s">
        <v>54</v>
      </c>
      <c r="D17" s="98" t="n">
        <v>3463</v>
      </c>
      <c r="E17" s="98" t="n">
        <v>243</v>
      </c>
      <c r="F17" s="98" t="n">
        <v>34</v>
      </c>
      <c r="G17" s="100" t="n">
        <f aca="false">F17/D17*100</f>
        <v>0.981807681201271</v>
      </c>
      <c r="H17" s="98" t="n">
        <v>34</v>
      </c>
      <c r="I17" s="99" t="n">
        <f aca="false">H17/D17*100</f>
        <v>0.981807681201271</v>
      </c>
      <c r="J17" s="98" t="n">
        <v>34</v>
      </c>
      <c r="K17" s="99" t="n">
        <f aca="false">J17/E17*100</f>
        <v>13.9917695473251</v>
      </c>
      <c r="L17" s="98" t="n">
        <v>0</v>
      </c>
      <c r="M17" s="98" t="n">
        <v>0</v>
      </c>
      <c r="N17" s="98" t="n">
        <v>1</v>
      </c>
      <c r="O17" s="98" t="s">
        <v>99</v>
      </c>
    </row>
    <row r="18" customFormat="false" ht="14.25" hidden="false" customHeight="false" outlineLevel="0" collapsed="false">
      <c r="B18" s="92" t="n">
        <v>9</v>
      </c>
      <c r="C18" s="98" t="s">
        <v>55</v>
      </c>
      <c r="D18" s="98" t="n">
        <v>2436</v>
      </c>
      <c r="E18" s="98" t="n">
        <v>170</v>
      </c>
      <c r="F18" s="98" t="n">
        <v>22</v>
      </c>
      <c r="G18" s="99" t="n">
        <f aca="false">F18/D18*100</f>
        <v>0.90311986863711</v>
      </c>
      <c r="H18" s="98" t="n">
        <v>22</v>
      </c>
      <c r="I18" s="99" t="n">
        <f aca="false">H18/D18*100</f>
        <v>0.90311986863711</v>
      </c>
      <c r="J18" s="98" t="n">
        <v>22</v>
      </c>
      <c r="K18" s="99" t="n">
        <f aca="false">J18/E18*100</f>
        <v>12.9411764705882</v>
      </c>
      <c r="L18" s="98" t="n">
        <v>0</v>
      </c>
      <c r="M18" s="98" t="n">
        <v>0</v>
      </c>
      <c r="N18" s="98" t="n">
        <v>1</v>
      </c>
      <c r="O18" s="98" t="s">
        <v>99</v>
      </c>
    </row>
    <row r="19" customFormat="false" ht="14.25" hidden="false" customHeight="false" outlineLevel="0" collapsed="false">
      <c r="B19" s="92" t="n">
        <v>10</v>
      </c>
      <c r="C19" s="98" t="s">
        <v>56</v>
      </c>
      <c r="D19" s="98" t="n">
        <v>5120</v>
      </c>
      <c r="E19" s="98" t="n">
        <v>368</v>
      </c>
      <c r="F19" s="98" t="n">
        <v>23</v>
      </c>
      <c r="G19" s="100" t="n">
        <f aca="false">F19/D19*100</f>
        <v>0.44921875</v>
      </c>
      <c r="H19" s="98" t="n">
        <v>23</v>
      </c>
      <c r="I19" s="99" t="n">
        <f aca="false">H19/D19*100</f>
        <v>0.44921875</v>
      </c>
      <c r="J19" s="98" t="n">
        <v>23</v>
      </c>
      <c r="K19" s="99" t="n">
        <f aca="false">J19/E19*100</f>
        <v>6.25</v>
      </c>
      <c r="L19" s="98" t="n">
        <v>1</v>
      </c>
      <c r="M19" s="98" t="n">
        <v>0</v>
      </c>
      <c r="N19" s="98" t="n">
        <v>2</v>
      </c>
      <c r="O19" s="98"/>
    </row>
    <row r="20" customFormat="false" ht="14.25" hidden="false" customHeight="false" outlineLevel="0" collapsed="false">
      <c r="B20" s="92" t="n">
        <v>11</v>
      </c>
      <c r="C20" s="98" t="s">
        <v>57</v>
      </c>
      <c r="D20" s="98" t="n">
        <v>2050</v>
      </c>
      <c r="E20" s="98" t="n">
        <v>157</v>
      </c>
      <c r="F20" s="98" t="n">
        <v>41</v>
      </c>
      <c r="G20" s="100" t="n">
        <f aca="false">F20/D20*100</f>
        <v>2</v>
      </c>
      <c r="H20" s="98" t="n">
        <v>41</v>
      </c>
      <c r="I20" s="98" t="n">
        <f aca="false">H20/D20*100</f>
        <v>2</v>
      </c>
      <c r="J20" s="98" t="n">
        <v>41</v>
      </c>
      <c r="K20" s="99" t="n">
        <f aca="false">J20/E20*100</f>
        <v>26.1146496815287</v>
      </c>
      <c r="L20" s="98" t="n">
        <v>1</v>
      </c>
      <c r="M20" s="98" t="n">
        <v>0</v>
      </c>
      <c r="N20" s="98" t="n">
        <v>2</v>
      </c>
      <c r="O20" s="98"/>
    </row>
    <row r="21" customFormat="false" ht="14.25" hidden="false" customHeight="false" outlineLevel="0" collapsed="false">
      <c r="B21" s="101" t="n">
        <v>12</v>
      </c>
      <c r="C21" s="102" t="s">
        <v>58</v>
      </c>
      <c r="D21" s="102" t="n">
        <v>866</v>
      </c>
      <c r="E21" s="102" t="n">
        <v>64</v>
      </c>
      <c r="F21" s="102" t="n">
        <v>0</v>
      </c>
      <c r="G21" s="104" t="n">
        <f aca="false">F21/D21*100</f>
        <v>0</v>
      </c>
      <c r="H21" s="102" t="n">
        <v>0</v>
      </c>
      <c r="I21" s="102" t="n">
        <f aca="false">H21/D21*100</f>
        <v>0</v>
      </c>
      <c r="J21" s="102" t="n">
        <v>0</v>
      </c>
      <c r="K21" s="102" t="n">
        <f aca="false">J21/E21*100</f>
        <v>0</v>
      </c>
      <c r="L21" s="102" t="n">
        <v>0</v>
      </c>
      <c r="M21" s="102" t="n">
        <v>0</v>
      </c>
      <c r="N21" s="102" t="n">
        <v>0</v>
      </c>
      <c r="O21" s="102"/>
    </row>
    <row r="22" customFormat="false" ht="14.25" hidden="false" customHeight="false" outlineLevel="0" collapsed="false">
      <c r="B22" s="91"/>
      <c r="C22" s="91" t="s">
        <v>59</v>
      </c>
      <c r="D22" s="91" t="n">
        <f aca="false">SUM(D10:D21)</f>
        <v>32179</v>
      </c>
      <c r="E22" s="91" t="n">
        <f aca="false">SUM(E10:E21)</f>
        <v>2330</v>
      </c>
      <c r="F22" s="91" t="n">
        <f aca="false">SUM(F10:F21)</f>
        <v>203</v>
      </c>
      <c r="G22" s="105" t="n">
        <f aca="false">F22/D22*100</f>
        <v>0.630846204046117</v>
      </c>
      <c r="H22" s="91" t="n">
        <f aca="false">SUM(H10:H21)</f>
        <v>203</v>
      </c>
      <c r="I22" s="105" t="n">
        <f aca="false">H22/D22*100</f>
        <v>0.630846204046117</v>
      </c>
      <c r="J22" s="91" t="n">
        <f aca="false">SUM(J10:J21)</f>
        <v>203</v>
      </c>
      <c r="K22" s="105" t="n">
        <f aca="false">J22/E22*100</f>
        <v>8.71244635193133</v>
      </c>
      <c r="L22" s="91" t="n">
        <f aca="false">SUM(L10:L21)</f>
        <v>2</v>
      </c>
      <c r="M22" s="91" t="n">
        <f aca="false">SUM(M10:M21)</f>
        <v>0</v>
      </c>
      <c r="N22" s="91" t="n">
        <f aca="false">SUM(N10:N21)</f>
        <v>8</v>
      </c>
      <c r="O22" s="98"/>
    </row>
  </sheetData>
  <mergeCells count="6">
    <mergeCell ref="B4:N4"/>
    <mergeCell ref="B5:N5"/>
    <mergeCell ref="B8:B9"/>
    <mergeCell ref="C8:C9"/>
    <mergeCell ref="F8:K8"/>
    <mergeCell ref="L8:O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6796875" defaultRowHeight="14.25" zeroHeight="false" outlineLevelRow="0" outlineLevelCol="0"/>
  <cols>
    <col collapsed="false" customWidth="true" hidden="false" outlineLevel="0" max="13" min="13" style="1" width="9.09"/>
  </cols>
  <sheetData>
    <row r="4" customFormat="false" ht="14.25" hidden="false" customHeight="false" outlineLevel="0" collapsed="false">
      <c r="B4" s="106" t="s">
        <v>100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customFormat="false" ht="14.25" hidden="false" customHeight="false" outlineLevel="0" collapsed="false">
      <c r="B5" s="106" t="s">
        <v>101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customFormat="false" ht="14.25" hidden="false" customHeight="false" outlineLevel="0" collapsed="false">
      <c r="B6" s="106" t="s">
        <v>102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8" customFormat="false" ht="14.25" hidden="false" customHeight="true" outlineLevel="0" collapsed="false">
      <c r="B8" s="96" t="s">
        <v>38</v>
      </c>
      <c r="C8" s="96" t="s">
        <v>39</v>
      </c>
      <c r="D8" s="97" t="s">
        <v>103</v>
      </c>
      <c r="E8" s="97" t="s">
        <v>104</v>
      </c>
      <c r="F8" s="96" t="s">
        <v>105</v>
      </c>
      <c r="G8" s="96"/>
      <c r="H8" s="96"/>
      <c r="I8" s="96"/>
      <c r="J8" s="96"/>
      <c r="K8" s="96" t="s">
        <v>106</v>
      </c>
      <c r="L8" s="96"/>
      <c r="M8" s="96"/>
      <c r="N8" s="107" t="s">
        <v>107</v>
      </c>
      <c r="O8" s="107" t="s">
        <v>108</v>
      </c>
      <c r="P8" s="107" t="s">
        <v>109</v>
      </c>
      <c r="Q8" s="107" t="s">
        <v>110</v>
      </c>
    </row>
    <row r="9" customFormat="false" ht="28.5" hidden="false" customHeight="true" outlineLevel="0" collapsed="false">
      <c r="B9" s="96"/>
      <c r="C9" s="96"/>
      <c r="D9" s="96"/>
      <c r="E9" s="96"/>
      <c r="F9" s="108" t="s">
        <v>111</v>
      </c>
      <c r="G9" s="108" t="s">
        <v>112</v>
      </c>
      <c r="H9" s="108" t="s">
        <v>113</v>
      </c>
      <c r="I9" s="108" t="s">
        <v>114</v>
      </c>
      <c r="J9" s="108" t="s">
        <v>115</v>
      </c>
      <c r="K9" s="108" t="s">
        <v>111</v>
      </c>
      <c r="L9" s="108" t="s">
        <v>116</v>
      </c>
      <c r="M9" s="108" t="s">
        <v>117</v>
      </c>
      <c r="N9" s="107"/>
      <c r="O9" s="107"/>
      <c r="P9" s="107"/>
      <c r="Q9" s="107"/>
    </row>
    <row r="10" customFormat="false" ht="14.25" hidden="false" customHeight="false" outlineLevel="0" collapsed="false">
      <c r="B10" s="92" t="n">
        <v>1</v>
      </c>
      <c r="C10" s="98" t="s">
        <v>47</v>
      </c>
      <c r="D10" s="98" t="n">
        <v>8</v>
      </c>
      <c r="E10" s="98" t="n">
        <v>7</v>
      </c>
      <c r="F10" s="98"/>
      <c r="G10" s="98"/>
      <c r="H10" s="98"/>
      <c r="I10" s="98"/>
      <c r="J10" s="98" t="n">
        <v>1</v>
      </c>
      <c r="K10" s="98" t="n">
        <v>8</v>
      </c>
      <c r="L10" s="98" t="n">
        <v>0</v>
      </c>
      <c r="M10" s="98" t="n">
        <v>0</v>
      </c>
      <c r="N10" s="98"/>
      <c r="O10" s="98" t="n">
        <v>1</v>
      </c>
      <c r="P10" s="98"/>
      <c r="Q10" s="98"/>
    </row>
    <row r="11" customFormat="false" ht="14.25" hidden="false" customHeight="false" outlineLevel="0" collapsed="false">
      <c r="B11" s="92" t="n">
        <v>2</v>
      </c>
      <c r="C11" s="98" t="s">
        <v>48</v>
      </c>
      <c r="D11" s="98" t="n">
        <v>9</v>
      </c>
      <c r="E11" s="98" t="n">
        <v>9</v>
      </c>
      <c r="F11" s="98"/>
      <c r="G11" s="98"/>
      <c r="H11" s="98"/>
      <c r="I11" s="98"/>
      <c r="J11" s="98"/>
      <c r="K11" s="98" t="n">
        <v>9</v>
      </c>
      <c r="L11" s="98" t="n">
        <v>0</v>
      </c>
      <c r="M11" s="98" t="n">
        <v>0</v>
      </c>
      <c r="N11" s="98"/>
      <c r="O11" s="98"/>
      <c r="P11" s="98"/>
      <c r="Q11" s="98"/>
    </row>
    <row r="12" customFormat="false" ht="14.25" hidden="false" customHeight="false" outlineLevel="0" collapsed="false">
      <c r="B12" s="92" t="n">
        <v>3</v>
      </c>
      <c r="C12" s="98" t="s">
        <v>49</v>
      </c>
      <c r="D12" s="98" t="n">
        <v>6</v>
      </c>
      <c r="E12" s="98" t="n">
        <v>3</v>
      </c>
      <c r="F12" s="98" t="n">
        <v>3</v>
      </c>
      <c r="G12" s="98"/>
      <c r="H12" s="98"/>
      <c r="I12" s="98"/>
      <c r="J12" s="98"/>
      <c r="K12" s="98" t="n">
        <v>6</v>
      </c>
      <c r="L12" s="98" t="n">
        <v>0</v>
      </c>
      <c r="M12" s="98" t="n">
        <v>0</v>
      </c>
      <c r="N12" s="98"/>
      <c r="O12" s="98"/>
      <c r="P12" s="98"/>
      <c r="Q12" s="98" t="n">
        <v>3</v>
      </c>
    </row>
    <row r="13" customFormat="false" ht="14.25" hidden="false" customHeight="false" outlineLevel="0" collapsed="false">
      <c r="B13" s="101" t="n">
        <v>4</v>
      </c>
      <c r="C13" s="102" t="s">
        <v>50</v>
      </c>
      <c r="D13" s="102" t="n">
        <v>0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4" customFormat="false" ht="14.25" hidden="false" customHeight="false" outlineLevel="0" collapsed="false">
      <c r="B14" s="92" t="n">
        <v>5</v>
      </c>
      <c r="C14" s="98" t="s">
        <v>51</v>
      </c>
      <c r="D14" s="98" t="n">
        <v>13</v>
      </c>
      <c r="E14" s="98" t="n">
        <v>13</v>
      </c>
      <c r="F14" s="98"/>
      <c r="G14" s="98"/>
      <c r="H14" s="98"/>
      <c r="I14" s="98"/>
      <c r="J14" s="98"/>
      <c r="K14" s="98" t="n">
        <v>13</v>
      </c>
      <c r="L14" s="98" t="n">
        <v>0</v>
      </c>
      <c r="M14" s="98" t="n">
        <v>0</v>
      </c>
      <c r="N14" s="98"/>
      <c r="O14" s="98"/>
      <c r="P14" s="98"/>
      <c r="Q14" s="98"/>
    </row>
    <row r="15" customFormat="false" ht="14.25" hidden="false" customHeight="false" outlineLevel="0" collapsed="false">
      <c r="B15" s="92" t="n">
        <v>6</v>
      </c>
      <c r="C15" s="98" t="s">
        <v>52</v>
      </c>
      <c r="D15" s="98" t="n">
        <v>27</v>
      </c>
      <c r="E15" s="98" t="n">
        <v>26</v>
      </c>
      <c r="F15" s="98" t="n">
        <v>1</v>
      </c>
      <c r="G15" s="98"/>
      <c r="H15" s="98"/>
      <c r="I15" s="98"/>
      <c r="J15" s="98"/>
      <c r="K15" s="98" t="n">
        <v>27</v>
      </c>
      <c r="L15" s="98" t="n">
        <v>0</v>
      </c>
      <c r="M15" s="98" t="n">
        <v>0</v>
      </c>
      <c r="N15" s="98"/>
      <c r="O15" s="98"/>
      <c r="P15" s="98"/>
      <c r="Q15" s="98" t="n">
        <v>1</v>
      </c>
    </row>
    <row r="16" customFormat="false" ht="14.25" hidden="false" customHeight="false" outlineLevel="0" collapsed="false">
      <c r="B16" s="92" t="n">
        <v>7</v>
      </c>
      <c r="C16" s="98" t="s">
        <v>53</v>
      </c>
      <c r="D16" s="98" t="n">
        <v>20</v>
      </c>
      <c r="E16" s="98" t="n">
        <v>6</v>
      </c>
      <c r="F16" s="98" t="n">
        <v>13</v>
      </c>
      <c r="G16" s="98"/>
      <c r="H16" s="98"/>
      <c r="I16" s="98"/>
      <c r="J16" s="98" t="n">
        <v>1</v>
      </c>
      <c r="K16" s="98" t="n">
        <v>20</v>
      </c>
      <c r="L16" s="98" t="n">
        <v>0</v>
      </c>
      <c r="M16" s="98" t="n">
        <v>0</v>
      </c>
      <c r="N16" s="98" t="n">
        <v>0</v>
      </c>
      <c r="O16" s="98" t="n">
        <v>1</v>
      </c>
      <c r="P16" s="98" t="n">
        <v>0</v>
      </c>
      <c r="Q16" s="98" t="n">
        <v>13</v>
      </c>
    </row>
    <row r="17" customFormat="false" ht="14.25" hidden="false" customHeight="false" outlineLevel="0" collapsed="false">
      <c r="B17" s="92" t="n">
        <v>8</v>
      </c>
      <c r="C17" s="98" t="s">
        <v>54</v>
      </c>
      <c r="D17" s="98" t="n">
        <v>34</v>
      </c>
      <c r="E17" s="98" t="n">
        <v>16</v>
      </c>
      <c r="F17" s="98" t="n">
        <v>17</v>
      </c>
      <c r="G17" s="98" t="n">
        <v>1</v>
      </c>
      <c r="H17" s="98" t="n">
        <v>0</v>
      </c>
      <c r="I17" s="98" t="n">
        <v>0</v>
      </c>
      <c r="J17" s="98" t="n">
        <v>0</v>
      </c>
      <c r="K17" s="98" t="n">
        <v>34</v>
      </c>
      <c r="L17" s="98" t="n">
        <v>0</v>
      </c>
      <c r="M17" s="98" t="n">
        <v>0</v>
      </c>
      <c r="N17" s="98" t="n">
        <v>0</v>
      </c>
      <c r="O17" s="98" t="n">
        <v>1</v>
      </c>
      <c r="P17" s="98" t="n">
        <v>0</v>
      </c>
      <c r="Q17" s="98" t="n">
        <v>17</v>
      </c>
    </row>
    <row r="18" customFormat="false" ht="14.25" hidden="false" customHeight="false" outlineLevel="0" collapsed="false">
      <c r="B18" s="92" t="n">
        <v>9</v>
      </c>
      <c r="C18" s="98" t="s">
        <v>55</v>
      </c>
      <c r="D18" s="98" t="n">
        <v>22</v>
      </c>
      <c r="E18" s="98" t="n">
        <v>5</v>
      </c>
      <c r="F18" s="98" t="n">
        <v>16</v>
      </c>
      <c r="G18" s="98" t="n">
        <v>0</v>
      </c>
      <c r="H18" s="98" t="n">
        <v>0</v>
      </c>
      <c r="I18" s="98" t="n">
        <v>0</v>
      </c>
      <c r="J18" s="98" t="n">
        <v>1</v>
      </c>
      <c r="K18" s="98" t="n">
        <v>22</v>
      </c>
      <c r="L18" s="98" t="n">
        <v>0</v>
      </c>
      <c r="M18" s="98" t="n">
        <v>0</v>
      </c>
      <c r="N18" s="98" t="n">
        <v>0</v>
      </c>
      <c r="O18" s="98" t="n">
        <v>1</v>
      </c>
      <c r="P18" s="98" t="n">
        <v>0</v>
      </c>
      <c r="Q18" s="98" t="n">
        <v>16</v>
      </c>
    </row>
    <row r="19" customFormat="false" ht="14.25" hidden="false" customHeight="false" outlineLevel="0" collapsed="false">
      <c r="B19" s="92" t="n">
        <v>10</v>
      </c>
      <c r="C19" s="98" t="s">
        <v>56</v>
      </c>
      <c r="D19" s="98" t="n">
        <v>23</v>
      </c>
      <c r="E19" s="98" t="n">
        <v>0</v>
      </c>
      <c r="F19" s="98" t="n">
        <v>21</v>
      </c>
      <c r="G19" s="98" t="n">
        <v>0</v>
      </c>
      <c r="H19" s="98" t="n">
        <v>1</v>
      </c>
      <c r="I19" s="98" t="n">
        <v>0</v>
      </c>
      <c r="J19" s="98" t="n">
        <v>1</v>
      </c>
      <c r="K19" s="98" t="n">
        <v>22</v>
      </c>
      <c r="L19" s="98" t="n">
        <v>1</v>
      </c>
      <c r="M19" s="98" t="n">
        <v>0</v>
      </c>
      <c r="N19" s="98" t="n">
        <v>1</v>
      </c>
      <c r="O19" s="98" t="n">
        <v>1</v>
      </c>
      <c r="P19" s="98" t="n">
        <v>0</v>
      </c>
      <c r="Q19" s="98" t="n">
        <v>21</v>
      </c>
    </row>
    <row r="20" customFormat="false" ht="14.25" hidden="false" customHeight="false" outlineLevel="0" collapsed="false">
      <c r="B20" s="109" t="n">
        <v>11</v>
      </c>
      <c r="C20" s="110" t="s">
        <v>57</v>
      </c>
      <c r="D20" s="110" t="n">
        <v>41</v>
      </c>
      <c r="E20" s="110" t="n">
        <v>0</v>
      </c>
      <c r="F20" s="110" t="n">
        <v>39</v>
      </c>
      <c r="G20" s="110" t="n">
        <v>0</v>
      </c>
      <c r="H20" s="110" t="n">
        <v>0</v>
      </c>
      <c r="I20" s="110" t="n">
        <v>0</v>
      </c>
      <c r="J20" s="110" t="n">
        <v>2</v>
      </c>
      <c r="K20" s="110" t="n">
        <v>58</v>
      </c>
      <c r="L20" s="110" t="n">
        <v>1</v>
      </c>
      <c r="M20" s="110" t="n">
        <v>0</v>
      </c>
      <c r="N20" s="110" t="n">
        <v>0</v>
      </c>
      <c r="O20" s="110" t="n">
        <v>2</v>
      </c>
      <c r="P20" s="110" t="n">
        <v>1</v>
      </c>
      <c r="Q20" s="110" t="n">
        <v>38</v>
      </c>
    </row>
    <row r="21" customFormat="false" ht="14.25" hidden="false" customHeight="false" outlineLevel="0" collapsed="false">
      <c r="B21" s="101" t="n">
        <v>12</v>
      </c>
      <c r="C21" s="102" t="s">
        <v>58</v>
      </c>
      <c r="D21" s="102" t="n">
        <v>0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</row>
    <row r="22" customFormat="false" ht="14.25" hidden="false" customHeight="false" outlineLevel="0" collapsed="false">
      <c r="B22" s="91"/>
      <c r="C22" s="91"/>
      <c r="D22" s="91" t="n">
        <f aca="false">SUM(D10:D21)</f>
        <v>203</v>
      </c>
      <c r="E22" s="91" t="n">
        <f aca="false">SUM(E10:E21)</f>
        <v>85</v>
      </c>
      <c r="F22" s="91" t="n">
        <f aca="false">SUM(F10:F21)</f>
        <v>110</v>
      </c>
      <c r="G22" s="91" t="n">
        <f aca="false">SUM(G10:G21)</f>
        <v>1</v>
      </c>
      <c r="H22" s="91" t="n">
        <f aca="false">SUM(H10:H21)</f>
        <v>1</v>
      </c>
      <c r="I22" s="91" t="n">
        <f aca="false">SUM(I10:I21)</f>
        <v>0</v>
      </c>
      <c r="J22" s="91" t="n">
        <f aca="false">SUM(J10:J21)</f>
        <v>6</v>
      </c>
      <c r="K22" s="91" t="n">
        <f aca="false">SUM(K10:K21)</f>
        <v>219</v>
      </c>
      <c r="L22" s="91" t="n">
        <f aca="false">SUM(L10:L21)</f>
        <v>2</v>
      </c>
      <c r="M22" s="91" t="n">
        <f aca="false">SUM(M10:M21)</f>
        <v>0</v>
      </c>
      <c r="N22" s="91" t="n">
        <f aca="false">SUM(N10:N21)</f>
        <v>1</v>
      </c>
      <c r="O22" s="91" t="n">
        <f aca="false">SUM(O10:O21)</f>
        <v>7</v>
      </c>
      <c r="P22" s="91" t="n">
        <f aca="false">SUM(P10:P21)</f>
        <v>1</v>
      </c>
      <c r="Q22" s="91" t="n">
        <f aca="false">SUM(Q10:Q21)</f>
        <v>109</v>
      </c>
    </row>
  </sheetData>
  <mergeCells count="13">
    <mergeCell ref="B4:Q4"/>
    <mergeCell ref="B5:Q5"/>
    <mergeCell ref="B6:Q6"/>
    <mergeCell ref="B8:B9"/>
    <mergeCell ref="C8:C9"/>
    <mergeCell ref="D8:D9"/>
    <mergeCell ref="E8:E9"/>
    <mergeCell ref="F8:J8"/>
    <mergeCell ref="K8:M8"/>
    <mergeCell ref="N8:N9"/>
    <mergeCell ref="O8:O9"/>
    <mergeCell ref="P8:P9"/>
    <mergeCell ref="Q8:Q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11" width="7.63"/>
    <col collapsed="false" customWidth="true" hidden="false" outlineLevel="0" max="2" min="2" style="68" width="13.91"/>
    <col collapsed="false" customWidth="true" hidden="false" outlineLevel="0" max="3" min="3" style="68" width="16.82"/>
    <col collapsed="false" customWidth="true" hidden="false" outlineLevel="0" max="4" min="4" style="111" width="16.91"/>
    <col collapsed="false" customWidth="true" hidden="false" outlineLevel="0" max="5" min="5" style="68" width="17.82"/>
  </cols>
  <sheetData>
    <row r="2" customFormat="false" ht="28.5" hidden="false" customHeight="true" outlineLevel="0" collapsed="false">
      <c r="A2" s="112" t="s">
        <v>118</v>
      </c>
      <c r="B2" s="112" t="s">
        <v>119</v>
      </c>
      <c r="C2" s="112" t="s">
        <v>120</v>
      </c>
      <c r="D2" s="112" t="s">
        <v>121</v>
      </c>
      <c r="E2" s="112" t="s">
        <v>122</v>
      </c>
    </row>
    <row r="3" customFormat="false" ht="14.25" hidden="false" customHeight="false" outlineLevel="0" collapsed="false">
      <c r="A3" s="113" t="n">
        <v>1</v>
      </c>
      <c r="B3" s="113" t="s">
        <v>123</v>
      </c>
      <c r="C3" s="113" t="s">
        <v>47</v>
      </c>
      <c r="D3" s="113" t="s">
        <v>124</v>
      </c>
      <c r="E3" s="113" t="s">
        <v>125</v>
      </c>
    </row>
    <row r="4" customFormat="false" ht="14.25" hidden="false" customHeight="false" outlineLevel="0" collapsed="false">
      <c r="A4" s="113" t="n">
        <v>2</v>
      </c>
      <c r="B4" s="113" t="s">
        <v>126</v>
      </c>
      <c r="C4" s="113" t="s">
        <v>48</v>
      </c>
      <c r="D4" s="113" t="s">
        <v>127</v>
      </c>
      <c r="E4" s="113" t="s">
        <v>125</v>
      </c>
    </row>
    <row r="5" customFormat="false" ht="14.25" hidden="false" customHeight="false" outlineLevel="0" collapsed="false">
      <c r="A5" s="113" t="n">
        <v>3</v>
      </c>
      <c r="B5" s="113" t="s">
        <v>128</v>
      </c>
      <c r="C5" s="113" t="s">
        <v>49</v>
      </c>
      <c r="D5" s="113" t="s">
        <v>129</v>
      </c>
      <c r="E5" s="113" t="s">
        <v>125</v>
      </c>
    </row>
    <row r="6" customFormat="false" ht="14.25" hidden="false" customHeight="false" outlineLevel="0" collapsed="false">
      <c r="A6" s="113" t="n">
        <v>4</v>
      </c>
      <c r="B6" s="113" t="s">
        <v>130</v>
      </c>
      <c r="C6" s="114" t="s">
        <v>50</v>
      </c>
      <c r="D6" s="115" t="s">
        <v>129</v>
      </c>
      <c r="E6" s="113" t="s">
        <v>125</v>
      </c>
    </row>
    <row r="7" customFormat="false" ht="14.25" hidden="false" customHeight="false" outlineLevel="0" collapsed="false">
      <c r="A7" s="113" t="n">
        <v>5</v>
      </c>
      <c r="B7" s="113" t="s">
        <v>131</v>
      </c>
      <c r="C7" s="114" t="s">
        <v>51</v>
      </c>
      <c r="D7" s="115" t="s">
        <v>132</v>
      </c>
      <c r="E7" s="113" t="s">
        <v>125</v>
      </c>
    </row>
    <row r="8" customFormat="false" ht="14.25" hidden="false" customHeight="false" outlineLevel="0" collapsed="false">
      <c r="A8" s="113" t="n">
        <v>6</v>
      </c>
      <c r="B8" s="113" t="s">
        <v>133</v>
      </c>
      <c r="C8" s="114" t="s">
        <v>52</v>
      </c>
      <c r="D8" s="115" t="s">
        <v>134</v>
      </c>
      <c r="E8" s="113" t="s">
        <v>125</v>
      </c>
    </row>
    <row r="9" customFormat="false" ht="14.25" hidden="false" customHeight="false" outlineLevel="0" collapsed="false">
      <c r="A9" s="113" t="n">
        <v>7</v>
      </c>
      <c r="B9" s="113" t="s">
        <v>135</v>
      </c>
      <c r="C9" s="114" t="s">
        <v>53</v>
      </c>
      <c r="D9" s="115" t="s">
        <v>136</v>
      </c>
      <c r="E9" s="113" t="s">
        <v>125</v>
      </c>
    </row>
    <row r="10" customFormat="false" ht="14.25" hidden="false" customHeight="false" outlineLevel="0" collapsed="false">
      <c r="A10" s="113" t="n">
        <v>8</v>
      </c>
      <c r="B10" s="113" t="s">
        <v>137</v>
      </c>
      <c r="C10" s="114" t="s">
        <v>54</v>
      </c>
      <c r="D10" s="115" t="s">
        <v>138</v>
      </c>
      <c r="E10" s="113" t="s">
        <v>125</v>
      </c>
    </row>
    <row r="11" customFormat="false" ht="14.25" hidden="false" customHeight="false" outlineLevel="0" collapsed="false">
      <c r="A11" s="113" t="n">
        <v>9</v>
      </c>
      <c r="B11" s="113" t="s">
        <v>139</v>
      </c>
      <c r="C11" s="114" t="s">
        <v>55</v>
      </c>
      <c r="D11" s="115" t="s">
        <v>140</v>
      </c>
      <c r="E11" s="113" t="s">
        <v>125</v>
      </c>
    </row>
    <row r="12" customFormat="false" ht="14.25" hidden="false" customHeight="false" outlineLevel="0" collapsed="false">
      <c r="A12" s="113" t="n">
        <v>10</v>
      </c>
      <c r="B12" s="113" t="s">
        <v>141</v>
      </c>
      <c r="C12" s="114" t="s">
        <v>56</v>
      </c>
      <c r="D12" s="115" t="s">
        <v>142</v>
      </c>
      <c r="E12" s="113" t="s">
        <v>125</v>
      </c>
    </row>
    <row r="13" customFormat="false" ht="14.25" hidden="false" customHeight="false" outlineLevel="0" collapsed="false">
      <c r="A13" s="113" t="n">
        <v>11</v>
      </c>
      <c r="B13" s="113" t="s">
        <v>143</v>
      </c>
      <c r="C13" s="114" t="s">
        <v>57</v>
      </c>
      <c r="D13" s="115" t="s">
        <v>144</v>
      </c>
      <c r="E13" s="113" t="s">
        <v>125</v>
      </c>
    </row>
    <row r="14" customFormat="false" ht="14.25" hidden="false" customHeight="false" outlineLevel="0" collapsed="false">
      <c r="A14" s="113" t="n">
        <v>12</v>
      </c>
      <c r="B14" s="113" t="s">
        <v>145</v>
      </c>
      <c r="C14" s="114" t="s">
        <v>58</v>
      </c>
      <c r="D14" s="115" t="s">
        <v>146</v>
      </c>
      <c r="E14" s="113" t="s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4.25" zeroHeight="false" outlineLevelRow="0" outlineLevelCol="0"/>
  <cols>
    <col collapsed="false" customWidth="false" hidden="false" outlineLevel="0" max="1" min="1" style="68" width="8.73"/>
    <col collapsed="false" customWidth="true" hidden="false" outlineLevel="0" max="2" min="2" style="68" width="13.45"/>
    <col collapsed="false" customWidth="true" hidden="false" outlineLevel="0" max="3" min="3" style="68" width="22.63"/>
    <col collapsed="false" customWidth="true" hidden="false" outlineLevel="0" max="4" min="4" style="68" width="15.18"/>
  </cols>
  <sheetData>
    <row r="2" customFormat="false" ht="14.25" hidden="false" customHeight="false" outlineLevel="0" collapsed="false">
      <c r="A2" s="112" t="s">
        <v>118</v>
      </c>
      <c r="B2" s="112" t="s">
        <v>147</v>
      </c>
      <c r="C2" s="112" t="s">
        <v>148</v>
      </c>
      <c r="D2" s="112" t="s">
        <v>149</v>
      </c>
    </row>
    <row r="3" customFormat="false" ht="14.25" hidden="false" customHeight="false" outlineLevel="0" collapsed="false">
      <c r="A3" s="113" t="n">
        <v>1</v>
      </c>
      <c r="B3" s="113" t="s">
        <v>150</v>
      </c>
      <c r="C3" s="113" t="s">
        <v>151</v>
      </c>
      <c r="D3" s="113" t="s">
        <v>152</v>
      </c>
    </row>
    <row r="4" customFormat="false" ht="14.25" hidden="false" customHeight="false" outlineLevel="0" collapsed="false">
      <c r="A4" s="113" t="n">
        <v>2</v>
      </c>
      <c r="B4" s="113" t="s">
        <v>10</v>
      </c>
      <c r="C4" s="113" t="s">
        <v>153</v>
      </c>
      <c r="D4" s="113" t="s">
        <v>152</v>
      </c>
    </row>
    <row r="5" customFormat="false" ht="14.25" hidden="false" customHeight="false" outlineLevel="0" collapsed="false">
      <c r="A5" s="113" t="n">
        <v>3</v>
      </c>
      <c r="B5" s="113" t="s">
        <v>11</v>
      </c>
      <c r="C5" s="113" t="s">
        <v>154</v>
      </c>
      <c r="D5" s="113" t="s">
        <v>152</v>
      </c>
    </row>
    <row r="6" customFormat="false" ht="22.5" hidden="false" customHeight="true" outlineLevel="0" collapsed="false">
      <c r="A6" s="113" t="n">
        <v>4</v>
      </c>
      <c r="B6" s="113" t="s">
        <v>155</v>
      </c>
      <c r="C6" s="113" t="s">
        <v>156</v>
      </c>
      <c r="D6" s="113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5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3" activeCellId="0" sqref="C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11" width="7.73"/>
    <col collapsed="false" customWidth="true" hidden="false" outlineLevel="0" max="2" min="2" style="111" width="18.45"/>
    <col collapsed="false" customWidth="true" hidden="false" outlineLevel="0" max="3" min="3" style="111" width="26.91"/>
    <col collapsed="false" customWidth="true" hidden="false" outlineLevel="0" max="4" min="4" style="111" width="15.73"/>
    <col collapsed="false" customWidth="true" hidden="false" outlineLevel="0" max="5" min="5" style="111" width="19.09"/>
  </cols>
  <sheetData>
    <row r="2" customFormat="false" ht="14.25" hidden="false" customHeight="false" outlineLevel="0" collapsed="false">
      <c r="A2" s="112" t="s">
        <v>157</v>
      </c>
      <c r="B2" s="112" t="s">
        <v>158</v>
      </c>
      <c r="C2" s="112" t="s">
        <v>159</v>
      </c>
      <c r="D2" s="112" t="s">
        <v>160</v>
      </c>
      <c r="E2" s="112" t="s">
        <v>161</v>
      </c>
    </row>
    <row r="3" customFormat="false" ht="14.25" hidden="false" customHeight="false" outlineLevel="0" collapsed="false">
      <c r="A3" s="113" t="n">
        <v>2026</v>
      </c>
      <c r="B3" s="113" t="s">
        <v>47</v>
      </c>
      <c r="C3" s="116" t="s">
        <v>151</v>
      </c>
      <c r="D3" s="116" t="n">
        <v>8998</v>
      </c>
      <c r="E3" s="117" t="n">
        <f aca="false">D3/12</f>
        <v>749.833333333333</v>
      </c>
    </row>
    <row r="4" customFormat="false" ht="14.25" hidden="false" customHeight="false" outlineLevel="0" collapsed="false">
      <c r="A4" s="113" t="n">
        <v>2026</v>
      </c>
      <c r="B4" s="113" t="s">
        <v>47</v>
      </c>
      <c r="C4" s="118" t="s">
        <v>153</v>
      </c>
      <c r="D4" s="118" t="n">
        <v>444</v>
      </c>
      <c r="E4" s="119" t="n">
        <f aca="false">D4/12</f>
        <v>37</v>
      </c>
    </row>
    <row r="5" customFormat="false" ht="14.25" hidden="false" customHeight="false" outlineLevel="0" collapsed="false">
      <c r="A5" s="113" t="n">
        <v>2026</v>
      </c>
      <c r="B5" s="113" t="s">
        <v>47</v>
      </c>
      <c r="C5" s="120" t="s">
        <v>154</v>
      </c>
      <c r="D5" s="120" t="n">
        <v>111</v>
      </c>
      <c r="E5" s="121" t="n">
        <f aca="false">D5/12</f>
        <v>9.25</v>
      </c>
    </row>
    <row r="6" customFormat="false" ht="13.5" hidden="false" customHeight="true" outlineLevel="0" collapsed="false">
      <c r="A6" s="113" t="n">
        <v>2026</v>
      </c>
      <c r="B6" s="115" t="s">
        <v>47</v>
      </c>
      <c r="C6" s="122" t="s">
        <v>156</v>
      </c>
      <c r="D6" s="123" t="n">
        <v>221</v>
      </c>
      <c r="E6" s="124" t="n">
        <f aca="false">D6/12</f>
        <v>18.4166666666667</v>
      </c>
    </row>
    <row r="7" customFormat="false" ht="14.25" hidden="false" customHeight="false" outlineLevel="0" collapsed="false">
      <c r="A7" s="113" t="n">
        <v>2026</v>
      </c>
      <c r="B7" s="115" t="s">
        <v>48</v>
      </c>
      <c r="C7" s="116" t="s">
        <v>151</v>
      </c>
      <c r="D7" s="125" t="n">
        <v>3234</v>
      </c>
      <c r="E7" s="117" t="n">
        <f aca="false">D7/12</f>
        <v>269.5</v>
      </c>
    </row>
    <row r="8" customFormat="false" ht="14.25" hidden="false" customHeight="false" outlineLevel="0" collapsed="false">
      <c r="A8" s="113" t="n">
        <v>2026</v>
      </c>
      <c r="B8" s="115" t="s">
        <v>48</v>
      </c>
      <c r="C8" s="118" t="s">
        <v>153</v>
      </c>
      <c r="D8" s="126" t="n">
        <v>160</v>
      </c>
      <c r="E8" s="119" t="n">
        <f aca="false">D8/12</f>
        <v>13.3333333333333</v>
      </c>
    </row>
    <row r="9" customFormat="false" ht="14.25" hidden="false" customHeight="false" outlineLevel="0" collapsed="false">
      <c r="A9" s="113" t="n">
        <v>2026</v>
      </c>
      <c r="B9" s="115" t="s">
        <v>48</v>
      </c>
      <c r="C9" s="120" t="s">
        <v>154</v>
      </c>
      <c r="D9" s="127" t="n">
        <v>40</v>
      </c>
      <c r="E9" s="121" t="n">
        <f aca="false">D9/12</f>
        <v>3.33333333333333</v>
      </c>
    </row>
    <row r="10" customFormat="false" ht="14.25" hidden="false" customHeight="false" outlineLevel="0" collapsed="false">
      <c r="A10" s="113" t="n">
        <v>2026</v>
      </c>
      <c r="B10" s="115" t="s">
        <v>48</v>
      </c>
      <c r="C10" s="122" t="s">
        <v>156</v>
      </c>
      <c r="D10" s="123" t="n">
        <v>79</v>
      </c>
      <c r="E10" s="124" t="n">
        <f aca="false">D10/12</f>
        <v>6.58333333333333</v>
      </c>
    </row>
    <row r="11" customFormat="false" ht="14.25" hidden="false" customHeight="false" outlineLevel="0" collapsed="false">
      <c r="A11" s="113" t="n">
        <v>2026</v>
      </c>
      <c r="B11" s="113" t="s">
        <v>49</v>
      </c>
      <c r="C11" s="116" t="s">
        <v>151</v>
      </c>
      <c r="D11" s="125" t="n">
        <v>5429</v>
      </c>
      <c r="E11" s="117" t="n">
        <f aca="false">D11/12</f>
        <v>452.416666666667</v>
      </c>
    </row>
    <row r="12" customFormat="false" ht="14.25" hidden="false" customHeight="false" outlineLevel="0" collapsed="false">
      <c r="A12" s="113" t="n">
        <v>2026</v>
      </c>
      <c r="B12" s="113" t="s">
        <v>49</v>
      </c>
      <c r="C12" s="118" t="s">
        <v>153</v>
      </c>
      <c r="D12" s="126" t="n">
        <v>271</v>
      </c>
      <c r="E12" s="119" t="n">
        <f aca="false">D12/12</f>
        <v>22.5833333333333</v>
      </c>
    </row>
    <row r="13" customFormat="false" ht="14.25" hidden="false" customHeight="false" outlineLevel="0" collapsed="false">
      <c r="A13" s="113" t="n">
        <v>2026</v>
      </c>
      <c r="B13" s="113" t="s">
        <v>49</v>
      </c>
      <c r="C13" s="120" t="s">
        <v>154</v>
      </c>
      <c r="D13" s="127" t="n">
        <v>67</v>
      </c>
      <c r="E13" s="121" t="n">
        <f aca="false">D13/12</f>
        <v>5.58333333333333</v>
      </c>
    </row>
    <row r="14" customFormat="false" ht="14.25" hidden="false" customHeight="false" outlineLevel="0" collapsed="false">
      <c r="A14" s="113" t="n">
        <v>2026</v>
      </c>
      <c r="B14" s="113" t="s">
        <v>49</v>
      </c>
      <c r="C14" s="122" t="s">
        <v>156</v>
      </c>
      <c r="D14" s="123" t="n">
        <v>147</v>
      </c>
      <c r="E14" s="124" t="n">
        <f aca="false">D14/12</f>
        <v>12.25</v>
      </c>
    </row>
    <row r="15" customFormat="false" ht="14.25" hidden="false" customHeight="false" outlineLevel="0" collapsed="false">
      <c r="A15" s="113" t="n">
        <v>2026</v>
      </c>
      <c r="B15" s="114" t="s">
        <v>50</v>
      </c>
      <c r="C15" s="116" t="s">
        <v>151</v>
      </c>
      <c r="D15" s="125" t="n">
        <v>3480</v>
      </c>
      <c r="E15" s="117" t="n">
        <f aca="false">D15/12</f>
        <v>290</v>
      </c>
    </row>
    <row r="16" customFormat="false" ht="14.25" hidden="false" customHeight="false" outlineLevel="0" collapsed="false">
      <c r="A16" s="113" t="n">
        <v>2026</v>
      </c>
      <c r="B16" s="114" t="s">
        <v>50</v>
      </c>
      <c r="C16" s="118" t="s">
        <v>153</v>
      </c>
      <c r="D16" s="126" t="n">
        <v>170</v>
      </c>
      <c r="E16" s="119" t="n">
        <f aca="false">D16/12</f>
        <v>14.1666666666667</v>
      </c>
    </row>
    <row r="17" customFormat="false" ht="14.25" hidden="false" customHeight="false" outlineLevel="0" collapsed="false">
      <c r="A17" s="113" t="n">
        <v>2026</v>
      </c>
      <c r="B17" s="114" t="s">
        <v>50</v>
      </c>
      <c r="C17" s="120" t="s">
        <v>154</v>
      </c>
      <c r="D17" s="127" t="n">
        <v>43</v>
      </c>
      <c r="E17" s="121" t="n">
        <f aca="false">D17/12</f>
        <v>3.58333333333333</v>
      </c>
    </row>
    <row r="18" customFormat="false" ht="14.25" hidden="false" customHeight="false" outlineLevel="0" collapsed="false">
      <c r="A18" s="113" t="n">
        <v>2026</v>
      </c>
      <c r="B18" s="114" t="s">
        <v>50</v>
      </c>
      <c r="C18" s="122" t="s">
        <v>156</v>
      </c>
      <c r="D18" s="123" t="n">
        <v>84</v>
      </c>
      <c r="E18" s="124" t="n">
        <f aca="false">D18/12</f>
        <v>7</v>
      </c>
    </row>
    <row r="19" customFormat="false" ht="14.25" hidden="false" customHeight="false" outlineLevel="0" collapsed="false">
      <c r="A19" s="113" t="n">
        <v>2026</v>
      </c>
      <c r="B19" s="114" t="s">
        <v>51</v>
      </c>
      <c r="C19" s="116" t="s">
        <v>151</v>
      </c>
      <c r="D19" s="125" t="n">
        <v>5856</v>
      </c>
      <c r="E19" s="117" t="n">
        <f aca="false">D19/12</f>
        <v>488</v>
      </c>
    </row>
    <row r="20" customFormat="false" ht="14.25" hidden="false" customHeight="false" outlineLevel="0" collapsed="false">
      <c r="A20" s="113" t="n">
        <v>2026</v>
      </c>
      <c r="B20" s="114" t="s">
        <v>51</v>
      </c>
      <c r="C20" s="118" t="s">
        <v>153</v>
      </c>
      <c r="D20" s="126" t="n">
        <v>284</v>
      </c>
      <c r="E20" s="119" t="n">
        <f aca="false">D20/12</f>
        <v>23.6666666666667</v>
      </c>
    </row>
    <row r="21" customFormat="false" ht="14.25" hidden="false" customHeight="false" outlineLevel="0" collapsed="false">
      <c r="A21" s="113" t="n">
        <v>2026</v>
      </c>
      <c r="B21" s="114" t="s">
        <v>51</v>
      </c>
      <c r="C21" s="120" t="s">
        <v>154</v>
      </c>
      <c r="D21" s="127" t="n">
        <v>71</v>
      </c>
      <c r="E21" s="121" t="n">
        <f aca="false">D21/12</f>
        <v>5.91666666666667</v>
      </c>
    </row>
    <row r="22" customFormat="false" ht="14.25" hidden="false" customHeight="false" outlineLevel="0" collapsed="false">
      <c r="A22" s="113" t="n">
        <v>2026</v>
      </c>
      <c r="B22" s="114" t="s">
        <v>51</v>
      </c>
      <c r="C22" s="122" t="s">
        <v>156</v>
      </c>
      <c r="D22" s="123" t="n">
        <v>155</v>
      </c>
      <c r="E22" s="124" t="n">
        <f aca="false">D22/12</f>
        <v>12.9166666666667</v>
      </c>
    </row>
    <row r="23" customFormat="false" ht="14.25" hidden="false" customHeight="false" outlineLevel="0" collapsed="false">
      <c r="A23" s="113" t="n">
        <v>2026</v>
      </c>
      <c r="B23" s="114" t="s">
        <v>52</v>
      </c>
      <c r="C23" s="116" t="s">
        <v>151</v>
      </c>
      <c r="D23" s="125" t="n">
        <v>19105</v>
      </c>
      <c r="E23" s="117" t="n">
        <f aca="false">D23/12</f>
        <v>1592.08333333333</v>
      </c>
    </row>
    <row r="24" customFormat="false" ht="14.25" hidden="false" customHeight="false" outlineLevel="0" collapsed="false">
      <c r="A24" s="113" t="n">
        <v>2026</v>
      </c>
      <c r="B24" s="114" t="s">
        <v>52</v>
      </c>
      <c r="C24" s="118" t="s">
        <v>153</v>
      </c>
      <c r="D24" s="126" t="n">
        <v>909</v>
      </c>
      <c r="E24" s="119" t="n">
        <f aca="false">D24/12</f>
        <v>75.75</v>
      </c>
    </row>
    <row r="25" customFormat="false" ht="14.25" hidden="false" customHeight="false" outlineLevel="0" collapsed="false">
      <c r="A25" s="113" t="n">
        <v>2026</v>
      </c>
      <c r="B25" s="114" t="s">
        <v>52</v>
      </c>
      <c r="C25" s="120" t="s">
        <v>154</v>
      </c>
      <c r="D25" s="127" t="n">
        <v>227</v>
      </c>
      <c r="E25" s="121" t="n">
        <f aca="false">D25/12</f>
        <v>18.9166666666667</v>
      </c>
    </row>
    <row r="26" customFormat="false" ht="14.25" hidden="false" customHeight="false" outlineLevel="0" collapsed="false">
      <c r="A26" s="113" t="n">
        <v>2026</v>
      </c>
      <c r="B26" s="114" t="s">
        <v>52</v>
      </c>
      <c r="C26" s="122" t="s">
        <v>156</v>
      </c>
      <c r="D26" s="123" t="n">
        <v>546</v>
      </c>
      <c r="E26" s="124" t="n">
        <f aca="false">D26/12</f>
        <v>45.5</v>
      </c>
    </row>
    <row r="27" customFormat="false" ht="14.25" hidden="false" customHeight="false" outlineLevel="0" collapsed="false">
      <c r="A27" s="113" t="n">
        <v>2026</v>
      </c>
      <c r="B27" s="115" t="s">
        <v>53</v>
      </c>
      <c r="C27" s="116" t="s">
        <v>151</v>
      </c>
      <c r="D27" s="125" t="n">
        <v>3923</v>
      </c>
      <c r="E27" s="117" t="n">
        <f aca="false">D27/12</f>
        <v>326.916666666667</v>
      </c>
    </row>
    <row r="28" customFormat="false" ht="14.25" hidden="false" customHeight="false" outlineLevel="0" collapsed="false">
      <c r="A28" s="113" t="n">
        <v>2026</v>
      </c>
      <c r="B28" s="115" t="s">
        <v>53</v>
      </c>
      <c r="C28" s="118" t="s">
        <v>153</v>
      </c>
      <c r="D28" s="126" t="n">
        <v>188</v>
      </c>
      <c r="E28" s="119" t="n">
        <f aca="false">D28/12</f>
        <v>15.6666666666667</v>
      </c>
    </row>
    <row r="29" customFormat="false" ht="14.25" hidden="false" customHeight="false" outlineLevel="0" collapsed="false">
      <c r="A29" s="113" t="n">
        <v>2026</v>
      </c>
      <c r="B29" s="115" t="s">
        <v>53</v>
      </c>
      <c r="C29" s="120" t="s">
        <v>154</v>
      </c>
      <c r="D29" s="127" t="n">
        <v>47</v>
      </c>
      <c r="E29" s="121" t="n">
        <f aca="false">D29/12</f>
        <v>3.91666666666667</v>
      </c>
    </row>
    <row r="30" customFormat="false" ht="14.25" hidden="false" customHeight="false" outlineLevel="0" collapsed="false">
      <c r="A30" s="113" t="n">
        <v>2026</v>
      </c>
      <c r="B30" s="115" t="s">
        <v>53</v>
      </c>
      <c r="C30" s="122" t="s">
        <v>156</v>
      </c>
      <c r="D30" s="123" t="n">
        <v>96</v>
      </c>
      <c r="E30" s="124" t="n">
        <f aca="false">D30/12</f>
        <v>8</v>
      </c>
    </row>
    <row r="31" customFormat="false" ht="14.25" hidden="false" customHeight="false" outlineLevel="0" collapsed="false">
      <c r="A31" s="113" t="n">
        <v>2026</v>
      </c>
      <c r="B31" s="115" t="s">
        <v>54</v>
      </c>
      <c r="C31" s="116" t="s">
        <v>151</v>
      </c>
      <c r="D31" s="125" t="n">
        <v>10052</v>
      </c>
      <c r="E31" s="117" t="n">
        <f aca="false">D31/12</f>
        <v>837.666666666667</v>
      </c>
    </row>
    <row r="32" customFormat="false" ht="14.25" hidden="false" customHeight="false" outlineLevel="0" collapsed="false">
      <c r="A32" s="113" t="n">
        <v>2026</v>
      </c>
      <c r="B32" s="115" t="s">
        <v>54</v>
      </c>
      <c r="C32" s="118" t="s">
        <v>153</v>
      </c>
      <c r="D32" s="126" t="n">
        <v>459</v>
      </c>
      <c r="E32" s="119" t="n">
        <f aca="false">D32/12</f>
        <v>38.25</v>
      </c>
    </row>
    <row r="33" customFormat="false" ht="14.25" hidden="false" customHeight="false" outlineLevel="0" collapsed="false">
      <c r="A33" s="113" t="n">
        <v>2026</v>
      </c>
      <c r="B33" s="115" t="s">
        <v>54</v>
      </c>
      <c r="C33" s="120" t="s">
        <v>154</v>
      </c>
      <c r="D33" s="127" t="n">
        <v>115</v>
      </c>
      <c r="E33" s="121" t="n">
        <f aca="false">D33/12</f>
        <v>9.58333333333333</v>
      </c>
    </row>
    <row r="34" customFormat="false" ht="14.25" hidden="false" customHeight="false" outlineLevel="0" collapsed="false">
      <c r="A34" s="113" t="n">
        <v>2026</v>
      </c>
      <c r="B34" s="115" t="s">
        <v>54</v>
      </c>
      <c r="C34" s="122" t="s">
        <v>156</v>
      </c>
      <c r="D34" s="123" t="n">
        <v>243</v>
      </c>
      <c r="E34" s="124" t="n">
        <f aca="false">D34/12</f>
        <v>20.25</v>
      </c>
    </row>
    <row r="35" customFormat="false" ht="14.25" hidden="false" customHeight="false" outlineLevel="0" collapsed="false">
      <c r="A35" s="113" t="n">
        <v>2026</v>
      </c>
      <c r="B35" s="114" t="s">
        <v>55</v>
      </c>
      <c r="C35" s="116" t="s">
        <v>151</v>
      </c>
      <c r="D35" s="125" t="n">
        <v>7502</v>
      </c>
      <c r="E35" s="117" t="n">
        <f aca="false">D35/12</f>
        <v>625.166666666667</v>
      </c>
    </row>
    <row r="36" customFormat="false" ht="14.25" hidden="false" customHeight="false" outlineLevel="0" collapsed="false">
      <c r="A36" s="113" t="n">
        <v>2026</v>
      </c>
      <c r="B36" s="114" t="s">
        <v>55</v>
      </c>
      <c r="C36" s="118" t="s">
        <v>153</v>
      </c>
      <c r="D36" s="126" t="n">
        <v>341</v>
      </c>
      <c r="E36" s="119" t="n">
        <f aca="false">D36/12</f>
        <v>28.4166666666667</v>
      </c>
    </row>
    <row r="37" customFormat="false" ht="14.25" hidden="false" customHeight="false" outlineLevel="0" collapsed="false">
      <c r="A37" s="113" t="n">
        <v>2026</v>
      </c>
      <c r="B37" s="114" t="s">
        <v>55</v>
      </c>
      <c r="C37" s="120" t="s">
        <v>154</v>
      </c>
      <c r="D37" s="127" t="n">
        <v>85</v>
      </c>
      <c r="E37" s="121" t="n">
        <f aca="false">D37/12</f>
        <v>7.08333333333333</v>
      </c>
    </row>
    <row r="38" customFormat="false" ht="14.25" hidden="false" customHeight="false" outlineLevel="0" collapsed="false">
      <c r="A38" s="113" t="n">
        <v>2026</v>
      </c>
      <c r="B38" s="114" t="s">
        <v>55</v>
      </c>
      <c r="C38" s="122" t="s">
        <v>156</v>
      </c>
      <c r="D38" s="123" t="n">
        <v>170</v>
      </c>
      <c r="E38" s="124" t="n">
        <f aca="false">D38/12</f>
        <v>14.1666666666667</v>
      </c>
    </row>
    <row r="39" customFormat="false" ht="14.25" hidden="false" customHeight="false" outlineLevel="0" collapsed="false">
      <c r="A39" s="113" t="n">
        <v>2026</v>
      </c>
      <c r="B39" s="114" t="s">
        <v>56</v>
      </c>
      <c r="C39" s="116" t="s">
        <v>151</v>
      </c>
      <c r="D39" s="125" t="n">
        <v>16392</v>
      </c>
      <c r="E39" s="117" t="n">
        <f aca="false">D39/12</f>
        <v>1366</v>
      </c>
    </row>
    <row r="40" customFormat="false" ht="14.25" hidden="false" customHeight="false" outlineLevel="0" collapsed="false">
      <c r="A40" s="113" t="n">
        <v>2026</v>
      </c>
      <c r="B40" s="114" t="s">
        <v>56</v>
      </c>
      <c r="C40" s="118" t="s">
        <v>153</v>
      </c>
      <c r="D40" s="126" t="n">
        <v>726</v>
      </c>
      <c r="E40" s="119" t="n">
        <f aca="false">D40/12</f>
        <v>60.5</v>
      </c>
    </row>
    <row r="41" customFormat="false" ht="14.25" hidden="false" customHeight="false" outlineLevel="0" collapsed="false">
      <c r="A41" s="113" t="n">
        <v>2026</v>
      </c>
      <c r="B41" s="114" t="s">
        <v>56</v>
      </c>
      <c r="C41" s="120" t="s">
        <v>154</v>
      </c>
      <c r="D41" s="127" t="n">
        <v>182</v>
      </c>
      <c r="E41" s="121" t="n">
        <f aca="false">D41/12</f>
        <v>15.1666666666667</v>
      </c>
    </row>
    <row r="42" customFormat="false" ht="14.25" hidden="false" customHeight="false" outlineLevel="0" collapsed="false">
      <c r="A42" s="113" t="n">
        <v>2026</v>
      </c>
      <c r="B42" s="114" t="s">
        <v>56</v>
      </c>
      <c r="C42" s="122" t="s">
        <v>156</v>
      </c>
      <c r="D42" s="123" t="n">
        <v>368</v>
      </c>
      <c r="E42" s="124" t="n">
        <f aca="false">D42/12</f>
        <v>30.6666666666667</v>
      </c>
    </row>
    <row r="43" customFormat="false" ht="14.25" hidden="false" customHeight="false" outlineLevel="0" collapsed="false">
      <c r="A43" s="113" t="n">
        <v>2026</v>
      </c>
      <c r="B43" s="114" t="s">
        <v>57</v>
      </c>
      <c r="C43" s="116" t="s">
        <v>151</v>
      </c>
      <c r="D43" s="125" t="n">
        <v>6154</v>
      </c>
      <c r="E43" s="117" t="n">
        <f aca="false">D43/12</f>
        <v>512.833333333333</v>
      </c>
    </row>
    <row r="44" customFormat="false" ht="14.25" hidden="false" customHeight="false" outlineLevel="0" collapsed="false">
      <c r="A44" s="113" t="n">
        <v>2026</v>
      </c>
      <c r="B44" s="114" t="s">
        <v>57</v>
      </c>
      <c r="C44" s="118" t="s">
        <v>153</v>
      </c>
      <c r="D44" s="126" t="n">
        <v>282</v>
      </c>
      <c r="E44" s="119" t="n">
        <f aca="false">D44/12</f>
        <v>23.5</v>
      </c>
    </row>
    <row r="45" customFormat="false" ht="14.25" hidden="false" customHeight="false" outlineLevel="0" collapsed="false">
      <c r="A45" s="113" t="n">
        <v>2026</v>
      </c>
      <c r="B45" s="114" t="s">
        <v>57</v>
      </c>
      <c r="C45" s="120" t="s">
        <v>154</v>
      </c>
      <c r="D45" s="127" t="n">
        <v>70</v>
      </c>
      <c r="E45" s="121" t="n">
        <f aca="false">D45/12</f>
        <v>5.83333333333333</v>
      </c>
    </row>
    <row r="46" customFormat="false" ht="14.25" hidden="false" customHeight="false" outlineLevel="0" collapsed="false">
      <c r="A46" s="113" t="n">
        <v>2026</v>
      </c>
      <c r="B46" s="114" t="s">
        <v>57</v>
      </c>
      <c r="C46" s="122" t="s">
        <v>156</v>
      </c>
      <c r="D46" s="123" t="n">
        <v>157</v>
      </c>
      <c r="E46" s="124" t="n">
        <f aca="false">D46/12</f>
        <v>13.0833333333333</v>
      </c>
    </row>
    <row r="47" customFormat="false" ht="14.25" hidden="false" customHeight="false" outlineLevel="0" collapsed="false">
      <c r="A47" s="113" t="n">
        <v>2026</v>
      </c>
      <c r="B47" s="114" t="s">
        <v>58</v>
      </c>
      <c r="C47" s="116" t="s">
        <v>151</v>
      </c>
      <c r="D47" s="125" t="n">
        <v>2274</v>
      </c>
      <c r="E47" s="117" t="n">
        <f aca="false">D47/12</f>
        <v>189.5</v>
      </c>
    </row>
    <row r="48" customFormat="false" ht="14.25" hidden="false" customHeight="false" outlineLevel="0" collapsed="false">
      <c r="A48" s="113" t="n">
        <v>2026</v>
      </c>
      <c r="B48" s="114" t="s">
        <v>58</v>
      </c>
      <c r="C48" s="118" t="s">
        <v>153</v>
      </c>
      <c r="D48" s="126" t="n">
        <v>112</v>
      </c>
      <c r="E48" s="119" t="n">
        <f aca="false">D48/12</f>
        <v>9.33333333333333</v>
      </c>
    </row>
    <row r="49" customFormat="false" ht="14.25" hidden="false" customHeight="false" outlineLevel="0" collapsed="false">
      <c r="A49" s="113" t="n">
        <v>2026</v>
      </c>
      <c r="B49" s="114" t="s">
        <v>58</v>
      </c>
      <c r="C49" s="120" t="s">
        <v>154</v>
      </c>
      <c r="D49" s="127" t="n">
        <v>28</v>
      </c>
      <c r="E49" s="121" t="n">
        <f aca="false">D49/12</f>
        <v>2.33333333333333</v>
      </c>
    </row>
    <row r="50" customFormat="false" ht="14.25" hidden="false" customHeight="false" outlineLevel="0" collapsed="false">
      <c r="A50" s="113" t="n">
        <v>2026</v>
      </c>
      <c r="B50" s="114" t="s">
        <v>58</v>
      </c>
      <c r="C50" s="122" t="s">
        <v>156</v>
      </c>
      <c r="D50" s="123" t="n">
        <v>64</v>
      </c>
      <c r="E50" s="124" t="n">
        <f aca="false">D50/12</f>
        <v>5.33333333333333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73046875" defaultRowHeight="14.25" zeroHeight="false" outlineLevelRow="0" outlineLevelCol="0"/>
  <cols>
    <col collapsed="false" customWidth="false" hidden="false" outlineLevel="0" max="3" min="1" style="68" width="8.73"/>
    <col collapsed="false" customWidth="true" hidden="false" outlineLevel="0" max="4" min="4" style="68" width="11.82"/>
    <col collapsed="false" customWidth="true" hidden="false" outlineLevel="0" max="5" min="5" style="68" width="16.63"/>
    <col collapsed="false" customWidth="true" hidden="false" outlineLevel="0" max="6" min="6" style="68" width="18.63"/>
    <col collapsed="false" customWidth="false" hidden="false" outlineLevel="0" max="7" min="7" style="68" width="8.73"/>
    <col collapsed="false" customWidth="true" hidden="false" outlineLevel="0" max="8" min="8" style="68" width="11.54"/>
    <col collapsed="false" customWidth="false" hidden="false" outlineLevel="0" max="16384" min="9" style="68" width="8.73"/>
  </cols>
  <sheetData>
    <row r="2" customFormat="false" ht="14.25" hidden="false" customHeight="false" outlineLevel="0" collapsed="false">
      <c r="B2" s="128" t="s">
        <v>157</v>
      </c>
      <c r="C2" s="128" t="s">
        <v>162</v>
      </c>
      <c r="D2" s="128" t="s">
        <v>158</v>
      </c>
      <c r="E2" s="128" t="s">
        <v>159</v>
      </c>
      <c r="F2" s="128" t="s">
        <v>163</v>
      </c>
    </row>
    <row r="3" customFormat="false" ht="14.25" hidden="false" customHeight="false" outlineLevel="0" collapsed="false">
      <c r="B3" s="68" t="n">
        <v>2026</v>
      </c>
      <c r="C3" s="68" t="s">
        <v>1</v>
      </c>
      <c r="D3" s="68" t="s">
        <v>12</v>
      </c>
      <c r="E3" s="116" t="s">
        <v>151</v>
      </c>
      <c r="F3" s="129" t="n">
        <v>15</v>
      </c>
    </row>
    <row r="4" customFormat="false" ht="14.25" hidden="false" customHeight="false" outlineLevel="0" collapsed="false">
      <c r="B4" s="68" t="n">
        <v>2026</v>
      </c>
      <c r="C4" s="68" t="s">
        <v>1</v>
      </c>
      <c r="D4" s="68" t="s">
        <v>12</v>
      </c>
      <c r="E4" s="118" t="s">
        <v>153</v>
      </c>
      <c r="F4" s="130" t="n">
        <v>0</v>
      </c>
    </row>
    <row r="5" customFormat="false" ht="14.25" hidden="false" customHeight="false" outlineLevel="0" collapsed="false">
      <c r="B5" s="68" t="n">
        <v>2026</v>
      </c>
      <c r="C5" s="68" t="s">
        <v>1</v>
      </c>
      <c r="D5" s="68" t="s">
        <v>12</v>
      </c>
      <c r="E5" s="120" t="s">
        <v>154</v>
      </c>
      <c r="F5" s="129" t="n">
        <v>1</v>
      </c>
    </row>
    <row r="6" customFormat="false" ht="28.5" hidden="false" customHeight="true" outlineLevel="0" collapsed="false">
      <c r="B6" s="68" t="n">
        <v>2026</v>
      </c>
      <c r="C6" s="68" t="s">
        <v>1</v>
      </c>
      <c r="D6" s="68" t="s">
        <v>12</v>
      </c>
      <c r="E6" s="122" t="s">
        <v>156</v>
      </c>
      <c r="F6" s="130" t="n">
        <v>0</v>
      </c>
    </row>
    <row r="7" customFormat="false" ht="14.25" hidden="false" customHeight="false" outlineLevel="0" collapsed="false">
      <c r="B7" s="68" t="n">
        <v>2026</v>
      </c>
      <c r="C7" s="68" t="s">
        <v>1</v>
      </c>
      <c r="D7" s="68" t="s">
        <v>13</v>
      </c>
      <c r="E7" s="116" t="s">
        <v>151</v>
      </c>
      <c r="F7" s="129" t="n">
        <v>58</v>
      </c>
    </row>
    <row r="8" customFormat="false" ht="14.25" hidden="false" customHeight="false" outlineLevel="0" collapsed="false">
      <c r="B8" s="68" t="n">
        <v>2026</v>
      </c>
      <c r="C8" s="68" t="s">
        <v>1</v>
      </c>
      <c r="D8" s="68" t="s">
        <v>13</v>
      </c>
      <c r="E8" s="118" t="s">
        <v>153</v>
      </c>
      <c r="F8" s="130" t="n">
        <v>0</v>
      </c>
    </row>
    <row r="9" customFormat="false" ht="14.25" hidden="false" customHeight="false" outlineLevel="0" collapsed="false">
      <c r="B9" s="68" t="n">
        <v>2026</v>
      </c>
      <c r="C9" s="68" t="s">
        <v>1</v>
      </c>
      <c r="D9" s="68" t="s">
        <v>13</v>
      </c>
      <c r="E9" s="120" t="s">
        <v>154</v>
      </c>
      <c r="F9" s="129" t="n">
        <v>0</v>
      </c>
    </row>
    <row r="10" customFormat="false" ht="28.5" hidden="false" customHeight="true" outlineLevel="0" collapsed="false">
      <c r="B10" s="68" t="n">
        <v>2026</v>
      </c>
      <c r="C10" s="68" t="s">
        <v>1</v>
      </c>
      <c r="D10" s="68" t="s">
        <v>13</v>
      </c>
      <c r="E10" s="122" t="s">
        <v>156</v>
      </c>
      <c r="F10" s="130" t="n">
        <v>0</v>
      </c>
    </row>
    <row r="11" customFormat="false" ht="14.25" hidden="false" customHeight="false" outlineLevel="0" collapsed="false">
      <c r="B11" s="68" t="n">
        <v>2026</v>
      </c>
      <c r="C11" s="68" t="s">
        <v>1</v>
      </c>
      <c r="D11" s="68" t="s">
        <v>14</v>
      </c>
      <c r="E11" s="116" t="s">
        <v>151</v>
      </c>
      <c r="F11" s="129" t="n">
        <v>46</v>
      </c>
    </row>
    <row r="12" customFormat="false" ht="14.25" hidden="false" customHeight="false" outlineLevel="0" collapsed="false">
      <c r="B12" s="68" t="n">
        <v>2026</v>
      </c>
      <c r="C12" s="68" t="s">
        <v>1</v>
      </c>
      <c r="D12" s="68" t="s">
        <v>14</v>
      </c>
      <c r="E12" s="118" t="s">
        <v>153</v>
      </c>
      <c r="F12" s="130" t="n">
        <v>1</v>
      </c>
    </row>
    <row r="13" customFormat="false" ht="14.25" hidden="false" customHeight="false" outlineLevel="0" collapsed="false">
      <c r="B13" s="68" t="n">
        <v>2026</v>
      </c>
      <c r="C13" s="68" t="s">
        <v>1</v>
      </c>
      <c r="D13" s="68" t="s">
        <v>14</v>
      </c>
      <c r="E13" s="120" t="s">
        <v>154</v>
      </c>
      <c r="F13" s="129" t="n">
        <v>0</v>
      </c>
    </row>
    <row r="14" customFormat="false" ht="28.5" hidden="false" customHeight="true" outlineLevel="0" collapsed="false">
      <c r="B14" s="68" t="n">
        <v>2026</v>
      </c>
      <c r="C14" s="68" t="s">
        <v>1</v>
      </c>
      <c r="D14" s="68" t="s">
        <v>14</v>
      </c>
      <c r="E14" s="122" t="s">
        <v>156</v>
      </c>
      <c r="F14" s="130" t="n">
        <v>0</v>
      </c>
    </row>
    <row r="15" customFormat="false" ht="14.25" hidden="false" customHeight="false" outlineLevel="0" collapsed="false">
      <c r="B15" s="68" t="n">
        <v>2026</v>
      </c>
      <c r="C15" s="68" t="s">
        <v>1</v>
      </c>
      <c r="D15" s="68" t="s">
        <v>15</v>
      </c>
      <c r="E15" s="116" t="s">
        <v>151</v>
      </c>
      <c r="F15" s="129" t="n">
        <v>222</v>
      </c>
    </row>
    <row r="16" customFormat="false" ht="14.25" hidden="false" customHeight="false" outlineLevel="0" collapsed="false">
      <c r="B16" s="68" t="n">
        <v>2026</v>
      </c>
      <c r="C16" s="68" t="s">
        <v>1</v>
      </c>
      <c r="D16" s="68" t="s">
        <v>15</v>
      </c>
      <c r="E16" s="118" t="s">
        <v>153</v>
      </c>
      <c r="F16" s="130" t="n">
        <v>21</v>
      </c>
    </row>
    <row r="17" customFormat="false" ht="14.25" hidden="false" customHeight="false" outlineLevel="0" collapsed="false">
      <c r="B17" s="68" t="n">
        <v>2026</v>
      </c>
      <c r="C17" s="68" t="s">
        <v>1</v>
      </c>
      <c r="D17" s="68" t="s">
        <v>15</v>
      </c>
      <c r="E17" s="120" t="s">
        <v>154</v>
      </c>
      <c r="F17" s="129" t="n">
        <v>6</v>
      </c>
    </row>
    <row r="18" customFormat="false" ht="28.5" hidden="false" customHeight="true" outlineLevel="0" collapsed="false">
      <c r="B18" s="68" t="n">
        <v>2026</v>
      </c>
      <c r="C18" s="68" t="s">
        <v>1</v>
      </c>
      <c r="D18" s="68" t="s">
        <v>15</v>
      </c>
      <c r="E18" s="122" t="s">
        <v>156</v>
      </c>
      <c r="F18" s="130" t="n">
        <v>0</v>
      </c>
    </row>
    <row r="19" customFormat="false" ht="14.25" hidden="false" customHeight="false" outlineLevel="0" collapsed="false">
      <c r="B19" s="68" t="n">
        <v>2026</v>
      </c>
      <c r="C19" s="68" t="s">
        <v>1</v>
      </c>
      <c r="D19" s="68" t="s">
        <v>16</v>
      </c>
      <c r="E19" s="116" t="s">
        <v>151</v>
      </c>
      <c r="F19" s="129" t="n">
        <v>295</v>
      </c>
    </row>
    <row r="20" customFormat="false" ht="14.25" hidden="false" customHeight="false" outlineLevel="0" collapsed="false">
      <c r="B20" s="68" t="n">
        <v>2026</v>
      </c>
      <c r="C20" s="68" t="s">
        <v>1</v>
      </c>
      <c r="D20" s="68" t="s">
        <v>16</v>
      </c>
      <c r="E20" s="118" t="s">
        <v>153</v>
      </c>
      <c r="F20" s="130" t="n">
        <v>7</v>
      </c>
    </row>
    <row r="21" customFormat="false" ht="14.25" hidden="false" customHeight="false" outlineLevel="0" collapsed="false">
      <c r="B21" s="68" t="n">
        <v>2026</v>
      </c>
      <c r="C21" s="68" t="s">
        <v>1</v>
      </c>
      <c r="D21" s="68" t="s">
        <v>16</v>
      </c>
      <c r="E21" s="120" t="s">
        <v>154</v>
      </c>
      <c r="F21" s="129" t="n">
        <v>9</v>
      </c>
    </row>
    <row r="22" customFormat="false" ht="28.5" hidden="false" customHeight="true" outlineLevel="0" collapsed="false">
      <c r="B22" s="68" t="n">
        <v>2026</v>
      </c>
      <c r="C22" s="68" t="s">
        <v>1</v>
      </c>
      <c r="D22" s="68" t="s">
        <v>16</v>
      </c>
      <c r="E22" s="122" t="s">
        <v>156</v>
      </c>
      <c r="F22" s="130" t="n">
        <v>0</v>
      </c>
    </row>
    <row r="23" customFormat="false" ht="14.25" hidden="false" customHeight="false" outlineLevel="0" collapsed="false">
      <c r="B23" s="68" t="n">
        <v>2026</v>
      </c>
      <c r="C23" s="68" t="s">
        <v>1</v>
      </c>
      <c r="D23" s="68" t="s">
        <v>17</v>
      </c>
      <c r="E23" s="116" t="s">
        <v>151</v>
      </c>
      <c r="F23" s="129" t="n">
        <v>481</v>
      </c>
    </row>
    <row r="24" customFormat="false" ht="14.25" hidden="false" customHeight="false" outlineLevel="0" collapsed="false">
      <c r="B24" s="68" t="n">
        <v>2026</v>
      </c>
      <c r="C24" s="68" t="s">
        <v>1</v>
      </c>
      <c r="D24" s="68" t="s">
        <v>17</v>
      </c>
      <c r="E24" s="118" t="s">
        <v>153</v>
      </c>
      <c r="F24" s="130" t="n">
        <v>12</v>
      </c>
    </row>
    <row r="25" customFormat="false" ht="14.25" hidden="false" customHeight="false" outlineLevel="0" collapsed="false">
      <c r="B25" s="68" t="n">
        <v>2026</v>
      </c>
      <c r="C25" s="68" t="s">
        <v>1</v>
      </c>
      <c r="D25" s="68" t="s">
        <v>17</v>
      </c>
      <c r="E25" s="120" t="s">
        <v>154</v>
      </c>
      <c r="F25" s="129" t="n">
        <v>4</v>
      </c>
    </row>
    <row r="26" customFormat="false" ht="28.5" hidden="false" customHeight="true" outlineLevel="0" collapsed="false">
      <c r="B26" s="68" t="n">
        <v>2026</v>
      </c>
      <c r="C26" s="68" t="s">
        <v>1</v>
      </c>
      <c r="D26" s="68" t="s">
        <v>17</v>
      </c>
      <c r="E26" s="122" t="s">
        <v>156</v>
      </c>
      <c r="F26" s="130" t="n">
        <v>0</v>
      </c>
    </row>
    <row r="27" customFormat="false" ht="14.25" hidden="false" customHeight="false" outlineLevel="0" collapsed="false">
      <c r="B27" s="68" t="n">
        <v>2026</v>
      </c>
      <c r="C27" s="68" t="s">
        <v>1</v>
      </c>
      <c r="D27" s="68" t="s">
        <v>18</v>
      </c>
      <c r="E27" s="116" t="s">
        <v>151</v>
      </c>
      <c r="F27" s="129" t="n">
        <v>112</v>
      </c>
    </row>
    <row r="28" customFormat="false" ht="14.25" hidden="false" customHeight="false" outlineLevel="0" collapsed="false">
      <c r="B28" s="68" t="n">
        <v>2026</v>
      </c>
      <c r="C28" s="68" t="s">
        <v>1</v>
      </c>
      <c r="D28" s="68" t="s">
        <v>18</v>
      </c>
      <c r="E28" s="118" t="s">
        <v>153</v>
      </c>
      <c r="F28" s="130" t="n">
        <v>26</v>
      </c>
    </row>
    <row r="29" customFormat="false" ht="14.25" hidden="false" customHeight="false" outlineLevel="0" collapsed="false">
      <c r="B29" s="68" t="n">
        <v>2026</v>
      </c>
      <c r="C29" s="68" t="s">
        <v>1</v>
      </c>
      <c r="D29" s="68" t="s">
        <v>18</v>
      </c>
      <c r="E29" s="120" t="s">
        <v>154</v>
      </c>
      <c r="F29" s="129" t="n">
        <v>6</v>
      </c>
    </row>
    <row r="30" customFormat="false" ht="28.5" hidden="false" customHeight="true" outlineLevel="0" collapsed="false">
      <c r="B30" s="68" t="n">
        <v>2026</v>
      </c>
      <c r="C30" s="68" t="s">
        <v>1</v>
      </c>
      <c r="D30" s="68" t="s">
        <v>18</v>
      </c>
      <c r="E30" s="122" t="s">
        <v>156</v>
      </c>
      <c r="F30" s="130" t="n">
        <v>0</v>
      </c>
    </row>
    <row r="31" customFormat="false" ht="14.25" hidden="false" customHeight="false" outlineLevel="0" collapsed="false">
      <c r="B31" s="68" t="n">
        <v>2026</v>
      </c>
      <c r="C31" s="68" t="s">
        <v>1</v>
      </c>
      <c r="D31" s="68" t="s">
        <v>19</v>
      </c>
      <c r="E31" s="116" t="s">
        <v>151</v>
      </c>
      <c r="F31" s="129" t="n">
        <v>244</v>
      </c>
    </row>
    <row r="32" customFormat="false" ht="14.25" hidden="false" customHeight="false" outlineLevel="0" collapsed="false">
      <c r="B32" s="68" t="n">
        <v>2026</v>
      </c>
      <c r="C32" s="68" t="s">
        <v>1</v>
      </c>
      <c r="D32" s="68" t="s">
        <v>19</v>
      </c>
      <c r="E32" s="118" t="s">
        <v>153</v>
      </c>
      <c r="F32" s="130" t="n">
        <v>16</v>
      </c>
    </row>
    <row r="33" customFormat="false" ht="14.25" hidden="false" customHeight="false" outlineLevel="0" collapsed="false">
      <c r="B33" s="68" t="n">
        <v>2026</v>
      </c>
      <c r="C33" s="68" t="s">
        <v>1</v>
      </c>
      <c r="D33" s="68" t="s">
        <v>19</v>
      </c>
      <c r="E33" s="120" t="s">
        <v>154</v>
      </c>
      <c r="F33" s="129" t="n">
        <v>8</v>
      </c>
    </row>
    <row r="34" customFormat="false" ht="28.5" hidden="false" customHeight="true" outlineLevel="0" collapsed="false">
      <c r="B34" s="68" t="n">
        <v>2026</v>
      </c>
      <c r="C34" s="68" t="s">
        <v>1</v>
      </c>
      <c r="D34" s="68" t="s">
        <v>19</v>
      </c>
      <c r="E34" s="122" t="s">
        <v>156</v>
      </c>
      <c r="F34" s="130" t="n">
        <v>0</v>
      </c>
    </row>
    <row r="35" customFormat="false" ht="14.25" hidden="false" customHeight="false" outlineLevel="0" collapsed="false">
      <c r="B35" s="68" t="n">
        <v>2026</v>
      </c>
      <c r="C35" s="68" t="s">
        <v>1</v>
      </c>
      <c r="D35" s="68" t="s">
        <v>20</v>
      </c>
      <c r="E35" s="116" t="s">
        <v>151</v>
      </c>
      <c r="F35" s="129" t="n">
        <v>120</v>
      </c>
    </row>
    <row r="36" customFormat="false" ht="14.25" hidden="false" customHeight="false" outlineLevel="0" collapsed="false">
      <c r="B36" s="68" t="n">
        <v>2026</v>
      </c>
      <c r="C36" s="68" t="s">
        <v>1</v>
      </c>
      <c r="D36" s="68" t="s">
        <v>20</v>
      </c>
      <c r="E36" s="118" t="s">
        <v>153</v>
      </c>
      <c r="F36" s="130" t="n">
        <v>36</v>
      </c>
    </row>
    <row r="37" customFormat="false" ht="14.25" hidden="false" customHeight="false" outlineLevel="0" collapsed="false">
      <c r="B37" s="68" t="n">
        <v>2026</v>
      </c>
      <c r="C37" s="68" t="s">
        <v>1</v>
      </c>
      <c r="D37" s="68" t="s">
        <v>20</v>
      </c>
      <c r="E37" s="120" t="s">
        <v>154</v>
      </c>
      <c r="F37" s="129" t="n">
        <v>2</v>
      </c>
    </row>
    <row r="38" customFormat="false" ht="28.5" hidden="false" customHeight="true" outlineLevel="0" collapsed="false">
      <c r="B38" s="68" t="n">
        <v>2026</v>
      </c>
      <c r="C38" s="68" t="s">
        <v>1</v>
      </c>
      <c r="D38" s="68" t="s">
        <v>20</v>
      </c>
      <c r="E38" s="122" t="s">
        <v>156</v>
      </c>
      <c r="F38" s="130" t="n">
        <v>0</v>
      </c>
    </row>
    <row r="39" customFormat="false" ht="14.25" hidden="false" customHeight="false" outlineLevel="0" collapsed="false">
      <c r="B39" s="68" t="n">
        <v>2026</v>
      </c>
      <c r="C39" s="68" t="s">
        <v>1</v>
      </c>
      <c r="D39" s="68" t="s">
        <v>21</v>
      </c>
      <c r="E39" s="116" t="s">
        <v>151</v>
      </c>
      <c r="F39" s="129" t="n">
        <v>133</v>
      </c>
    </row>
    <row r="40" customFormat="false" ht="14.25" hidden="false" customHeight="false" outlineLevel="0" collapsed="false">
      <c r="B40" s="68" t="n">
        <v>2026</v>
      </c>
      <c r="C40" s="68" t="s">
        <v>1</v>
      </c>
      <c r="D40" s="68" t="s">
        <v>21</v>
      </c>
      <c r="E40" s="118" t="s">
        <v>153</v>
      </c>
      <c r="F40" s="130" t="n">
        <v>13</v>
      </c>
    </row>
    <row r="41" customFormat="false" ht="14.25" hidden="false" customHeight="false" outlineLevel="0" collapsed="false">
      <c r="B41" s="68" t="n">
        <v>2026</v>
      </c>
      <c r="C41" s="68" t="s">
        <v>1</v>
      </c>
      <c r="D41" s="68" t="s">
        <v>21</v>
      </c>
      <c r="E41" s="120" t="s">
        <v>154</v>
      </c>
      <c r="F41" s="129" t="n">
        <v>7</v>
      </c>
    </row>
    <row r="42" customFormat="false" ht="28.5" hidden="false" customHeight="true" outlineLevel="0" collapsed="false">
      <c r="B42" s="68" t="n">
        <v>2026</v>
      </c>
      <c r="C42" s="68" t="s">
        <v>1</v>
      </c>
      <c r="D42" s="68" t="s">
        <v>21</v>
      </c>
      <c r="E42" s="122" t="s">
        <v>156</v>
      </c>
      <c r="F42" s="130" t="n">
        <v>0</v>
      </c>
    </row>
    <row r="43" customFormat="false" ht="14.25" hidden="false" customHeight="false" outlineLevel="0" collapsed="false">
      <c r="B43" s="68" t="n">
        <v>2026</v>
      </c>
      <c r="C43" s="68" t="s">
        <v>1</v>
      </c>
      <c r="D43" s="68" t="s">
        <v>22</v>
      </c>
      <c r="E43" s="116" t="s">
        <v>151</v>
      </c>
      <c r="F43" s="129" t="n">
        <v>117</v>
      </c>
    </row>
    <row r="44" customFormat="false" ht="14.25" hidden="false" customHeight="false" outlineLevel="0" collapsed="false">
      <c r="B44" s="68" t="n">
        <v>2026</v>
      </c>
      <c r="C44" s="68" t="s">
        <v>1</v>
      </c>
      <c r="D44" s="68" t="s">
        <v>22</v>
      </c>
      <c r="E44" s="118" t="s">
        <v>153</v>
      </c>
      <c r="F44" s="130" t="n">
        <v>7</v>
      </c>
    </row>
    <row r="45" customFormat="false" ht="14.25" hidden="false" customHeight="false" outlineLevel="0" collapsed="false">
      <c r="B45" s="68" t="n">
        <v>2026</v>
      </c>
      <c r="C45" s="68" t="s">
        <v>1</v>
      </c>
      <c r="D45" s="68" t="s">
        <v>22</v>
      </c>
      <c r="E45" s="120" t="s">
        <v>154</v>
      </c>
      <c r="F45" s="129" t="n">
        <v>5</v>
      </c>
    </row>
    <row r="46" customFormat="false" ht="28.5" hidden="false" customHeight="true" outlineLevel="0" collapsed="false">
      <c r="B46" s="68" t="n">
        <v>2026</v>
      </c>
      <c r="C46" s="68" t="s">
        <v>1</v>
      </c>
      <c r="D46" s="68" t="s">
        <v>22</v>
      </c>
      <c r="E46" s="122" t="s">
        <v>156</v>
      </c>
      <c r="F46" s="130" t="n">
        <v>0</v>
      </c>
    </row>
    <row r="47" customFormat="false" ht="14.25" hidden="false" customHeight="false" outlineLevel="0" collapsed="false">
      <c r="B47" s="68" t="n">
        <v>2026</v>
      </c>
      <c r="C47" s="68" t="s">
        <v>1</v>
      </c>
      <c r="D47" s="68" t="s">
        <v>23</v>
      </c>
      <c r="E47" s="116" t="s">
        <v>151</v>
      </c>
      <c r="F47" s="129" t="n">
        <v>214</v>
      </c>
    </row>
    <row r="48" customFormat="false" ht="14.25" hidden="false" customHeight="false" outlineLevel="0" collapsed="false">
      <c r="B48" s="68" t="n">
        <v>2026</v>
      </c>
      <c r="C48" s="68" t="s">
        <v>1</v>
      </c>
      <c r="D48" s="68" t="s">
        <v>23</v>
      </c>
      <c r="E48" s="118" t="s">
        <v>153</v>
      </c>
      <c r="F48" s="130" t="n">
        <v>105</v>
      </c>
    </row>
    <row r="49" customFormat="false" ht="14.25" hidden="false" customHeight="false" outlineLevel="0" collapsed="false">
      <c r="B49" s="68" t="n">
        <v>2026</v>
      </c>
      <c r="C49" s="68" t="s">
        <v>1</v>
      </c>
      <c r="D49" s="68" t="s">
        <v>23</v>
      </c>
      <c r="E49" s="120" t="s">
        <v>154</v>
      </c>
      <c r="F49" s="129" t="n">
        <v>6</v>
      </c>
    </row>
    <row r="50" customFormat="false" ht="28.5" hidden="false" customHeight="true" outlineLevel="0" collapsed="false">
      <c r="B50" s="68" t="n">
        <v>2026</v>
      </c>
      <c r="C50" s="68" t="s">
        <v>1</v>
      </c>
      <c r="D50" s="68" t="s">
        <v>23</v>
      </c>
      <c r="E50" s="122" t="s">
        <v>156</v>
      </c>
      <c r="F50" s="130" t="n">
        <v>0</v>
      </c>
    </row>
    <row r="51" customFormat="false" ht="14.25" hidden="false" customHeight="false" outlineLevel="0" collapsed="false">
      <c r="B51" s="68" t="n">
        <v>2026</v>
      </c>
      <c r="C51" s="114" t="s">
        <v>2</v>
      </c>
      <c r="D51" s="68" t="s">
        <v>12</v>
      </c>
      <c r="E51" s="116" t="s">
        <v>151</v>
      </c>
      <c r="F51" s="129" t="n">
        <v>107</v>
      </c>
    </row>
    <row r="52" customFormat="false" ht="14.25" hidden="false" customHeight="false" outlineLevel="0" collapsed="false">
      <c r="B52" s="68" t="n">
        <v>2026</v>
      </c>
      <c r="C52" s="114" t="s">
        <v>2</v>
      </c>
      <c r="D52" s="68" t="s">
        <v>12</v>
      </c>
      <c r="E52" s="118" t="s">
        <v>153</v>
      </c>
      <c r="F52" s="130" t="n">
        <v>0</v>
      </c>
    </row>
    <row r="53" customFormat="false" ht="14.25" hidden="false" customHeight="false" outlineLevel="0" collapsed="false">
      <c r="B53" s="68" t="n">
        <v>2026</v>
      </c>
      <c r="C53" s="114" t="s">
        <v>2</v>
      </c>
      <c r="D53" s="68" t="s">
        <v>12</v>
      </c>
      <c r="E53" s="120" t="s">
        <v>154</v>
      </c>
      <c r="F53" s="129" t="n">
        <v>1</v>
      </c>
    </row>
    <row r="54" customFormat="false" ht="28.5" hidden="false" customHeight="true" outlineLevel="0" collapsed="false">
      <c r="B54" s="68" t="n">
        <v>2026</v>
      </c>
      <c r="C54" s="114" t="s">
        <v>2</v>
      </c>
      <c r="D54" s="68" t="s">
        <v>12</v>
      </c>
      <c r="E54" s="122" t="s">
        <v>156</v>
      </c>
      <c r="F54" s="130" t="n">
        <v>0</v>
      </c>
    </row>
    <row r="55" customFormat="false" ht="14.25" hidden="false" customHeight="false" outlineLevel="0" collapsed="false">
      <c r="B55" s="68" t="n">
        <v>2026</v>
      </c>
      <c r="C55" s="114" t="s">
        <v>2</v>
      </c>
      <c r="D55" s="68" t="s">
        <v>13</v>
      </c>
      <c r="E55" s="116" t="s">
        <v>151</v>
      </c>
      <c r="F55" s="129" t="n">
        <v>105</v>
      </c>
    </row>
    <row r="56" customFormat="false" ht="14.25" hidden="false" customHeight="false" outlineLevel="0" collapsed="false">
      <c r="B56" s="68" t="n">
        <v>2026</v>
      </c>
      <c r="C56" s="114" t="s">
        <v>2</v>
      </c>
      <c r="D56" s="68" t="s">
        <v>13</v>
      </c>
      <c r="E56" s="118" t="s">
        <v>153</v>
      </c>
      <c r="F56" s="130" t="n">
        <v>0</v>
      </c>
    </row>
    <row r="57" customFormat="false" ht="14.25" hidden="false" customHeight="false" outlineLevel="0" collapsed="false">
      <c r="B57" s="68" t="n">
        <v>2026</v>
      </c>
      <c r="C57" s="114" t="s">
        <v>2</v>
      </c>
      <c r="D57" s="68" t="s">
        <v>13</v>
      </c>
      <c r="E57" s="120" t="s">
        <v>154</v>
      </c>
      <c r="F57" s="129" t="n">
        <v>0</v>
      </c>
    </row>
    <row r="58" customFormat="false" ht="28.5" hidden="false" customHeight="true" outlineLevel="0" collapsed="false">
      <c r="B58" s="68" t="n">
        <v>2026</v>
      </c>
      <c r="C58" s="114" t="s">
        <v>2</v>
      </c>
      <c r="D58" s="68" t="s">
        <v>13</v>
      </c>
      <c r="E58" s="122" t="s">
        <v>156</v>
      </c>
      <c r="F58" s="130" t="n">
        <v>0</v>
      </c>
    </row>
    <row r="59" customFormat="false" ht="14.25" hidden="false" customHeight="false" outlineLevel="0" collapsed="false">
      <c r="B59" s="68" t="n">
        <v>2026</v>
      </c>
      <c r="C59" s="114" t="s">
        <v>2</v>
      </c>
      <c r="D59" s="68" t="s">
        <v>14</v>
      </c>
      <c r="E59" s="116" t="s">
        <v>151</v>
      </c>
      <c r="F59" s="129" t="n">
        <v>86</v>
      </c>
    </row>
    <row r="60" customFormat="false" ht="14.25" hidden="false" customHeight="false" outlineLevel="0" collapsed="false">
      <c r="B60" s="68" t="n">
        <v>2026</v>
      </c>
      <c r="C60" s="114" t="s">
        <v>2</v>
      </c>
      <c r="D60" s="68" t="s">
        <v>14</v>
      </c>
      <c r="E60" s="118" t="s">
        <v>153</v>
      </c>
      <c r="F60" s="130" t="n">
        <v>6</v>
      </c>
    </row>
    <row r="61" customFormat="false" ht="14.25" hidden="false" customHeight="false" outlineLevel="0" collapsed="false">
      <c r="B61" s="68" t="n">
        <v>2026</v>
      </c>
      <c r="C61" s="114" t="s">
        <v>2</v>
      </c>
      <c r="D61" s="68" t="s">
        <v>14</v>
      </c>
      <c r="E61" s="120" t="s">
        <v>154</v>
      </c>
      <c r="F61" s="129" t="n">
        <v>0</v>
      </c>
    </row>
    <row r="62" customFormat="false" ht="28.5" hidden="false" customHeight="true" outlineLevel="0" collapsed="false">
      <c r="B62" s="68" t="n">
        <v>2026</v>
      </c>
      <c r="C62" s="114" t="s">
        <v>2</v>
      </c>
      <c r="D62" s="68" t="s">
        <v>14</v>
      </c>
      <c r="E62" s="122" t="s">
        <v>156</v>
      </c>
      <c r="F62" s="130" t="n">
        <v>0</v>
      </c>
    </row>
    <row r="63" customFormat="false" ht="14.25" hidden="false" customHeight="false" outlineLevel="0" collapsed="false">
      <c r="B63" s="68" t="n">
        <v>2026</v>
      </c>
      <c r="C63" s="114" t="s">
        <v>2</v>
      </c>
      <c r="D63" s="68" t="s">
        <v>15</v>
      </c>
      <c r="E63" s="116" t="s">
        <v>151</v>
      </c>
      <c r="F63" s="129" t="n">
        <v>129</v>
      </c>
    </row>
    <row r="64" customFormat="false" ht="14.25" hidden="false" customHeight="false" outlineLevel="0" collapsed="false">
      <c r="B64" s="68" t="n">
        <v>2026</v>
      </c>
      <c r="C64" s="114" t="s">
        <v>2</v>
      </c>
      <c r="D64" s="68" t="s">
        <v>15</v>
      </c>
      <c r="E64" s="118" t="s">
        <v>153</v>
      </c>
      <c r="F64" s="130" t="n">
        <v>6</v>
      </c>
    </row>
    <row r="65" customFormat="false" ht="14.25" hidden="false" customHeight="false" outlineLevel="0" collapsed="false">
      <c r="B65" s="68" t="n">
        <v>2026</v>
      </c>
      <c r="C65" s="114" t="s">
        <v>2</v>
      </c>
      <c r="D65" s="68" t="s">
        <v>15</v>
      </c>
      <c r="E65" s="120" t="s">
        <v>154</v>
      </c>
      <c r="F65" s="129" t="n">
        <v>2</v>
      </c>
    </row>
    <row r="66" customFormat="false" ht="28.5" hidden="false" customHeight="true" outlineLevel="0" collapsed="false">
      <c r="B66" s="68" t="n">
        <v>2026</v>
      </c>
      <c r="C66" s="114" t="s">
        <v>2</v>
      </c>
      <c r="D66" s="68" t="s">
        <v>15</v>
      </c>
      <c r="E66" s="122" t="s">
        <v>156</v>
      </c>
      <c r="F66" s="130" t="n">
        <v>0</v>
      </c>
    </row>
    <row r="67" customFormat="false" ht="14.25" hidden="false" customHeight="false" outlineLevel="0" collapsed="false">
      <c r="B67" s="68" t="n">
        <v>2026</v>
      </c>
      <c r="C67" s="114" t="s">
        <v>2</v>
      </c>
      <c r="D67" s="68" t="s">
        <v>16</v>
      </c>
      <c r="E67" s="116" t="s">
        <v>151</v>
      </c>
      <c r="F67" s="129" t="n">
        <v>90</v>
      </c>
    </row>
    <row r="68" customFormat="false" ht="14.25" hidden="false" customHeight="false" outlineLevel="0" collapsed="false">
      <c r="B68" s="68" t="n">
        <v>2026</v>
      </c>
      <c r="C68" s="114" t="s">
        <v>2</v>
      </c>
      <c r="D68" s="68" t="s">
        <v>16</v>
      </c>
      <c r="E68" s="118" t="s">
        <v>153</v>
      </c>
      <c r="F68" s="130" t="n">
        <v>1</v>
      </c>
    </row>
    <row r="69" customFormat="false" ht="14.25" hidden="false" customHeight="false" outlineLevel="0" collapsed="false">
      <c r="B69" s="68" t="n">
        <v>2026</v>
      </c>
      <c r="C69" s="114" t="s">
        <v>2</v>
      </c>
      <c r="D69" s="68" t="s">
        <v>16</v>
      </c>
      <c r="E69" s="120" t="s">
        <v>154</v>
      </c>
      <c r="F69" s="129" t="n">
        <v>0</v>
      </c>
    </row>
    <row r="70" customFormat="false" ht="28.5" hidden="false" customHeight="true" outlineLevel="0" collapsed="false">
      <c r="B70" s="68" t="n">
        <v>2026</v>
      </c>
      <c r="C70" s="114" t="s">
        <v>2</v>
      </c>
      <c r="D70" s="68" t="s">
        <v>16</v>
      </c>
      <c r="E70" s="122" t="s">
        <v>156</v>
      </c>
      <c r="F70" s="130" t="n">
        <v>0</v>
      </c>
    </row>
    <row r="71" customFormat="false" ht="14.25" hidden="false" customHeight="false" outlineLevel="0" collapsed="false">
      <c r="B71" s="68" t="n">
        <v>2026</v>
      </c>
      <c r="C71" s="114" t="s">
        <v>2</v>
      </c>
      <c r="D71" s="68" t="s">
        <v>17</v>
      </c>
      <c r="E71" s="116" t="s">
        <v>151</v>
      </c>
      <c r="F71" s="129" t="n">
        <v>117</v>
      </c>
    </row>
    <row r="72" customFormat="false" ht="14.25" hidden="false" customHeight="false" outlineLevel="0" collapsed="false">
      <c r="B72" s="68" t="n">
        <v>2026</v>
      </c>
      <c r="C72" s="114" t="s">
        <v>2</v>
      </c>
      <c r="D72" s="68" t="s">
        <v>17</v>
      </c>
      <c r="E72" s="118" t="s">
        <v>153</v>
      </c>
      <c r="F72" s="130" t="n">
        <v>2</v>
      </c>
    </row>
    <row r="73" customFormat="false" ht="14.25" hidden="false" customHeight="false" outlineLevel="0" collapsed="false">
      <c r="B73" s="68" t="n">
        <v>2026</v>
      </c>
      <c r="C73" s="114" t="s">
        <v>2</v>
      </c>
      <c r="D73" s="68" t="s">
        <v>17</v>
      </c>
      <c r="E73" s="120" t="s">
        <v>154</v>
      </c>
      <c r="F73" s="129" t="n">
        <v>0</v>
      </c>
    </row>
    <row r="74" customFormat="false" ht="28.5" hidden="false" customHeight="true" outlineLevel="0" collapsed="false">
      <c r="B74" s="68" t="n">
        <v>2026</v>
      </c>
      <c r="C74" s="114" t="s">
        <v>2</v>
      </c>
      <c r="D74" s="68" t="s">
        <v>17</v>
      </c>
      <c r="E74" s="122" t="s">
        <v>156</v>
      </c>
      <c r="F74" s="130" t="n">
        <v>2</v>
      </c>
    </row>
    <row r="75" customFormat="false" ht="14.25" hidden="false" customHeight="false" outlineLevel="0" collapsed="false">
      <c r="B75" s="68" t="n">
        <v>2026</v>
      </c>
      <c r="C75" s="114" t="s">
        <v>2</v>
      </c>
      <c r="D75" s="68" t="s">
        <v>18</v>
      </c>
      <c r="E75" s="116" t="s">
        <v>151</v>
      </c>
      <c r="F75" s="129" t="n">
        <v>14</v>
      </c>
    </row>
    <row r="76" customFormat="false" ht="14.25" hidden="false" customHeight="false" outlineLevel="0" collapsed="false">
      <c r="B76" s="68" t="n">
        <v>2026</v>
      </c>
      <c r="C76" s="114" t="s">
        <v>2</v>
      </c>
      <c r="D76" s="68" t="s">
        <v>18</v>
      </c>
      <c r="E76" s="118" t="s">
        <v>153</v>
      </c>
      <c r="F76" s="130" t="n">
        <v>1</v>
      </c>
    </row>
    <row r="77" customFormat="false" ht="14.25" hidden="false" customHeight="false" outlineLevel="0" collapsed="false">
      <c r="B77" s="68" t="n">
        <v>2026</v>
      </c>
      <c r="C77" s="114" t="s">
        <v>2</v>
      </c>
      <c r="D77" s="68" t="s">
        <v>18</v>
      </c>
      <c r="E77" s="120" t="s">
        <v>154</v>
      </c>
      <c r="F77" s="129" t="n">
        <v>0</v>
      </c>
    </row>
    <row r="78" customFormat="false" ht="28.5" hidden="false" customHeight="true" outlineLevel="0" collapsed="false">
      <c r="B78" s="68" t="n">
        <v>2026</v>
      </c>
      <c r="C78" s="114" t="s">
        <v>2</v>
      </c>
      <c r="D78" s="68" t="s">
        <v>18</v>
      </c>
      <c r="E78" s="122" t="s">
        <v>156</v>
      </c>
      <c r="F78" s="130" t="n">
        <v>0</v>
      </c>
    </row>
    <row r="79" customFormat="false" ht="14.25" hidden="false" customHeight="false" outlineLevel="0" collapsed="false">
      <c r="B79" s="68" t="n">
        <v>2026</v>
      </c>
      <c r="C79" s="114" t="s">
        <v>2</v>
      </c>
      <c r="D79" s="68" t="s">
        <v>19</v>
      </c>
      <c r="E79" s="116" t="s">
        <v>151</v>
      </c>
      <c r="F79" s="129" t="n">
        <v>42</v>
      </c>
    </row>
    <row r="80" customFormat="false" ht="14.25" hidden="false" customHeight="false" outlineLevel="0" collapsed="false">
      <c r="B80" s="68" t="n">
        <v>2026</v>
      </c>
      <c r="C80" s="114" t="s">
        <v>2</v>
      </c>
      <c r="D80" s="68" t="s">
        <v>19</v>
      </c>
      <c r="E80" s="118" t="s">
        <v>153</v>
      </c>
      <c r="F80" s="130" t="n">
        <v>0</v>
      </c>
    </row>
    <row r="81" customFormat="false" ht="14.25" hidden="false" customHeight="false" outlineLevel="0" collapsed="false">
      <c r="B81" s="68" t="n">
        <v>2026</v>
      </c>
      <c r="C81" s="114" t="s">
        <v>2</v>
      </c>
      <c r="D81" s="68" t="s">
        <v>19</v>
      </c>
      <c r="E81" s="120" t="s">
        <v>154</v>
      </c>
      <c r="F81" s="129" t="n">
        <v>1</v>
      </c>
    </row>
    <row r="82" customFormat="false" ht="28.5" hidden="false" customHeight="true" outlineLevel="0" collapsed="false">
      <c r="B82" s="68" t="n">
        <v>2026</v>
      </c>
      <c r="C82" s="114" t="s">
        <v>2</v>
      </c>
      <c r="D82" s="68" t="s">
        <v>19</v>
      </c>
      <c r="E82" s="122" t="s">
        <v>156</v>
      </c>
      <c r="F82" s="130" t="n">
        <v>0</v>
      </c>
    </row>
    <row r="83" customFormat="false" ht="14.25" hidden="false" customHeight="false" outlineLevel="0" collapsed="false">
      <c r="B83" s="68" t="n">
        <v>2026</v>
      </c>
      <c r="C83" s="114" t="s">
        <v>2</v>
      </c>
      <c r="D83" s="68" t="s">
        <v>20</v>
      </c>
      <c r="E83" s="116" t="s">
        <v>151</v>
      </c>
      <c r="F83" s="129" t="n">
        <v>16</v>
      </c>
    </row>
    <row r="84" customFormat="false" ht="14.25" hidden="false" customHeight="false" outlineLevel="0" collapsed="false">
      <c r="B84" s="68" t="n">
        <v>2026</v>
      </c>
      <c r="C84" s="114" t="s">
        <v>2</v>
      </c>
      <c r="D84" s="68" t="s">
        <v>20</v>
      </c>
      <c r="E84" s="118" t="s">
        <v>153</v>
      </c>
      <c r="F84" s="130" t="n">
        <v>1</v>
      </c>
    </row>
    <row r="85" customFormat="false" ht="14.25" hidden="false" customHeight="false" outlineLevel="0" collapsed="false">
      <c r="B85" s="68" t="n">
        <v>2026</v>
      </c>
      <c r="C85" s="114" t="s">
        <v>2</v>
      </c>
      <c r="D85" s="68" t="s">
        <v>20</v>
      </c>
      <c r="E85" s="120" t="s">
        <v>154</v>
      </c>
      <c r="F85" s="129" t="n">
        <v>2</v>
      </c>
    </row>
    <row r="86" customFormat="false" ht="28.5" hidden="false" customHeight="true" outlineLevel="0" collapsed="false">
      <c r="B86" s="68" t="n">
        <v>2026</v>
      </c>
      <c r="C86" s="114" t="s">
        <v>2</v>
      </c>
      <c r="D86" s="68" t="s">
        <v>20</v>
      </c>
      <c r="E86" s="122" t="s">
        <v>156</v>
      </c>
      <c r="F86" s="130" t="n">
        <v>0</v>
      </c>
    </row>
    <row r="87" customFormat="false" ht="14.25" hidden="false" customHeight="false" outlineLevel="0" collapsed="false">
      <c r="B87" s="68" t="n">
        <v>2026</v>
      </c>
      <c r="C87" s="114" t="s">
        <v>2</v>
      </c>
      <c r="D87" s="68" t="s">
        <v>21</v>
      </c>
      <c r="E87" s="116" t="s">
        <v>151</v>
      </c>
      <c r="F87" s="129" t="n">
        <v>148</v>
      </c>
    </row>
    <row r="88" customFormat="false" ht="14.25" hidden="false" customHeight="false" outlineLevel="0" collapsed="false">
      <c r="B88" s="68" t="n">
        <v>2026</v>
      </c>
      <c r="C88" s="114" t="s">
        <v>2</v>
      </c>
      <c r="D88" s="68" t="s">
        <v>21</v>
      </c>
      <c r="E88" s="118" t="s">
        <v>153</v>
      </c>
      <c r="F88" s="130" t="n">
        <v>2</v>
      </c>
    </row>
    <row r="89" customFormat="false" ht="14.25" hidden="false" customHeight="false" outlineLevel="0" collapsed="false">
      <c r="B89" s="68" t="n">
        <v>2026</v>
      </c>
      <c r="C89" s="114" t="s">
        <v>2</v>
      </c>
      <c r="D89" s="68" t="s">
        <v>21</v>
      </c>
      <c r="E89" s="120" t="s">
        <v>154</v>
      </c>
      <c r="F89" s="129" t="n">
        <v>0</v>
      </c>
    </row>
    <row r="90" customFormat="false" ht="28.5" hidden="false" customHeight="true" outlineLevel="0" collapsed="false">
      <c r="B90" s="68" t="n">
        <v>2026</v>
      </c>
      <c r="C90" s="114" t="s">
        <v>2</v>
      </c>
      <c r="D90" s="68" t="s">
        <v>21</v>
      </c>
      <c r="E90" s="122" t="s">
        <v>156</v>
      </c>
      <c r="F90" s="130" t="n">
        <v>0</v>
      </c>
    </row>
    <row r="91" customFormat="false" ht="14.25" hidden="false" customHeight="false" outlineLevel="0" collapsed="false">
      <c r="B91" s="68" t="n">
        <v>2026</v>
      </c>
      <c r="C91" s="114" t="s">
        <v>2</v>
      </c>
      <c r="D91" s="68" t="s">
        <v>22</v>
      </c>
      <c r="E91" s="116" t="s">
        <v>151</v>
      </c>
      <c r="F91" s="129" t="n">
        <v>231</v>
      </c>
    </row>
    <row r="92" customFormat="false" ht="14.25" hidden="false" customHeight="false" outlineLevel="0" collapsed="false">
      <c r="B92" s="68" t="n">
        <v>2026</v>
      </c>
      <c r="C92" s="114" t="s">
        <v>2</v>
      </c>
      <c r="D92" s="68" t="s">
        <v>22</v>
      </c>
      <c r="E92" s="118" t="s">
        <v>153</v>
      </c>
      <c r="F92" s="130" t="n">
        <v>9</v>
      </c>
    </row>
    <row r="93" customFormat="false" ht="14.25" hidden="false" customHeight="false" outlineLevel="0" collapsed="false">
      <c r="B93" s="68" t="n">
        <v>2026</v>
      </c>
      <c r="C93" s="114" t="s">
        <v>2</v>
      </c>
      <c r="D93" s="68" t="s">
        <v>22</v>
      </c>
      <c r="E93" s="120" t="s">
        <v>154</v>
      </c>
      <c r="F93" s="129" t="n">
        <v>2</v>
      </c>
    </row>
    <row r="94" customFormat="false" ht="28.5" hidden="false" customHeight="true" outlineLevel="0" collapsed="false">
      <c r="B94" s="68" t="n">
        <v>2026</v>
      </c>
      <c r="C94" s="114" t="s">
        <v>2</v>
      </c>
      <c r="D94" s="68" t="s">
        <v>22</v>
      </c>
      <c r="E94" s="122" t="s">
        <v>156</v>
      </c>
      <c r="F94" s="130" t="n">
        <v>0</v>
      </c>
    </row>
    <row r="95" customFormat="false" ht="14.25" hidden="false" customHeight="false" outlineLevel="0" collapsed="false">
      <c r="B95" s="68" t="n">
        <v>2026</v>
      </c>
      <c r="C95" s="114" t="s">
        <v>2</v>
      </c>
      <c r="D95" s="68" t="s">
        <v>23</v>
      </c>
      <c r="E95" s="116" t="s">
        <v>151</v>
      </c>
      <c r="F95" s="129" t="n">
        <v>618</v>
      </c>
    </row>
    <row r="96" customFormat="false" ht="14.25" hidden="false" customHeight="false" outlineLevel="0" collapsed="false">
      <c r="B96" s="68" t="n">
        <v>2026</v>
      </c>
      <c r="C96" s="114" t="s">
        <v>2</v>
      </c>
      <c r="D96" s="68" t="s">
        <v>23</v>
      </c>
      <c r="E96" s="118" t="s">
        <v>153</v>
      </c>
      <c r="F96" s="130" t="n">
        <v>10</v>
      </c>
    </row>
    <row r="97" customFormat="false" ht="14.25" hidden="false" customHeight="false" outlineLevel="0" collapsed="false">
      <c r="B97" s="68" t="n">
        <v>2026</v>
      </c>
      <c r="C97" s="114" t="s">
        <v>2</v>
      </c>
      <c r="D97" s="68" t="s">
        <v>23</v>
      </c>
      <c r="E97" s="120" t="s">
        <v>154</v>
      </c>
      <c r="F97" s="129" t="n">
        <v>4</v>
      </c>
    </row>
    <row r="98" customFormat="false" ht="28.5" hidden="false" customHeight="true" outlineLevel="0" collapsed="false">
      <c r="B98" s="68" t="n">
        <v>2026</v>
      </c>
      <c r="C98" s="114" t="s">
        <v>2</v>
      </c>
      <c r="D98" s="68" t="s">
        <v>23</v>
      </c>
      <c r="E98" s="122" t="s">
        <v>156</v>
      </c>
      <c r="F98" s="130" t="n">
        <v>0</v>
      </c>
    </row>
    <row r="99" customFormat="false" ht="14.25" hidden="false" customHeight="false" outlineLevel="0" collapsed="false">
      <c r="B99" s="68" t="n">
        <v>2026</v>
      </c>
      <c r="C99" s="114" t="s">
        <v>3</v>
      </c>
      <c r="D99" s="68" t="s">
        <v>12</v>
      </c>
      <c r="E99" s="116" t="s">
        <v>151</v>
      </c>
      <c r="F99" s="129" t="n">
        <v>475</v>
      </c>
    </row>
    <row r="100" customFormat="false" ht="14.25" hidden="false" customHeight="false" outlineLevel="0" collapsed="false">
      <c r="B100" s="68" t="n">
        <v>2026</v>
      </c>
      <c r="C100" s="114" t="s">
        <v>3</v>
      </c>
      <c r="D100" s="68" t="s">
        <v>12</v>
      </c>
      <c r="E100" s="118" t="s">
        <v>153</v>
      </c>
      <c r="F100" s="130" t="n">
        <v>21</v>
      </c>
    </row>
    <row r="101" customFormat="false" ht="14.25" hidden="false" customHeight="false" outlineLevel="0" collapsed="false">
      <c r="B101" s="68" t="n">
        <v>2026</v>
      </c>
      <c r="C101" s="114" t="s">
        <v>3</v>
      </c>
      <c r="D101" s="68" t="s">
        <v>12</v>
      </c>
      <c r="E101" s="120" t="s">
        <v>154</v>
      </c>
      <c r="F101" s="129" t="n">
        <v>8</v>
      </c>
    </row>
    <row r="102" customFormat="false" ht="28.5" hidden="false" customHeight="true" outlineLevel="0" collapsed="false">
      <c r="B102" s="68" t="n">
        <v>2026</v>
      </c>
      <c r="C102" s="114" t="s">
        <v>3</v>
      </c>
      <c r="D102" s="68" t="s">
        <v>12</v>
      </c>
      <c r="E102" s="122" t="s">
        <v>156</v>
      </c>
      <c r="F102" s="130" t="n">
        <v>0</v>
      </c>
    </row>
    <row r="103" customFormat="false" ht="14.25" hidden="false" customHeight="false" outlineLevel="0" collapsed="false">
      <c r="B103" s="68" t="n">
        <v>2026</v>
      </c>
      <c r="C103" s="114" t="s">
        <v>3</v>
      </c>
      <c r="D103" s="68" t="s">
        <v>13</v>
      </c>
      <c r="E103" s="116" t="s">
        <v>151</v>
      </c>
      <c r="F103" s="129" t="n">
        <v>198</v>
      </c>
    </row>
    <row r="104" customFormat="false" ht="14.25" hidden="false" customHeight="false" outlineLevel="0" collapsed="false">
      <c r="B104" s="68" t="n">
        <v>2026</v>
      </c>
      <c r="C104" s="114" t="s">
        <v>3</v>
      </c>
      <c r="D104" s="68" t="s">
        <v>13</v>
      </c>
      <c r="E104" s="118" t="s">
        <v>153</v>
      </c>
      <c r="F104" s="130" t="n">
        <v>23</v>
      </c>
    </row>
    <row r="105" customFormat="false" ht="14.25" hidden="false" customHeight="false" outlineLevel="0" collapsed="false">
      <c r="B105" s="68" t="n">
        <v>2026</v>
      </c>
      <c r="C105" s="114" t="s">
        <v>3</v>
      </c>
      <c r="D105" s="68" t="s">
        <v>13</v>
      </c>
      <c r="E105" s="120" t="s">
        <v>154</v>
      </c>
      <c r="F105" s="129" t="n">
        <v>10</v>
      </c>
    </row>
    <row r="106" customFormat="false" ht="28.5" hidden="false" customHeight="true" outlineLevel="0" collapsed="false">
      <c r="B106" s="68" t="n">
        <v>2026</v>
      </c>
      <c r="C106" s="114" t="s">
        <v>3</v>
      </c>
      <c r="D106" s="68" t="s">
        <v>13</v>
      </c>
      <c r="E106" s="122" t="s">
        <v>156</v>
      </c>
      <c r="F106" s="130" t="n">
        <v>0</v>
      </c>
    </row>
    <row r="107" customFormat="false" ht="14.25" hidden="false" customHeight="false" outlineLevel="0" collapsed="false">
      <c r="B107" s="68" t="n">
        <v>2026</v>
      </c>
      <c r="C107" s="114" t="s">
        <v>3</v>
      </c>
      <c r="D107" s="68" t="s">
        <v>14</v>
      </c>
      <c r="E107" s="116" t="s">
        <v>151</v>
      </c>
      <c r="F107" s="129" t="n">
        <v>139</v>
      </c>
    </row>
    <row r="108" customFormat="false" ht="14.25" hidden="false" customHeight="false" outlineLevel="0" collapsed="false">
      <c r="B108" s="68" t="n">
        <v>2026</v>
      </c>
      <c r="C108" s="114" t="s">
        <v>3</v>
      </c>
      <c r="D108" s="68" t="s">
        <v>14</v>
      </c>
      <c r="E108" s="118" t="s">
        <v>153</v>
      </c>
      <c r="F108" s="130" t="n">
        <v>8</v>
      </c>
    </row>
    <row r="109" customFormat="false" ht="14.25" hidden="false" customHeight="false" outlineLevel="0" collapsed="false">
      <c r="B109" s="68" t="n">
        <v>2026</v>
      </c>
      <c r="C109" s="114" t="s">
        <v>3</v>
      </c>
      <c r="D109" s="68" t="s">
        <v>14</v>
      </c>
      <c r="E109" s="120" t="s">
        <v>154</v>
      </c>
      <c r="F109" s="129" t="n">
        <v>7</v>
      </c>
    </row>
    <row r="110" customFormat="false" ht="28.5" hidden="false" customHeight="true" outlineLevel="0" collapsed="false">
      <c r="B110" s="68" t="n">
        <v>2026</v>
      </c>
      <c r="C110" s="114" t="s">
        <v>3</v>
      </c>
      <c r="D110" s="68" t="s">
        <v>14</v>
      </c>
      <c r="E110" s="122" t="s">
        <v>156</v>
      </c>
      <c r="F110" s="130" t="n">
        <v>0</v>
      </c>
    </row>
    <row r="111" customFormat="false" ht="14.25" hidden="false" customHeight="false" outlineLevel="0" collapsed="false">
      <c r="B111" s="68" t="n">
        <v>2026</v>
      </c>
      <c r="C111" s="114" t="s">
        <v>3</v>
      </c>
      <c r="D111" s="68" t="s">
        <v>15</v>
      </c>
      <c r="E111" s="116" t="s">
        <v>151</v>
      </c>
      <c r="F111" s="129" t="n">
        <v>228</v>
      </c>
    </row>
    <row r="112" customFormat="false" ht="14.25" hidden="false" customHeight="false" outlineLevel="0" collapsed="false">
      <c r="B112" s="68" t="n">
        <v>2026</v>
      </c>
      <c r="C112" s="114" t="s">
        <v>3</v>
      </c>
      <c r="D112" s="68" t="s">
        <v>15</v>
      </c>
      <c r="E112" s="118" t="s">
        <v>153</v>
      </c>
      <c r="F112" s="130" t="n">
        <v>29</v>
      </c>
    </row>
    <row r="113" customFormat="false" ht="14.25" hidden="false" customHeight="false" outlineLevel="0" collapsed="false">
      <c r="B113" s="68" t="n">
        <v>2026</v>
      </c>
      <c r="C113" s="114" t="s">
        <v>3</v>
      </c>
      <c r="D113" s="68" t="s">
        <v>15</v>
      </c>
      <c r="E113" s="120" t="s">
        <v>154</v>
      </c>
      <c r="F113" s="129" t="n">
        <v>9</v>
      </c>
    </row>
    <row r="114" customFormat="false" ht="28.5" hidden="false" customHeight="true" outlineLevel="0" collapsed="false">
      <c r="B114" s="68" t="n">
        <v>2026</v>
      </c>
      <c r="C114" s="114" t="s">
        <v>3</v>
      </c>
      <c r="D114" s="68" t="s">
        <v>15</v>
      </c>
      <c r="E114" s="122" t="s">
        <v>156</v>
      </c>
      <c r="F114" s="130" t="n">
        <v>0</v>
      </c>
    </row>
    <row r="115" customFormat="false" ht="14.25" hidden="false" customHeight="false" outlineLevel="0" collapsed="false">
      <c r="B115" s="68" t="n">
        <v>2026</v>
      </c>
      <c r="C115" s="114" t="s">
        <v>3</v>
      </c>
      <c r="D115" s="68" t="s">
        <v>16</v>
      </c>
      <c r="E115" s="116" t="s">
        <v>151</v>
      </c>
      <c r="F115" s="129" t="n">
        <v>204</v>
      </c>
    </row>
    <row r="116" customFormat="false" ht="14.25" hidden="false" customHeight="false" outlineLevel="0" collapsed="false">
      <c r="B116" s="68" t="n">
        <v>2026</v>
      </c>
      <c r="C116" s="114" t="s">
        <v>3</v>
      </c>
      <c r="D116" s="68" t="s">
        <v>16</v>
      </c>
      <c r="E116" s="118" t="s">
        <v>153</v>
      </c>
      <c r="F116" s="130" t="n">
        <v>24</v>
      </c>
    </row>
    <row r="117" customFormat="false" ht="14.25" hidden="false" customHeight="false" outlineLevel="0" collapsed="false">
      <c r="B117" s="68" t="n">
        <v>2026</v>
      </c>
      <c r="C117" s="114" t="s">
        <v>3</v>
      </c>
      <c r="D117" s="68" t="s">
        <v>16</v>
      </c>
      <c r="E117" s="120" t="s">
        <v>154</v>
      </c>
      <c r="F117" s="129" t="n">
        <v>11</v>
      </c>
    </row>
    <row r="118" customFormat="false" ht="28.5" hidden="false" customHeight="true" outlineLevel="0" collapsed="false">
      <c r="B118" s="68" t="n">
        <v>2026</v>
      </c>
      <c r="C118" s="114" t="s">
        <v>3</v>
      </c>
      <c r="D118" s="68" t="s">
        <v>16</v>
      </c>
      <c r="E118" s="122" t="s">
        <v>156</v>
      </c>
      <c r="F118" s="130" t="n">
        <v>0</v>
      </c>
    </row>
    <row r="119" customFormat="false" ht="14.25" hidden="false" customHeight="false" outlineLevel="0" collapsed="false">
      <c r="B119" s="68" t="n">
        <v>2026</v>
      </c>
      <c r="C119" s="114" t="s">
        <v>3</v>
      </c>
      <c r="D119" s="68" t="s">
        <v>17</v>
      </c>
      <c r="E119" s="116" t="s">
        <v>151</v>
      </c>
      <c r="F119" s="129" t="n">
        <v>113</v>
      </c>
    </row>
    <row r="120" customFormat="false" ht="14.25" hidden="false" customHeight="false" outlineLevel="0" collapsed="false">
      <c r="B120" s="68" t="n">
        <v>2026</v>
      </c>
      <c r="C120" s="114" t="s">
        <v>3</v>
      </c>
      <c r="D120" s="68" t="s">
        <v>17</v>
      </c>
      <c r="E120" s="118" t="s">
        <v>153</v>
      </c>
      <c r="F120" s="130" t="n">
        <v>12</v>
      </c>
    </row>
    <row r="121" customFormat="false" ht="14.25" hidden="false" customHeight="false" outlineLevel="0" collapsed="false">
      <c r="B121" s="68" t="n">
        <v>2026</v>
      </c>
      <c r="C121" s="114" t="s">
        <v>3</v>
      </c>
      <c r="D121" s="68" t="s">
        <v>17</v>
      </c>
      <c r="E121" s="120" t="s">
        <v>154</v>
      </c>
      <c r="F121" s="129" t="n">
        <v>6</v>
      </c>
    </row>
    <row r="122" customFormat="false" ht="28.5" hidden="false" customHeight="true" outlineLevel="0" collapsed="false">
      <c r="B122" s="68" t="n">
        <v>2026</v>
      </c>
      <c r="C122" s="114" t="s">
        <v>3</v>
      </c>
      <c r="D122" s="68" t="s">
        <v>17</v>
      </c>
      <c r="E122" s="122" t="s">
        <v>156</v>
      </c>
      <c r="F122" s="130" t="n">
        <v>0</v>
      </c>
    </row>
    <row r="123" customFormat="false" ht="14.25" hidden="false" customHeight="false" outlineLevel="0" collapsed="false">
      <c r="B123" s="68" t="n">
        <v>2026</v>
      </c>
      <c r="C123" s="114" t="s">
        <v>3</v>
      </c>
      <c r="D123" s="68" t="s">
        <v>18</v>
      </c>
      <c r="E123" s="116" t="s">
        <v>151</v>
      </c>
      <c r="F123" s="129" t="n">
        <v>1120</v>
      </c>
    </row>
    <row r="124" customFormat="false" ht="14.25" hidden="false" customHeight="false" outlineLevel="0" collapsed="false">
      <c r="B124" s="68" t="n">
        <v>2026</v>
      </c>
      <c r="C124" s="114" t="s">
        <v>3</v>
      </c>
      <c r="D124" s="68" t="s">
        <v>18</v>
      </c>
      <c r="E124" s="118" t="s">
        <v>153</v>
      </c>
      <c r="F124" s="130" t="n">
        <v>152</v>
      </c>
    </row>
    <row r="125" customFormat="false" ht="14.25" hidden="false" customHeight="false" outlineLevel="0" collapsed="false">
      <c r="B125" s="68" t="n">
        <v>2026</v>
      </c>
      <c r="C125" s="114" t="s">
        <v>3</v>
      </c>
      <c r="D125" s="68" t="s">
        <v>18</v>
      </c>
      <c r="E125" s="120" t="s">
        <v>154</v>
      </c>
      <c r="F125" s="129" t="n">
        <v>61</v>
      </c>
    </row>
    <row r="126" customFormat="false" ht="28.5" hidden="false" customHeight="true" outlineLevel="0" collapsed="false">
      <c r="B126" s="68" t="n">
        <v>2026</v>
      </c>
      <c r="C126" s="114" t="s">
        <v>3</v>
      </c>
      <c r="D126" s="68" t="s">
        <v>18</v>
      </c>
      <c r="E126" s="122" t="s">
        <v>156</v>
      </c>
      <c r="F126" s="130" t="n">
        <v>0</v>
      </c>
    </row>
    <row r="127" customFormat="false" ht="14.25" hidden="false" customHeight="false" outlineLevel="0" collapsed="false">
      <c r="B127" s="68" t="n">
        <v>2026</v>
      </c>
      <c r="C127" s="114" t="s">
        <v>3</v>
      </c>
      <c r="D127" s="68" t="s">
        <v>19</v>
      </c>
      <c r="E127" s="116" t="s">
        <v>151</v>
      </c>
      <c r="F127" s="129" t="n">
        <v>778</v>
      </c>
    </row>
    <row r="128" customFormat="false" ht="14.25" hidden="false" customHeight="false" outlineLevel="0" collapsed="false">
      <c r="B128" s="68" t="n">
        <v>2026</v>
      </c>
      <c r="C128" s="114" t="s">
        <v>3</v>
      </c>
      <c r="D128" s="68" t="s">
        <v>19</v>
      </c>
      <c r="E128" s="118" t="s">
        <v>153</v>
      </c>
      <c r="F128" s="130" t="n">
        <v>76</v>
      </c>
    </row>
    <row r="129" customFormat="false" ht="14.25" hidden="false" customHeight="false" outlineLevel="0" collapsed="false">
      <c r="B129" s="68" t="n">
        <v>2026</v>
      </c>
      <c r="C129" s="114" t="s">
        <v>3</v>
      </c>
      <c r="D129" s="68" t="s">
        <v>19</v>
      </c>
      <c r="E129" s="120" t="s">
        <v>154</v>
      </c>
      <c r="F129" s="129" t="n">
        <v>16</v>
      </c>
    </row>
    <row r="130" customFormat="false" ht="28.5" hidden="false" customHeight="true" outlineLevel="0" collapsed="false">
      <c r="B130" s="68" t="n">
        <v>2026</v>
      </c>
      <c r="C130" s="114" t="s">
        <v>3</v>
      </c>
      <c r="D130" s="68" t="s">
        <v>19</v>
      </c>
      <c r="E130" s="122" t="s">
        <v>156</v>
      </c>
      <c r="F130" s="130" t="n">
        <v>0</v>
      </c>
    </row>
    <row r="131" customFormat="false" ht="14.25" hidden="false" customHeight="false" outlineLevel="0" collapsed="false">
      <c r="B131" s="68" t="n">
        <v>2026</v>
      </c>
      <c r="C131" s="114" t="s">
        <v>3</v>
      </c>
      <c r="D131" s="68" t="s">
        <v>20</v>
      </c>
      <c r="E131" s="116" t="s">
        <v>151</v>
      </c>
      <c r="F131" s="129" t="n">
        <v>843</v>
      </c>
    </row>
    <row r="132" customFormat="false" ht="14.25" hidden="false" customHeight="false" outlineLevel="0" collapsed="false">
      <c r="B132" s="68" t="n">
        <v>2026</v>
      </c>
      <c r="C132" s="114" t="s">
        <v>3</v>
      </c>
      <c r="D132" s="68" t="s">
        <v>20</v>
      </c>
      <c r="E132" s="118" t="s">
        <v>153</v>
      </c>
      <c r="F132" s="130" t="n">
        <v>118</v>
      </c>
    </row>
    <row r="133" customFormat="false" ht="14.25" hidden="false" customHeight="false" outlineLevel="0" collapsed="false">
      <c r="B133" s="68" t="n">
        <v>2026</v>
      </c>
      <c r="C133" s="114" t="s">
        <v>3</v>
      </c>
      <c r="D133" s="68" t="s">
        <v>20</v>
      </c>
      <c r="E133" s="120" t="s">
        <v>154</v>
      </c>
      <c r="F133" s="129" t="n">
        <v>35</v>
      </c>
    </row>
    <row r="134" customFormat="false" ht="28.5" hidden="false" customHeight="true" outlineLevel="0" collapsed="false">
      <c r="B134" s="68" t="n">
        <v>2026</v>
      </c>
      <c r="C134" s="114" t="s">
        <v>3</v>
      </c>
      <c r="D134" s="68" t="s">
        <v>20</v>
      </c>
      <c r="E134" s="122" t="s">
        <v>156</v>
      </c>
      <c r="F134" s="130" t="n">
        <v>0</v>
      </c>
    </row>
    <row r="135" customFormat="false" ht="14.25" hidden="false" customHeight="false" outlineLevel="0" collapsed="false">
      <c r="B135" s="68" t="n">
        <v>2026</v>
      </c>
      <c r="C135" s="114" t="s">
        <v>3</v>
      </c>
      <c r="D135" s="68" t="s">
        <v>21</v>
      </c>
      <c r="E135" s="116" t="s">
        <v>151</v>
      </c>
      <c r="F135" s="129" t="n">
        <v>770</v>
      </c>
    </row>
    <row r="136" customFormat="false" ht="14.25" hidden="false" customHeight="false" outlineLevel="0" collapsed="false">
      <c r="B136" s="68" t="n">
        <v>2026</v>
      </c>
      <c r="C136" s="114" t="s">
        <v>3</v>
      </c>
      <c r="D136" s="68" t="s">
        <v>21</v>
      </c>
      <c r="E136" s="118" t="s">
        <v>153</v>
      </c>
      <c r="F136" s="130" t="n">
        <v>79</v>
      </c>
    </row>
    <row r="137" customFormat="false" ht="14.25" hidden="false" customHeight="false" outlineLevel="0" collapsed="false">
      <c r="B137" s="68" t="n">
        <v>2026</v>
      </c>
      <c r="C137" s="114" t="s">
        <v>3</v>
      </c>
      <c r="D137" s="68" t="s">
        <v>21</v>
      </c>
      <c r="E137" s="120" t="s">
        <v>154</v>
      </c>
      <c r="F137" s="129" t="n">
        <v>23</v>
      </c>
    </row>
    <row r="138" customFormat="false" ht="28.5" hidden="false" customHeight="true" outlineLevel="0" collapsed="false">
      <c r="B138" s="68" t="n">
        <v>2026</v>
      </c>
      <c r="C138" s="114" t="s">
        <v>3</v>
      </c>
      <c r="D138" s="68" t="s">
        <v>21</v>
      </c>
      <c r="E138" s="122" t="s">
        <v>156</v>
      </c>
      <c r="F138" s="130" t="n">
        <v>0</v>
      </c>
    </row>
    <row r="139" customFormat="false" ht="14.25" hidden="false" customHeight="false" outlineLevel="0" collapsed="false">
      <c r="B139" s="68" t="n">
        <v>2026</v>
      </c>
      <c r="C139" s="114" t="s">
        <v>3</v>
      </c>
      <c r="D139" s="68" t="s">
        <v>22</v>
      </c>
      <c r="E139" s="116" t="s">
        <v>151</v>
      </c>
      <c r="F139" s="129" t="n">
        <v>535</v>
      </c>
    </row>
    <row r="140" customFormat="false" ht="14.25" hidden="false" customHeight="false" outlineLevel="0" collapsed="false">
      <c r="B140" s="68" t="n">
        <v>2026</v>
      </c>
      <c r="C140" s="114" t="s">
        <v>3</v>
      </c>
      <c r="D140" s="68" t="s">
        <v>22</v>
      </c>
      <c r="E140" s="118" t="s">
        <v>153</v>
      </c>
      <c r="F140" s="130" t="n">
        <v>70</v>
      </c>
    </row>
    <row r="141" customFormat="false" ht="14.25" hidden="false" customHeight="false" outlineLevel="0" collapsed="false">
      <c r="B141" s="68" t="n">
        <v>2026</v>
      </c>
      <c r="C141" s="114" t="s">
        <v>3</v>
      </c>
      <c r="D141" s="68" t="s">
        <v>22</v>
      </c>
      <c r="E141" s="120" t="s">
        <v>154</v>
      </c>
      <c r="F141" s="129" t="n">
        <v>14</v>
      </c>
    </row>
    <row r="142" customFormat="false" ht="28.5" hidden="false" customHeight="true" outlineLevel="0" collapsed="false">
      <c r="B142" s="68" t="n">
        <v>2026</v>
      </c>
      <c r="C142" s="114" t="s">
        <v>3</v>
      </c>
      <c r="D142" s="68" t="s">
        <v>22</v>
      </c>
      <c r="E142" s="122" t="s">
        <v>156</v>
      </c>
      <c r="F142" s="130" t="n">
        <v>0</v>
      </c>
    </row>
    <row r="143" customFormat="false" ht="14.25" hidden="false" customHeight="false" outlineLevel="0" collapsed="false">
      <c r="B143" s="68" t="n">
        <v>2026</v>
      </c>
      <c r="C143" s="114" t="s">
        <v>3</v>
      </c>
      <c r="D143" s="68" t="s">
        <v>23</v>
      </c>
      <c r="E143" s="116" t="s">
        <v>151</v>
      </c>
      <c r="F143" s="129" t="n">
        <v>943</v>
      </c>
    </row>
    <row r="144" customFormat="false" ht="14.25" hidden="false" customHeight="false" outlineLevel="0" collapsed="false">
      <c r="B144" s="68" t="n">
        <v>2026</v>
      </c>
      <c r="C144" s="114" t="s">
        <v>3</v>
      </c>
      <c r="D144" s="68" t="s">
        <v>23</v>
      </c>
      <c r="E144" s="118" t="s">
        <v>153</v>
      </c>
      <c r="F144" s="130" t="n">
        <v>100</v>
      </c>
    </row>
    <row r="145" customFormat="false" ht="14.25" hidden="false" customHeight="false" outlineLevel="0" collapsed="false">
      <c r="B145" s="68" t="n">
        <v>2026</v>
      </c>
      <c r="C145" s="114" t="s">
        <v>3</v>
      </c>
      <c r="D145" s="68" t="s">
        <v>23</v>
      </c>
      <c r="E145" s="120" t="s">
        <v>154</v>
      </c>
      <c r="F145" s="129" t="n">
        <v>21</v>
      </c>
    </row>
    <row r="146" customFormat="false" ht="28.5" hidden="false" customHeight="true" outlineLevel="0" collapsed="false">
      <c r="B146" s="68" t="n">
        <v>2026</v>
      </c>
      <c r="C146" s="114" t="s">
        <v>3</v>
      </c>
      <c r="D146" s="68" t="s">
        <v>23</v>
      </c>
      <c r="E146" s="122" t="s">
        <v>156</v>
      </c>
      <c r="F146" s="130" t="n">
        <v>0</v>
      </c>
    </row>
    <row r="147" customFormat="false" ht="14.25" hidden="false" customHeight="false" outlineLevel="0" collapsed="false">
      <c r="B147" s="68" t="n">
        <v>2026</v>
      </c>
      <c r="C147" s="114" t="s">
        <v>5</v>
      </c>
      <c r="D147" s="68" t="s">
        <v>12</v>
      </c>
      <c r="E147" s="116" t="s">
        <v>151</v>
      </c>
      <c r="F147" s="129" t="n">
        <v>48</v>
      </c>
    </row>
    <row r="148" customFormat="false" ht="14.25" hidden="false" customHeight="false" outlineLevel="0" collapsed="false">
      <c r="B148" s="68" t="n">
        <v>2026</v>
      </c>
      <c r="C148" s="114" t="s">
        <v>5</v>
      </c>
      <c r="D148" s="68" t="s">
        <v>12</v>
      </c>
      <c r="E148" s="118" t="s">
        <v>153</v>
      </c>
      <c r="F148" s="130" t="n">
        <v>22</v>
      </c>
    </row>
    <row r="149" customFormat="false" ht="14.25" hidden="false" customHeight="false" outlineLevel="0" collapsed="false">
      <c r="B149" s="68" t="n">
        <v>2026</v>
      </c>
      <c r="C149" s="114" t="s">
        <v>5</v>
      </c>
      <c r="D149" s="68" t="s">
        <v>12</v>
      </c>
      <c r="E149" s="120" t="s">
        <v>154</v>
      </c>
      <c r="F149" s="129" t="n">
        <v>0</v>
      </c>
    </row>
    <row r="150" customFormat="false" ht="28.5" hidden="false" customHeight="true" outlineLevel="0" collapsed="false">
      <c r="B150" s="68" t="n">
        <v>2026</v>
      </c>
      <c r="C150" s="114" t="s">
        <v>5</v>
      </c>
      <c r="D150" s="68" t="s">
        <v>12</v>
      </c>
      <c r="E150" s="122" t="s">
        <v>156</v>
      </c>
      <c r="F150" s="130" t="n">
        <v>0</v>
      </c>
    </row>
    <row r="151" customFormat="false" ht="14.25" hidden="false" customHeight="false" outlineLevel="0" collapsed="false">
      <c r="B151" s="68" t="n">
        <v>2026</v>
      </c>
      <c r="C151" s="114" t="s">
        <v>5</v>
      </c>
      <c r="D151" s="68" t="s">
        <v>13</v>
      </c>
      <c r="E151" s="116" t="s">
        <v>151</v>
      </c>
      <c r="F151" s="129" t="n">
        <v>70</v>
      </c>
    </row>
    <row r="152" customFormat="false" ht="14.25" hidden="false" customHeight="false" outlineLevel="0" collapsed="false">
      <c r="B152" s="68" t="n">
        <v>2026</v>
      </c>
      <c r="C152" s="114" t="s">
        <v>5</v>
      </c>
      <c r="D152" s="68" t="s">
        <v>13</v>
      </c>
      <c r="E152" s="118" t="s">
        <v>153</v>
      </c>
      <c r="F152" s="130" t="n">
        <v>23</v>
      </c>
    </row>
    <row r="153" customFormat="false" ht="14.25" hidden="false" customHeight="false" outlineLevel="0" collapsed="false">
      <c r="B153" s="68" t="n">
        <v>2026</v>
      </c>
      <c r="C153" s="114" t="s">
        <v>5</v>
      </c>
      <c r="D153" s="68" t="s">
        <v>13</v>
      </c>
      <c r="E153" s="120" t="s">
        <v>154</v>
      </c>
      <c r="F153" s="129" t="n">
        <v>0</v>
      </c>
    </row>
    <row r="154" customFormat="false" ht="28.5" hidden="false" customHeight="true" outlineLevel="0" collapsed="false">
      <c r="B154" s="68" t="n">
        <v>2026</v>
      </c>
      <c r="C154" s="114" t="s">
        <v>5</v>
      </c>
      <c r="D154" s="68" t="s">
        <v>13</v>
      </c>
      <c r="E154" s="122" t="s">
        <v>156</v>
      </c>
      <c r="F154" s="130" t="n">
        <v>0</v>
      </c>
    </row>
    <row r="155" customFormat="false" ht="14.25" hidden="false" customHeight="false" outlineLevel="0" collapsed="false">
      <c r="B155" s="68" t="n">
        <v>2026</v>
      </c>
      <c r="C155" s="114" t="s">
        <v>5</v>
      </c>
      <c r="D155" s="68" t="s">
        <v>14</v>
      </c>
      <c r="E155" s="116" t="s">
        <v>151</v>
      </c>
      <c r="F155" s="129" t="n">
        <v>231</v>
      </c>
    </row>
    <row r="156" customFormat="false" ht="14.25" hidden="false" customHeight="false" outlineLevel="0" collapsed="false">
      <c r="B156" s="68" t="n">
        <v>2026</v>
      </c>
      <c r="C156" s="114" t="s">
        <v>5</v>
      </c>
      <c r="D156" s="68" t="s">
        <v>14</v>
      </c>
      <c r="E156" s="118" t="s">
        <v>153</v>
      </c>
      <c r="F156" s="130" t="n">
        <v>11</v>
      </c>
    </row>
    <row r="157" customFormat="false" ht="14.25" hidden="false" customHeight="false" outlineLevel="0" collapsed="false">
      <c r="B157" s="68" t="n">
        <v>2026</v>
      </c>
      <c r="C157" s="114" t="s">
        <v>5</v>
      </c>
      <c r="D157" s="68" t="s">
        <v>14</v>
      </c>
      <c r="E157" s="120" t="s">
        <v>154</v>
      </c>
      <c r="F157" s="129" t="n">
        <v>8</v>
      </c>
    </row>
    <row r="158" customFormat="false" ht="28.5" hidden="false" customHeight="true" outlineLevel="0" collapsed="false">
      <c r="B158" s="68" t="n">
        <v>2026</v>
      </c>
      <c r="C158" s="114" t="s">
        <v>5</v>
      </c>
      <c r="D158" s="68" t="s">
        <v>14</v>
      </c>
      <c r="E158" s="122" t="s">
        <v>156</v>
      </c>
      <c r="F158" s="130" t="n">
        <v>0</v>
      </c>
    </row>
    <row r="159" customFormat="false" ht="14.25" hidden="false" customHeight="false" outlineLevel="0" collapsed="false">
      <c r="B159" s="68" t="n">
        <v>2026</v>
      </c>
      <c r="C159" s="114" t="s">
        <v>5</v>
      </c>
      <c r="D159" s="68" t="s">
        <v>15</v>
      </c>
      <c r="E159" s="116" t="s">
        <v>151</v>
      </c>
      <c r="F159" s="129" t="n">
        <v>257</v>
      </c>
    </row>
    <row r="160" customFormat="false" ht="14.25" hidden="false" customHeight="false" outlineLevel="0" collapsed="false">
      <c r="B160" s="68" t="n">
        <v>2026</v>
      </c>
      <c r="C160" s="114" t="s">
        <v>5</v>
      </c>
      <c r="D160" s="68" t="s">
        <v>15</v>
      </c>
      <c r="E160" s="118" t="s">
        <v>153</v>
      </c>
      <c r="F160" s="130" t="n">
        <v>1</v>
      </c>
    </row>
    <row r="161" customFormat="false" ht="14.25" hidden="false" customHeight="false" outlineLevel="0" collapsed="false">
      <c r="B161" s="68" t="n">
        <v>2026</v>
      </c>
      <c r="C161" s="114" t="s">
        <v>5</v>
      </c>
      <c r="D161" s="68" t="s">
        <v>15</v>
      </c>
      <c r="E161" s="120" t="s">
        <v>154</v>
      </c>
      <c r="F161" s="129" t="n">
        <v>0</v>
      </c>
    </row>
    <row r="162" customFormat="false" ht="28.5" hidden="false" customHeight="true" outlineLevel="0" collapsed="false">
      <c r="B162" s="68" t="n">
        <v>2026</v>
      </c>
      <c r="C162" s="114" t="s">
        <v>5</v>
      </c>
      <c r="D162" s="68" t="s">
        <v>15</v>
      </c>
      <c r="E162" s="122" t="s">
        <v>156</v>
      </c>
      <c r="F162" s="130" t="n">
        <v>0</v>
      </c>
    </row>
    <row r="163" customFormat="false" ht="14.25" hidden="false" customHeight="false" outlineLevel="0" collapsed="false">
      <c r="B163" s="68" t="n">
        <v>2026</v>
      </c>
      <c r="C163" s="114" t="s">
        <v>5</v>
      </c>
      <c r="D163" s="68" t="s">
        <v>16</v>
      </c>
      <c r="E163" s="116" t="s">
        <v>151</v>
      </c>
      <c r="F163" s="129" t="n">
        <v>311</v>
      </c>
    </row>
    <row r="164" customFormat="false" ht="14.25" hidden="false" customHeight="false" outlineLevel="0" collapsed="false">
      <c r="B164" s="68" t="n">
        <v>2026</v>
      </c>
      <c r="C164" s="114" t="s">
        <v>5</v>
      </c>
      <c r="D164" s="68" t="s">
        <v>16</v>
      </c>
      <c r="E164" s="118" t="s">
        <v>153</v>
      </c>
      <c r="F164" s="130" t="n">
        <v>4</v>
      </c>
    </row>
    <row r="165" customFormat="false" ht="14.25" hidden="false" customHeight="false" outlineLevel="0" collapsed="false">
      <c r="B165" s="68" t="n">
        <v>2026</v>
      </c>
      <c r="C165" s="114" t="s">
        <v>5</v>
      </c>
      <c r="D165" s="68" t="s">
        <v>16</v>
      </c>
      <c r="E165" s="120" t="s">
        <v>154</v>
      </c>
      <c r="F165" s="129" t="n">
        <v>1</v>
      </c>
    </row>
    <row r="166" customFormat="false" ht="28.5" hidden="false" customHeight="true" outlineLevel="0" collapsed="false">
      <c r="B166" s="68" t="n">
        <v>2026</v>
      </c>
      <c r="C166" s="114" t="s">
        <v>5</v>
      </c>
      <c r="D166" s="68" t="s">
        <v>16</v>
      </c>
      <c r="E166" s="122" t="s">
        <v>156</v>
      </c>
      <c r="F166" s="130" t="n">
        <v>0</v>
      </c>
    </row>
    <row r="167" customFormat="false" ht="14.25" hidden="false" customHeight="false" outlineLevel="0" collapsed="false">
      <c r="B167" s="68" t="n">
        <v>2026</v>
      </c>
      <c r="C167" s="114" t="s">
        <v>5</v>
      </c>
      <c r="D167" s="68" t="s">
        <v>17</v>
      </c>
      <c r="E167" s="116" t="s">
        <v>151</v>
      </c>
      <c r="F167" s="129" t="n">
        <v>55</v>
      </c>
    </row>
    <row r="168" customFormat="false" ht="14.25" hidden="false" customHeight="false" outlineLevel="0" collapsed="false">
      <c r="B168" s="68" t="n">
        <v>2026</v>
      </c>
      <c r="C168" s="114" t="s">
        <v>5</v>
      </c>
      <c r="D168" s="68" t="s">
        <v>17</v>
      </c>
      <c r="E168" s="118" t="s">
        <v>153</v>
      </c>
      <c r="F168" s="130" t="n">
        <v>22</v>
      </c>
    </row>
    <row r="169" customFormat="false" ht="14.25" hidden="false" customHeight="false" outlineLevel="0" collapsed="false">
      <c r="B169" s="68" t="n">
        <v>2026</v>
      </c>
      <c r="C169" s="114" t="s">
        <v>5</v>
      </c>
      <c r="D169" s="68" t="s">
        <v>17</v>
      </c>
      <c r="E169" s="120" t="s">
        <v>154</v>
      </c>
      <c r="F169" s="129" t="n">
        <v>10</v>
      </c>
    </row>
    <row r="170" customFormat="false" ht="28.5" hidden="false" customHeight="true" outlineLevel="0" collapsed="false">
      <c r="B170" s="68" t="n">
        <v>2026</v>
      </c>
      <c r="C170" s="114" t="s">
        <v>5</v>
      </c>
      <c r="D170" s="68" t="s">
        <v>17</v>
      </c>
      <c r="E170" s="122" t="s">
        <v>156</v>
      </c>
      <c r="F170" s="130" t="n">
        <v>13</v>
      </c>
    </row>
    <row r="171" customFormat="false" ht="14.25" hidden="false" customHeight="false" outlineLevel="0" collapsed="false">
      <c r="B171" s="68" t="n">
        <v>2026</v>
      </c>
      <c r="C171" s="114" t="s">
        <v>5</v>
      </c>
      <c r="D171" s="68" t="s">
        <v>18</v>
      </c>
      <c r="E171" s="116" t="s">
        <v>151</v>
      </c>
      <c r="F171" s="129" t="n">
        <v>114</v>
      </c>
    </row>
    <row r="172" customFormat="false" ht="14.25" hidden="false" customHeight="false" outlineLevel="0" collapsed="false">
      <c r="B172" s="68" t="n">
        <v>2026</v>
      </c>
      <c r="C172" s="114" t="s">
        <v>5</v>
      </c>
      <c r="D172" s="68" t="s">
        <v>18</v>
      </c>
      <c r="E172" s="118" t="s">
        <v>153</v>
      </c>
      <c r="F172" s="130" t="n">
        <v>8</v>
      </c>
    </row>
    <row r="173" customFormat="false" ht="14.25" hidden="false" customHeight="false" outlineLevel="0" collapsed="false">
      <c r="B173" s="68" t="n">
        <v>2026</v>
      </c>
      <c r="C173" s="114" t="s">
        <v>5</v>
      </c>
      <c r="D173" s="68" t="s">
        <v>18</v>
      </c>
      <c r="E173" s="120" t="s">
        <v>154</v>
      </c>
      <c r="F173" s="129" t="n">
        <v>1</v>
      </c>
    </row>
    <row r="174" customFormat="false" ht="28.5" hidden="false" customHeight="true" outlineLevel="0" collapsed="false">
      <c r="B174" s="68" t="n">
        <v>2026</v>
      </c>
      <c r="C174" s="114" t="s">
        <v>5</v>
      </c>
      <c r="D174" s="68" t="s">
        <v>18</v>
      </c>
      <c r="E174" s="122" t="s">
        <v>156</v>
      </c>
      <c r="F174" s="130" t="n">
        <v>0</v>
      </c>
    </row>
    <row r="175" customFormat="false" ht="14.25" hidden="false" customHeight="false" outlineLevel="0" collapsed="false">
      <c r="B175" s="68" t="n">
        <v>2026</v>
      </c>
      <c r="C175" s="114" t="s">
        <v>5</v>
      </c>
      <c r="D175" s="68" t="s">
        <v>19</v>
      </c>
      <c r="E175" s="116" t="s">
        <v>151</v>
      </c>
      <c r="F175" s="129" t="n">
        <v>106</v>
      </c>
    </row>
    <row r="176" customFormat="false" ht="14.25" hidden="false" customHeight="false" outlineLevel="0" collapsed="false">
      <c r="B176" s="68" t="n">
        <v>2026</v>
      </c>
      <c r="C176" s="114" t="s">
        <v>5</v>
      </c>
      <c r="D176" s="68" t="s">
        <v>19</v>
      </c>
      <c r="E176" s="118" t="s">
        <v>153</v>
      </c>
      <c r="F176" s="130" t="n">
        <v>11</v>
      </c>
    </row>
    <row r="177" customFormat="false" ht="14.25" hidden="false" customHeight="false" outlineLevel="0" collapsed="false">
      <c r="B177" s="68" t="n">
        <v>2026</v>
      </c>
      <c r="C177" s="114" t="s">
        <v>5</v>
      </c>
      <c r="D177" s="68" t="s">
        <v>19</v>
      </c>
      <c r="E177" s="120" t="s">
        <v>154</v>
      </c>
      <c r="F177" s="129" t="n">
        <v>1</v>
      </c>
    </row>
    <row r="178" customFormat="false" ht="28.5" hidden="false" customHeight="true" outlineLevel="0" collapsed="false">
      <c r="B178" s="68" t="n">
        <v>2026</v>
      </c>
      <c r="C178" s="114" t="s">
        <v>5</v>
      </c>
      <c r="D178" s="68" t="s">
        <v>19</v>
      </c>
      <c r="E178" s="122" t="s">
        <v>156</v>
      </c>
      <c r="F178" s="130" t="n">
        <v>0</v>
      </c>
    </row>
    <row r="179" customFormat="false" ht="14.25" hidden="false" customHeight="false" outlineLevel="0" collapsed="false">
      <c r="B179" s="68" t="n">
        <v>2026</v>
      </c>
      <c r="C179" s="114" t="s">
        <v>5</v>
      </c>
      <c r="D179" s="68" t="s">
        <v>20</v>
      </c>
      <c r="E179" s="116" t="s">
        <v>151</v>
      </c>
      <c r="F179" s="129" t="n">
        <v>148</v>
      </c>
    </row>
    <row r="180" customFormat="false" ht="14.25" hidden="false" customHeight="false" outlineLevel="0" collapsed="false">
      <c r="B180" s="68" t="n">
        <v>2026</v>
      </c>
      <c r="C180" s="114" t="s">
        <v>5</v>
      </c>
      <c r="D180" s="68" t="s">
        <v>20</v>
      </c>
      <c r="E180" s="118" t="s">
        <v>153</v>
      </c>
      <c r="F180" s="130" t="n">
        <v>23</v>
      </c>
    </row>
    <row r="181" customFormat="false" ht="14.25" hidden="false" customHeight="false" outlineLevel="0" collapsed="false">
      <c r="B181" s="68" t="n">
        <v>2026</v>
      </c>
      <c r="C181" s="114" t="s">
        <v>5</v>
      </c>
      <c r="D181" s="68" t="s">
        <v>20</v>
      </c>
      <c r="E181" s="120" t="s">
        <v>154</v>
      </c>
      <c r="F181" s="129" t="n">
        <v>0</v>
      </c>
    </row>
    <row r="182" customFormat="false" ht="28.5" hidden="false" customHeight="true" outlineLevel="0" collapsed="false">
      <c r="B182" s="68" t="n">
        <v>2026</v>
      </c>
      <c r="C182" s="114" t="s">
        <v>5</v>
      </c>
      <c r="D182" s="68" t="s">
        <v>20</v>
      </c>
      <c r="E182" s="122" t="s">
        <v>156</v>
      </c>
      <c r="F182" s="130" t="n">
        <v>0</v>
      </c>
    </row>
    <row r="183" customFormat="false" ht="14.25" hidden="false" customHeight="false" outlineLevel="0" collapsed="false">
      <c r="B183" s="68" t="n">
        <v>2026</v>
      </c>
      <c r="C183" s="114" t="s">
        <v>5</v>
      </c>
      <c r="D183" s="68" t="s">
        <v>21</v>
      </c>
      <c r="E183" s="116" t="s">
        <v>151</v>
      </c>
      <c r="F183" s="129" t="n">
        <v>941</v>
      </c>
    </row>
    <row r="184" customFormat="false" ht="14.25" hidden="false" customHeight="false" outlineLevel="0" collapsed="false">
      <c r="B184" s="68" t="n">
        <v>2026</v>
      </c>
      <c r="C184" s="114" t="s">
        <v>5</v>
      </c>
      <c r="D184" s="68" t="s">
        <v>21</v>
      </c>
      <c r="E184" s="118" t="s">
        <v>153</v>
      </c>
      <c r="F184" s="130" t="n">
        <v>6</v>
      </c>
    </row>
    <row r="185" customFormat="false" ht="14.25" hidden="false" customHeight="false" outlineLevel="0" collapsed="false">
      <c r="B185" s="68" t="n">
        <v>2026</v>
      </c>
      <c r="C185" s="114" t="s">
        <v>5</v>
      </c>
      <c r="D185" s="68" t="s">
        <v>21</v>
      </c>
      <c r="E185" s="120" t="s">
        <v>154</v>
      </c>
      <c r="F185" s="129" t="n">
        <v>0</v>
      </c>
    </row>
    <row r="186" customFormat="false" ht="28.5" hidden="false" customHeight="true" outlineLevel="0" collapsed="false">
      <c r="B186" s="68" t="n">
        <v>2026</v>
      </c>
      <c r="C186" s="114" t="s">
        <v>5</v>
      </c>
      <c r="D186" s="68" t="s">
        <v>21</v>
      </c>
      <c r="E186" s="122" t="s">
        <v>156</v>
      </c>
      <c r="F186" s="130" t="n">
        <v>0</v>
      </c>
    </row>
    <row r="187" customFormat="false" ht="14.25" hidden="false" customHeight="false" outlineLevel="0" collapsed="false">
      <c r="B187" s="68" t="n">
        <v>2026</v>
      </c>
      <c r="C187" s="114" t="s">
        <v>5</v>
      </c>
      <c r="D187" s="68" t="s">
        <v>22</v>
      </c>
      <c r="E187" s="116" t="s">
        <v>151</v>
      </c>
      <c r="F187" s="129" t="n">
        <v>122</v>
      </c>
    </row>
    <row r="188" customFormat="false" ht="14.25" hidden="false" customHeight="false" outlineLevel="0" collapsed="false">
      <c r="B188" s="68" t="n">
        <v>2026</v>
      </c>
      <c r="C188" s="114" t="s">
        <v>5</v>
      </c>
      <c r="D188" s="68" t="s">
        <v>22</v>
      </c>
      <c r="E188" s="118" t="s">
        <v>153</v>
      </c>
      <c r="F188" s="130" t="n">
        <v>29</v>
      </c>
    </row>
    <row r="189" customFormat="false" ht="14.25" hidden="false" customHeight="false" outlineLevel="0" collapsed="false">
      <c r="B189" s="68" t="n">
        <v>2026</v>
      </c>
      <c r="C189" s="114" t="s">
        <v>5</v>
      </c>
      <c r="D189" s="68" t="s">
        <v>22</v>
      </c>
      <c r="E189" s="120" t="s">
        <v>154</v>
      </c>
      <c r="F189" s="129" t="n">
        <v>4</v>
      </c>
    </row>
    <row r="190" customFormat="false" ht="28.5" hidden="false" customHeight="true" outlineLevel="0" collapsed="false">
      <c r="B190" s="68" t="n">
        <v>2026</v>
      </c>
      <c r="C190" s="114" t="s">
        <v>5</v>
      </c>
      <c r="D190" s="68" t="s">
        <v>22</v>
      </c>
      <c r="E190" s="122" t="s">
        <v>156</v>
      </c>
      <c r="F190" s="130" t="n">
        <v>10</v>
      </c>
    </row>
    <row r="191" customFormat="false" ht="14.25" hidden="false" customHeight="false" outlineLevel="0" collapsed="false">
      <c r="B191" s="68" t="n">
        <v>2026</v>
      </c>
      <c r="C191" s="114" t="s">
        <v>5</v>
      </c>
      <c r="D191" s="68" t="s">
        <v>23</v>
      </c>
      <c r="E191" s="116" t="s">
        <v>151</v>
      </c>
      <c r="F191" s="129" t="n">
        <v>122</v>
      </c>
    </row>
    <row r="192" customFormat="false" ht="14.25" hidden="false" customHeight="false" outlineLevel="0" collapsed="false">
      <c r="B192" s="68" t="n">
        <v>2026</v>
      </c>
      <c r="C192" s="114" t="s">
        <v>5</v>
      </c>
      <c r="D192" s="68" t="s">
        <v>23</v>
      </c>
      <c r="E192" s="118" t="s">
        <v>153</v>
      </c>
      <c r="F192" s="130" t="n">
        <v>42</v>
      </c>
    </row>
    <row r="193" customFormat="false" ht="14.25" hidden="false" customHeight="false" outlineLevel="0" collapsed="false">
      <c r="B193" s="68" t="n">
        <v>2026</v>
      </c>
      <c r="C193" s="114" t="s">
        <v>5</v>
      </c>
      <c r="D193" s="68" t="s">
        <v>23</v>
      </c>
      <c r="E193" s="120" t="s">
        <v>154</v>
      </c>
      <c r="F193" s="129" t="n">
        <v>4</v>
      </c>
    </row>
    <row r="194" customFormat="false" ht="28.5" hidden="false" customHeight="true" outlineLevel="0" collapsed="false">
      <c r="B194" s="68" t="n">
        <v>2026</v>
      </c>
      <c r="C194" s="114" t="s">
        <v>5</v>
      </c>
      <c r="D194" s="68" t="s">
        <v>23</v>
      </c>
      <c r="E194" s="122" t="s">
        <v>156</v>
      </c>
      <c r="F194" s="130" t="n">
        <v>13</v>
      </c>
    </row>
    <row r="195" customFormat="false" ht="14.25" hidden="false" customHeight="false" outlineLevel="0" collapsed="false">
      <c r="B195" s="68" t="n">
        <v>2026</v>
      </c>
      <c r="C195" s="114" t="s">
        <v>6</v>
      </c>
      <c r="D195" s="68" t="s">
        <v>12</v>
      </c>
      <c r="E195" s="116" t="s">
        <v>151</v>
      </c>
      <c r="F195" s="129" t="n">
        <v>0</v>
      </c>
    </row>
    <row r="196" customFormat="false" ht="14.25" hidden="false" customHeight="false" outlineLevel="0" collapsed="false">
      <c r="B196" s="68" t="n">
        <v>2026</v>
      </c>
      <c r="C196" s="114" t="s">
        <v>6</v>
      </c>
      <c r="D196" s="68" t="s">
        <v>12</v>
      </c>
      <c r="E196" s="118" t="s">
        <v>153</v>
      </c>
      <c r="F196" s="130" t="n">
        <v>1</v>
      </c>
    </row>
    <row r="197" customFormat="false" ht="14.25" hidden="false" customHeight="false" outlineLevel="0" collapsed="false">
      <c r="B197" s="68" t="n">
        <v>2026</v>
      </c>
      <c r="C197" s="114" t="s">
        <v>6</v>
      </c>
      <c r="D197" s="68" t="s">
        <v>12</v>
      </c>
      <c r="E197" s="120" t="s">
        <v>154</v>
      </c>
      <c r="F197" s="129" t="n">
        <v>5</v>
      </c>
    </row>
    <row r="198" customFormat="false" ht="28.5" hidden="false" customHeight="true" outlineLevel="0" collapsed="false">
      <c r="B198" s="68" t="n">
        <v>2026</v>
      </c>
      <c r="C198" s="114" t="s">
        <v>6</v>
      </c>
      <c r="D198" s="68" t="s">
        <v>12</v>
      </c>
      <c r="E198" s="122" t="s">
        <v>156</v>
      </c>
      <c r="F198" s="130" t="n">
        <v>0</v>
      </c>
    </row>
    <row r="199" customFormat="false" ht="14.25" hidden="false" customHeight="false" outlineLevel="0" collapsed="false">
      <c r="B199" s="68" t="n">
        <v>2026</v>
      </c>
      <c r="C199" s="114" t="s">
        <v>6</v>
      </c>
      <c r="D199" s="68" t="s">
        <v>13</v>
      </c>
      <c r="E199" s="116" t="s">
        <v>151</v>
      </c>
      <c r="F199" s="129" t="n">
        <v>1493</v>
      </c>
    </row>
    <row r="200" customFormat="false" ht="14.25" hidden="false" customHeight="false" outlineLevel="0" collapsed="false">
      <c r="B200" s="68" t="n">
        <v>2026</v>
      </c>
      <c r="C200" s="114" t="s">
        <v>6</v>
      </c>
      <c r="D200" s="68" t="s">
        <v>13</v>
      </c>
      <c r="E200" s="118" t="s">
        <v>153</v>
      </c>
      <c r="F200" s="130" t="n">
        <v>0</v>
      </c>
    </row>
    <row r="201" customFormat="false" ht="14.25" hidden="false" customHeight="false" outlineLevel="0" collapsed="false">
      <c r="B201" s="68" t="n">
        <v>2026</v>
      </c>
      <c r="C201" s="114" t="s">
        <v>6</v>
      </c>
      <c r="D201" s="68" t="s">
        <v>13</v>
      </c>
      <c r="E201" s="120" t="s">
        <v>154</v>
      </c>
      <c r="F201" s="129" t="n">
        <v>0</v>
      </c>
    </row>
    <row r="202" customFormat="false" ht="28.5" hidden="false" customHeight="true" outlineLevel="0" collapsed="false">
      <c r="B202" s="68" t="n">
        <v>2026</v>
      </c>
      <c r="C202" s="114" t="s">
        <v>6</v>
      </c>
      <c r="D202" s="68" t="s">
        <v>13</v>
      </c>
      <c r="E202" s="122" t="s">
        <v>156</v>
      </c>
      <c r="F202" s="130" t="n">
        <v>0</v>
      </c>
    </row>
    <row r="203" customFormat="false" ht="14.25" hidden="false" customHeight="false" outlineLevel="0" collapsed="false">
      <c r="B203" s="68" t="n">
        <v>2026</v>
      </c>
      <c r="C203" s="114" t="s">
        <v>6</v>
      </c>
      <c r="D203" s="68" t="s">
        <v>14</v>
      </c>
      <c r="E203" s="116" t="s">
        <v>151</v>
      </c>
      <c r="F203" s="129" t="n">
        <v>15</v>
      </c>
    </row>
    <row r="204" customFormat="false" ht="14.25" hidden="false" customHeight="false" outlineLevel="0" collapsed="false">
      <c r="B204" s="68" t="n">
        <v>2026</v>
      </c>
      <c r="C204" s="114" t="s">
        <v>6</v>
      </c>
      <c r="D204" s="68" t="s">
        <v>14</v>
      </c>
      <c r="E204" s="118" t="s">
        <v>153</v>
      </c>
      <c r="F204" s="130" t="n">
        <v>7</v>
      </c>
    </row>
    <row r="205" customFormat="false" ht="14.25" hidden="false" customHeight="false" outlineLevel="0" collapsed="false">
      <c r="B205" s="68" t="n">
        <v>2026</v>
      </c>
      <c r="C205" s="114" t="s">
        <v>6</v>
      </c>
      <c r="D205" s="68" t="s">
        <v>14</v>
      </c>
      <c r="E205" s="120" t="s">
        <v>154</v>
      </c>
      <c r="F205" s="129" t="n">
        <v>2</v>
      </c>
    </row>
    <row r="206" customFormat="false" ht="28.5" hidden="false" customHeight="true" outlineLevel="0" collapsed="false">
      <c r="B206" s="68" t="n">
        <v>2026</v>
      </c>
      <c r="C206" s="114" t="s">
        <v>6</v>
      </c>
      <c r="D206" s="68" t="s">
        <v>14</v>
      </c>
      <c r="E206" s="122" t="s">
        <v>156</v>
      </c>
      <c r="F206" s="130" t="n">
        <v>0</v>
      </c>
    </row>
    <row r="207" customFormat="false" ht="14.25" hidden="false" customHeight="false" outlineLevel="0" collapsed="false">
      <c r="B207" s="68" t="n">
        <v>2026</v>
      </c>
      <c r="C207" s="114" t="s">
        <v>6</v>
      </c>
      <c r="D207" s="68" t="s">
        <v>15</v>
      </c>
      <c r="E207" s="116" t="s">
        <v>151</v>
      </c>
      <c r="F207" s="129" t="n">
        <v>1082</v>
      </c>
    </row>
    <row r="208" customFormat="false" ht="14.25" hidden="false" customHeight="false" outlineLevel="0" collapsed="false">
      <c r="B208" s="68" t="n">
        <v>2026</v>
      </c>
      <c r="C208" s="114" t="s">
        <v>6</v>
      </c>
      <c r="D208" s="68" t="s">
        <v>15</v>
      </c>
      <c r="E208" s="118" t="s">
        <v>153</v>
      </c>
      <c r="F208" s="130" t="n">
        <v>16</v>
      </c>
    </row>
    <row r="209" customFormat="false" ht="14.25" hidden="false" customHeight="false" outlineLevel="0" collapsed="false">
      <c r="B209" s="68" t="n">
        <v>2026</v>
      </c>
      <c r="C209" s="114" t="s">
        <v>6</v>
      </c>
      <c r="D209" s="68" t="s">
        <v>15</v>
      </c>
      <c r="E209" s="120" t="s">
        <v>154</v>
      </c>
      <c r="F209" s="129" t="n">
        <v>3</v>
      </c>
    </row>
    <row r="210" customFormat="false" ht="28.5" hidden="false" customHeight="true" outlineLevel="0" collapsed="false">
      <c r="B210" s="68" t="n">
        <v>2026</v>
      </c>
      <c r="C210" s="114" t="s">
        <v>6</v>
      </c>
      <c r="D210" s="68" t="s">
        <v>15</v>
      </c>
      <c r="E210" s="122" t="s">
        <v>156</v>
      </c>
      <c r="F210" s="130" t="n">
        <v>22</v>
      </c>
    </row>
    <row r="211" customFormat="false" ht="14.25" hidden="false" customHeight="false" outlineLevel="0" collapsed="false">
      <c r="B211" s="68" t="n">
        <v>2026</v>
      </c>
      <c r="C211" s="114" t="s">
        <v>6</v>
      </c>
      <c r="D211" s="68" t="s">
        <v>16</v>
      </c>
      <c r="E211" s="116" t="s">
        <v>151</v>
      </c>
      <c r="F211" s="129" t="n">
        <v>980</v>
      </c>
    </row>
    <row r="212" customFormat="false" ht="14.25" hidden="false" customHeight="false" outlineLevel="0" collapsed="false">
      <c r="B212" s="68" t="n">
        <v>2026</v>
      </c>
      <c r="C212" s="114" t="s">
        <v>6</v>
      </c>
      <c r="D212" s="68" t="s">
        <v>16</v>
      </c>
      <c r="E212" s="118" t="s">
        <v>153</v>
      </c>
      <c r="F212" s="130" t="n">
        <v>28</v>
      </c>
    </row>
    <row r="213" customFormat="false" ht="14.25" hidden="false" customHeight="false" outlineLevel="0" collapsed="false">
      <c r="B213" s="68" t="n">
        <v>2026</v>
      </c>
      <c r="C213" s="114" t="s">
        <v>6</v>
      </c>
      <c r="D213" s="68" t="s">
        <v>16</v>
      </c>
      <c r="E213" s="120" t="s">
        <v>154</v>
      </c>
      <c r="F213" s="129" t="n">
        <v>5</v>
      </c>
    </row>
    <row r="214" customFormat="false" ht="28.5" hidden="false" customHeight="true" outlineLevel="0" collapsed="false">
      <c r="B214" s="68" t="n">
        <v>2026</v>
      </c>
      <c r="C214" s="114" t="s">
        <v>6</v>
      </c>
      <c r="D214" s="68" t="s">
        <v>16</v>
      </c>
      <c r="E214" s="122" t="s">
        <v>156</v>
      </c>
      <c r="F214" s="130" t="n">
        <v>0</v>
      </c>
    </row>
    <row r="215" customFormat="false" ht="14.25" hidden="false" customHeight="false" outlineLevel="0" collapsed="false">
      <c r="B215" s="68" t="n">
        <v>2026</v>
      </c>
      <c r="C215" s="114" t="s">
        <v>6</v>
      </c>
      <c r="D215" s="68" t="s">
        <v>17</v>
      </c>
      <c r="E215" s="116" t="s">
        <v>151</v>
      </c>
      <c r="F215" s="129" t="n">
        <v>587</v>
      </c>
    </row>
    <row r="216" customFormat="false" ht="14.25" hidden="false" customHeight="false" outlineLevel="0" collapsed="false">
      <c r="B216" s="68" t="n">
        <v>2026</v>
      </c>
      <c r="C216" s="114" t="s">
        <v>6</v>
      </c>
      <c r="D216" s="68" t="s">
        <v>17</v>
      </c>
      <c r="E216" s="118" t="s">
        <v>153</v>
      </c>
      <c r="F216" s="130" t="n">
        <v>33</v>
      </c>
    </row>
    <row r="217" customFormat="false" ht="14.25" hidden="false" customHeight="false" outlineLevel="0" collapsed="false">
      <c r="B217" s="68" t="n">
        <v>2026</v>
      </c>
      <c r="C217" s="114" t="s">
        <v>6</v>
      </c>
      <c r="D217" s="68" t="s">
        <v>17</v>
      </c>
      <c r="E217" s="120" t="s">
        <v>154</v>
      </c>
      <c r="F217" s="129" t="n">
        <v>4</v>
      </c>
    </row>
    <row r="218" customFormat="false" ht="28.5" hidden="false" customHeight="true" outlineLevel="0" collapsed="false">
      <c r="B218" s="68" t="n">
        <v>2026</v>
      </c>
      <c r="C218" s="114" t="s">
        <v>6</v>
      </c>
      <c r="D218" s="68" t="s">
        <v>17</v>
      </c>
      <c r="E218" s="122" t="s">
        <v>156</v>
      </c>
      <c r="F218" s="130" t="n">
        <v>0</v>
      </c>
    </row>
    <row r="219" customFormat="false" ht="14.25" hidden="false" customHeight="false" outlineLevel="0" collapsed="false">
      <c r="B219" s="68" t="n">
        <v>2026</v>
      </c>
      <c r="C219" s="114" t="s">
        <v>6</v>
      </c>
      <c r="D219" s="68" t="s">
        <v>18</v>
      </c>
      <c r="E219" s="116" t="s">
        <v>151</v>
      </c>
      <c r="F219" s="129" t="n">
        <v>138</v>
      </c>
    </row>
    <row r="220" customFormat="false" ht="14.25" hidden="false" customHeight="false" outlineLevel="0" collapsed="false">
      <c r="B220" s="68" t="n">
        <v>2026</v>
      </c>
      <c r="C220" s="114" t="s">
        <v>6</v>
      </c>
      <c r="D220" s="68" t="s">
        <v>18</v>
      </c>
      <c r="E220" s="118" t="s">
        <v>153</v>
      </c>
      <c r="F220" s="130" t="n">
        <v>9</v>
      </c>
    </row>
    <row r="221" customFormat="false" ht="14.25" hidden="false" customHeight="false" outlineLevel="0" collapsed="false">
      <c r="B221" s="68" t="n">
        <v>2026</v>
      </c>
      <c r="C221" s="114" t="s">
        <v>6</v>
      </c>
      <c r="D221" s="68" t="s">
        <v>18</v>
      </c>
      <c r="E221" s="120" t="s">
        <v>154</v>
      </c>
      <c r="F221" s="129" t="n">
        <v>2</v>
      </c>
    </row>
    <row r="222" customFormat="false" ht="28.5" hidden="false" customHeight="true" outlineLevel="0" collapsed="false">
      <c r="B222" s="68" t="n">
        <v>2026</v>
      </c>
      <c r="C222" s="114" t="s">
        <v>6</v>
      </c>
      <c r="D222" s="68" t="s">
        <v>18</v>
      </c>
      <c r="E222" s="122" t="s">
        <v>156</v>
      </c>
      <c r="F222" s="130" t="n">
        <v>0</v>
      </c>
    </row>
    <row r="223" customFormat="false" ht="14.25" hidden="false" customHeight="false" outlineLevel="0" collapsed="false">
      <c r="B223" s="68" t="n">
        <v>2026</v>
      </c>
      <c r="C223" s="114" t="s">
        <v>6</v>
      </c>
      <c r="D223" s="68" t="s">
        <v>19</v>
      </c>
      <c r="E223" s="116" t="s">
        <v>151</v>
      </c>
      <c r="F223" s="129" t="n">
        <v>108</v>
      </c>
    </row>
    <row r="224" customFormat="false" ht="14.25" hidden="false" customHeight="false" outlineLevel="0" collapsed="false">
      <c r="B224" s="68" t="n">
        <v>2026</v>
      </c>
      <c r="C224" s="114" t="s">
        <v>6</v>
      </c>
      <c r="D224" s="68" t="s">
        <v>19</v>
      </c>
      <c r="E224" s="118" t="s">
        <v>153</v>
      </c>
      <c r="F224" s="130" t="n">
        <v>1</v>
      </c>
    </row>
    <row r="225" customFormat="false" ht="14.25" hidden="false" customHeight="false" outlineLevel="0" collapsed="false">
      <c r="B225" s="68" t="n">
        <v>2026</v>
      </c>
      <c r="C225" s="114" t="s">
        <v>6</v>
      </c>
      <c r="D225" s="68" t="s">
        <v>19</v>
      </c>
      <c r="E225" s="120" t="s">
        <v>154</v>
      </c>
      <c r="F225" s="129" t="n">
        <v>2</v>
      </c>
    </row>
    <row r="226" customFormat="false" ht="28.5" hidden="false" customHeight="true" outlineLevel="0" collapsed="false">
      <c r="B226" s="68" t="n">
        <v>2026</v>
      </c>
      <c r="C226" s="114" t="s">
        <v>6</v>
      </c>
      <c r="D226" s="68" t="s">
        <v>19</v>
      </c>
      <c r="E226" s="122" t="s">
        <v>156</v>
      </c>
      <c r="F226" s="130" t="n">
        <v>0</v>
      </c>
    </row>
    <row r="227" customFormat="false" ht="14.25" hidden="false" customHeight="false" outlineLevel="0" collapsed="false">
      <c r="B227" s="68" t="n">
        <v>2026</v>
      </c>
      <c r="C227" s="114" t="s">
        <v>6</v>
      </c>
      <c r="D227" s="68" t="s">
        <v>20</v>
      </c>
      <c r="E227" s="116" t="s">
        <v>151</v>
      </c>
      <c r="F227" s="129" t="n">
        <v>121</v>
      </c>
    </row>
    <row r="228" customFormat="false" ht="14.25" hidden="false" customHeight="false" outlineLevel="0" collapsed="false">
      <c r="B228" s="68" t="n">
        <v>2026</v>
      </c>
      <c r="C228" s="114" t="s">
        <v>6</v>
      </c>
      <c r="D228" s="68" t="s">
        <v>20</v>
      </c>
      <c r="E228" s="118" t="s">
        <v>153</v>
      </c>
      <c r="F228" s="130" t="n">
        <v>2</v>
      </c>
    </row>
    <row r="229" customFormat="false" ht="14.25" hidden="false" customHeight="false" outlineLevel="0" collapsed="false">
      <c r="B229" s="68" t="n">
        <v>2026</v>
      </c>
      <c r="C229" s="114" t="s">
        <v>6</v>
      </c>
      <c r="D229" s="68" t="s">
        <v>20</v>
      </c>
      <c r="E229" s="120" t="s">
        <v>154</v>
      </c>
      <c r="F229" s="129" t="n">
        <v>0</v>
      </c>
    </row>
    <row r="230" customFormat="false" ht="28.5" hidden="false" customHeight="true" outlineLevel="0" collapsed="false">
      <c r="B230" s="68" t="n">
        <v>2026</v>
      </c>
      <c r="C230" s="114" t="s">
        <v>6</v>
      </c>
      <c r="D230" s="68" t="s">
        <v>20</v>
      </c>
      <c r="E230" s="122" t="s">
        <v>156</v>
      </c>
      <c r="F230" s="130" t="n">
        <v>0</v>
      </c>
    </row>
    <row r="231" customFormat="false" ht="14.25" hidden="false" customHeight="false" outlineLevel="0" collapsed="false">
      <c r="B231" s="68" t="n">
        <v>2026</v>
      </c>
      <c r="C231" s="114" t="s">
        <v>6</v>
      </c>
      <c r="D231" s="68" t="s">
        <v>21</v>
      </c>
      <c r="E231" s="116" t="s">
        <v>151</v>
      </c>
      <c r="F231" s="129" t="n">
        <v>1218</v>
      </c>
    </row>
    <row r="232" customFormat="false" ht="14.25" hidden="false" customHeight="false" outlineLevel="0" collapsed="false">
      <c r="B232" s="68" t="n">
        <v>2026</v>
      </c>
      <c r="C232" s="114" t="s">
        <v>6</v>
      </c>
      <c r="D232" s="68" t="s">
        <v>21</v>
      </c>
      <c r="E232" s="118" t="s">
        <v>153</v>
      </c>
      <c r="F232" s="130" t="n">
        <v>3</v>
      </c>
    </row>
    <row r="233" customFormat="false" ht="14.25" hidden="false" customHeight="false" outlineLevel="0" collapsed="false">
      <c r="B233" s="68" t="n">
        <v>2026</v>
      </c>
      <c r="C233" s="114" t="s">
        <v>6</v>
      </c>
      <c r="D233" s="68" t="s">
        <v>21</v>
      </c>
      <c r="E233" s="120" t="s">
        <v>154</v>
      </c>
      <c r="F233" s="129" t="n">
        <v>8</v>
      </c>
    </row>
    <row r="234" customFormat="false" ht="28.5" hidden="false" customHeight="true" outlineLevel="0" collapsed="false">
      <c r="B234" s="68" t="n">
        <v>2026</v>
      </c>
      <c r="C234" s="114" t="s">
        <v>6</v>
      </c>
      <c r="D234" s="68" t="s">
        <v>21</v>
      </c>
      <c r="E234" s="122" t="s">
        <v>156</v>
      </c>
      <c r="F234" s="130" t="n">
        <v>0</v>
      </c>
    </row>
    <row r="235" customFormat="false" ht="14.25" hidden="false" customHeight="false" outlineLevel="0" collapsed="false">
      <c r="B235" s="68" t="n">
        <v>2026</v>
      </c>
      <c r="C235" s="114" t="s">
        <v>6</v>
      </c>
      <c r="D235" s="68" t="s">
        <v>22</v>
      </c>
      <c r="E235" s="116" t="s">
        <v>151</v>
      </c>
      <c r="F235" s="129" t="n">
        <v>342</v>
      </c>
    </row>
    <row r="236" customFormat="false" ht="14.25" hidden="false" customHeight="false" outlineLevel="0" collapsed="false">
      <c r="B236" s="68" t="n">
        <v>2026</v>
      </c>
      <c r="C236" s="114" t="s">
        <v>6</v>
      </c>
      <c r="D236" s="68" t="s">
        <v>22</v>
      </c>
      <c r="E236" s="118" t="s">
        <v>153</v>
      </c>
      <c r="F236" s="130" t="n">
        <v>4</v>
      </c>
    </row>
    <row r="237" customFormat="false" ht="14.25" hidden="false" customHeight="false" outlineLevel="0" collapsed="false">
      <c r="B237" s="68" t="n">
        <v>2026</v>
      </c>
      <c r="C237" s="114" t="s">
        <v>6</v>
      </c>
      <c r="D237" s="68" t="s">
        <v>22</v>
      </c>
      <c r="E237" s="120" t="s">
        <v>154</v>
      </c>
      <c r="F237" s="129" t="n">
        <v>10</v>
      </c>
    </row>
    <row r="238" customFormat="false" ht="28.5" hidden="false" customHeight="true" outlineLevel="0" collapsed="false">
      <c r="B238" s="68" t="n">
        <v>2026</v>
      </c>
      <c r="C238" s="114" t="s">
        <v>6</v>
      </c>
      <c r="D238" s="68" t="s">
        <v>22</v>
      </c>
      <c r="E238" s="122" t="s">
        <v>156</v>
      </c>
      <c r="F238" s="130" t="n">
        <v>23</v>
      </c>
    </row>
    <row r="239" customFormat="false" ht="14.25" hidden="false" customHeight="false" outlineLevel="0" collapsed="false">
      <c r="B239" s="68" t="n">
        <v>2026</v>
      </c>
      <c r="C239" s="114" t="s">
        <v>6</v>
      </c>
      <c r="D239" s="68" t="s">
        <v>23</v>
      </c>
      <c r="E239" s="116" t="s">
        <v>151</v>
      </c>
      <c r="F239" s="129" t="n">
        <v>13</v>
      </c>
    </row>
    <row r="240" customFormat="false" ht="14.25" hidden="false" customHeight="false" outlineLevel="0" collapsed="false">
      <c r="B240" s="68" t="n">
        <v>2026</v>
      </c>
      <c r="C240" s="114" t="s">
        <v>6</v>
      </c>
      <c r="D240" s="68" t="s">
        <v>23</v>
      </c>
      <c r="E240" s="118" t="s">
        <v>153</v>
      </c>
      <c r="F240" s="130" t="n">
        <v>0</v>
      </c>
    </row>
    <row r="241" customFormat="false" ht="14.25" hidden="false" customHeight="false" outlineLevel="0" collapsed="false">
      <c r="B241" s="68" t="n">
        <v>2026</v>
      </c>
      <c r="C241" s="114" t="s">
        <v>6</v>
      </c>
      <c r="D241" s="68" t="s">
        <v>23</v>
      </c>
      <c r="E241" s="120" t="s">
        <v>154</v>
      </c>
      <c r="F241" s="129" t="n">
        <v>2</v>
      </c>
    </row>
    <row r="242" customFormat="false" ht="28.5" hidden="false" customHeight="true" outlineLevel="0" collapsed="false">
      <c r="B242" s="68" t="n">
        <v>2026</v>
      </c>
      <c r="C242" s="114" t="s">
        <v>6</v>
      </c>
      <c r="D242" s="68" t="s">
        <v>23</v>
      </c>
      <c r="E242" s="122" t="s">
        <v>156</v>
      </c>
      <c r="F242" s="130" t="n">
        <v>0</v>
      </c>
    </row>
    <row r="243" customFormat="false" ht="14.25" hidden="false" customHeight="false" outlineLevel="0" collapsed="false">
      <c r="B243" s="68" t="n">
        <v>2026</v>
      </c>
      <c r="C243" s="114" t="s">
        <v>7</v>
      </c>
      <c r="D243" s="68" t="s">
        <v>12</v>
      </c>
      <c r="E243" s="116" t="s">
        <v>151</v>
      </c>
      <c r="F243" s="129" t="n">
        <v>302</v>
      </c>
    </row>
    <row r="244" customFormat="false" ht="14.25" hidden="false" customHeight="false" outlineLevel="0" collapsed="false">
      <c r="B244" s="68" t="n">
        <v>2026</v>
      </c>
      <c r="C244" s="114" t="s">
        <v>7</v>
      </c>
      <c r="D244" s="68" t="s">
        <v>12</v>
      </c>
      <c r="E244" s="118" t="s">
        <v>153</v>
      </c>
      <c r="F244" s="130" t="n">
        <v>38</v>
      </c>
    </row>
    <row r="245" customFormat="false" ht="14.25" hidden="false" customHeight="false" outlineLevel="0" collapsed="false">
      <c r="B245" s="68" t="n">
        <v>2026</v>
      </c>
      <c r="C245" s="114" t="s">
        <v>7</v>
      </c>
      <c r="D245" s="68" t="s">
        <v>12</v>
      </c>
      <c r="E245" s="120" t="s">
        <v>154</v>
      </c>
      <c r="F245" s="129" t="n">
        <v>9</v>
      </c>
    </row>
    <row r="246" customFormat="false" ht="28.5" hidden="false" customHeight="true" outlineLevel="0" collapsed="false">
      <c r="B246" s="68" t="n">
        <v>2026</v>
      </c>
      <c r="C246" s="114" t="s">
        <v>7</v>
      </c>
      <c r="D246" s="68" t="s">
        <v>12</v>
      </c>
      <c r="E246" s="122" t="s">
        <v>156</v>
      </c>
      <c r="F246" s="130" t="n">
        <v>0</v>
      </c>
    </row>
    <row r="247" customFormat="false" ht="14.25" hidden="false" customHeight="false" outlineLevel="0" collapsed="false">
      <c r="B247" s="68" t="n">
        <v>2026</v>
      </c>
      <c r="C247" s="114" t="s">
        <v>7</v>
      </c>
      <c r="D247" s="68" t="s">
        <v>13</v>
      </c>
      <c r="E247" s="116" t="s">
        <v>151</v>
      </c>
      <c r="F247" s="129" t="n">
        <v>273</v>
      </c>
    </row>
    <row r="248" customFormat="false" ht="14.25" hidden="false" customHeight="false" outlineLevel="0" collapsed="false">
      <c r="B248" s="68" t="n">
        <v>2026</v>
      </c>
      <c r="C248" s="114" t="s">
        <v>7</v>
      </c>
      <c r="D248" s="68" t="s">
        <v>13</v>
      </c>
      <c r="E248" s="118" t="s">
        <v>153</v>
      </c>
      <c r="F248" s="130" t="n">
        <v>48</v>
      </c>
    </row>
    <row r="249" customFormat="false" ht="14.25" hidden="false" customHeight="false" outlineLevel="0" collapsed="false">
      <c r="B249" s="68" t="n">
        <v>2026</v>
      </c>
      <c r="C249" s="114" t="s">
        <v>7</v>
      </c>
      <c r="D249" s="68" t="s">
        <v>13</v>
      </c>
      <c r="E249" s="120" t="s">
        <v>154</v>
      </c>
      <c r="F249" s="129" t="n">
        <v>9</v>
      </c>
    </row>
    <row r="250" customFormat="false" ht="28.5" hidden="false" customHeight="true" outlineLevel="0" collapsed="false">
      <c r="B250" s="68" t="n">
        <v>2026</v>
      </c>
      <c r="C250" s="114" t="s">
        <v>7</v>
      </c>
      <c r="D250" s="68" t="s">
        <v>13</v>
      </c>
      <c r="E250" s="122" t="s">
        <v>156</v>
      </c>
      <c r="F250" s="130" t="n">
        <v>0</v>
      </c>
    </row>
    <row r="251" customFormat="false" ht="14.25" hidden="false" customHeight="false" outlineLevel="0" collapsed="false">
      <c r="B251" s="68" t="n">
        <v>2026</v>
      </c>
      <c r="C251" s="114" t="s">
        <v>7</v>
      </c>
      <c r="D251" s="68" t="s">
        <v>14</v>
      </c>
      <c r="E251" s="116" t="s">
        <v>151</v>
      </c>
      <c r="F251" s="129" t="n">
        <v>373</v>
      </c>
    </row>
    <row r="252" customFormat="false" ht="14.25" hidden="false" customHeight="false" outlineLevel="0" collapsed="false">
      <c r="B252" s="68" t="n">
        <v>2026</v>
      </c>
      <c r="C252" s="114" t="s">
        <v>7</v>
      </c>
      <c r="D252" s="68" t="s">
        <v>14</v>
      </c>
      <c r="E252" s="118" t="s">
        <v>153</v>
      </c>
      <c r="F252" s="130" t="n">
        <v>32</v>
      </c>
    </row>
    <row r="253" customFormat="false" ht="14.25" hidden="false" customHeight="false" outlineLevel="0" collapsed="false">
      <c r="B253" s="68" t="n">
        <v>2026</v>
      </c>
      <c r="C253" s="114" t="s">
        <v>7</v>
      </c>
      <c r="D253" s="68" t="s">
        <v>14</v>
      </c>
      <c r="E253" s="120" t="s">
        <v>154</v>
      </c>
      <c r="F253" s="129" t="n">
        <v>3</v>
      </c>
    </row>
    <row r="254" customFormat="false" ht="28.5" hidden="false" customHeight="true" outlineLevel="0" collapsed="false">
      <c r="B254" s="68" t="n">
        <v>2026</v>
      </c>
      <c r="C254" s="114" t="s">
        <v>7</v>
      </c>
      <c r="D254" s="68" t="s">
        <v>14</v>
      </c>
      <c r="E254" s="122" t="s">
        <v>156</v>
      </c>
      <c r="F254" s="130" t="n">
        <v>20</v>
      </c>
    </row>
    <row r="255" customFormat="false" ht="14.25" hidden="false" customHeight="false" outlineLevel="0" collapsed="false">
      <c r="B255" s="68" t="n">
        <v>2026</v>
      </c>
      <c r="C255" s="114" t="s">
        <v>7</v>
      </c>
      <c r="D255" s="68" t="s">
        <v>15</v>
      </c>
      <c r="E255" s="116" t="s">
        <v>151</v>
      </c>
      <c r="F255" s="129" t="n">
        <v>261</v>
      </c>
    </row>
    <row r="256" customFormat="false" ht="14.25" hidden="false" customHeight="false" outlineLevel="0" collapsed="false">
      <c r="B256" s="68" t="n">
        <v>2026</v>
      </c>
      <c r="C256" s="114" t="s">
        <v>7</v>
      </c>
      <c r="D256" s="68" t="s">
        <v>15</v>
      </c>
      <c r="E256" s="118" t="s">
        <v>153</v>
      </c>
      <c r="F256" s="130" t="n">
        <v>19</v>
      </c>
    </row>
    <row r="257" customFormat="false" ht="14.25" hidden="false" customHeight="false" outlineLevel="0" collapsed="false">
      <c r="B257" s="68" t="n">
        <v>2026</v>
      </c>
      <c r="C257" s="114" t="s">
        <v>7</v>
      </c>
      <c r="D257" s="68" t="s">
        <v>15</v>
      </c>
      <c r="E257" s="120" t="s">
        <v>154</v>
      </c>
      <c r="F257" s="129" t="n">
        <v>3</v>
      </c>
    </row>
    <row r="258" customFormat="false" ht="28.5" hidden="false" customHeight="true" outlineLevel="0" collapsed="false">
      <c r="B258" s="68" t="n">
        <v>2026</v>
      </c>
      <c r="C258" s="114" t="s">
        <v>7</v>
      </c>
      <c r="D258" s="68" t="s">
        <v>15</v>
      </c>
      <c r="E258" s="122" t="s">
        <v>156</v>
      </c>
      <c r="F258" s="130" t="n">
        <v>0</v>
      </c>
    </row>
    <row r="259" customFormat="false" ht="14.25" hidden="false" customHeight="false" outlineLevel="0" collapsed="false">
      <c r="B259" s="68" t="n">
        <v>2026</v>
      </c>
      <c r="C259" s="114" t="s">
        <v>7</v>
      </c>
      <c r="D259" s="68" t="s">
        <v>16</v>
      </c>
      <c r="E259" s="116" t="s">
        <v>151</v>
      </c>
      <c r="F259" s="129" t="n">
        <v>172</v>
      </c>
    </row>
    <row r="260" customFormat="false" ht="14.25" hidden="false" customHeight="false" outlineLevel="0" collapsed="false">
      <c r="B260" s="68" t="n">
        <v>2026</v>
      </c>
      <c r="C260" s="114" t="s">
        <v>7</v>
      </c>
      <c r="D260" s="68" t="s">
        <v>16</v>
      </c>
      <c r="E260" s="118" t="s">
        <v>153</v>
      </c>
      <c r="F260" s="130" t="n">
        <v>27</v>
      </c>
    </row>
    <row r="261" customFormat="false" ht="14.25" hidden="false" customHeight="false" outlineLevel="0" collapsed="false">
      <c r="B261" s="68" t="n">
        <v>2026</v>
      </c>
      <c r="C261" s="114" t="s">
        <v>7</v>
      </c>
      <c r="D261" s="68" t="s">
        <v>16</v>
      </c>
      <c r="E261" s="120" t="s">
        <v>154</v>
      </c>
      <c r="F261" s="129" t="n">
        <v>5</v>
      </c>
    </row>
    <row r="262" customFormat="false" ht="28.5" hidden="false" customHeight="true" outlineLevel="0" collapsed="false">
      <c r="B262" s="68" t="n">
        <v>2026</v>
      </c>
      <c r="C262" s="114" t="s">
        <v>7</v>
      </c>
      <c r="D262" s="68" t="s">
        <v>16</v>
      </c>
      <c r="E262" s="122" t="s">
        <v>156</v>
      </c>
      <c r="F262" s="130" t="n">
        <v>0</v>
      </c>
    </row>
    <row r="263" customFormat="false" ht="14.25" hidden="false" customHeight="false" outlineLevel="0" collapsed="false">
      <c r="B263" s="68" t="n">
        <v>2026</v>
      </c>
      <c r="C263" s="114" t="s">
        <v>7</v>
      </c>
      <c r="D263" s="68" t="s">
        <v>17</v>
      </c>
      <c r="E263" s="116" t="s">
        <v>151</v>
      </c>
      <c r="F263" s="129" t="n">
        <v>157</v>
      </c>
    </row>
    <row r="264" customFormat="false" ht="14.25" hidden="false" customHeight="false" outlineLevel="0" collapsed="false">
      <c r="B264" s="68" t="n">
        <v>2026</v>
      </c>
      <c r="C264" s="114" t="s">
        <v>7</v>
      </c>
      <c r="D264" s="68" t="s">
        <v>17</v>
      </c>
      <c r="E264" s="118" t="s">
        <v>153</v>
      </c>
      <c r="F264" s="130" t="n">
        <v>25</v>
      </c>
    </row>
    <row r="265" customFormat="false" ht="14.25" hidden="false" customHeight="false" outlineLevel="0" collapsed="false">
      <c r="B265" s="68" t="n">
        <v>2026</v>
      </c>
      <c r="C265" s="114" t="s">
        <v>7</v>
      </c>
      <c r="D265" s="68" t="s">
        <v>17</v>
      </c>
      <c r="E265" s="120" t="s">
        <v>154</v>
      </c>
      <c r="F265" s="129" t="n">
        <v>4</v>
      </c>
    </row>
    <row r="266" customFormat="false" ht="28.5" hidden="false" customHeight="true" outlineLevel="0" collapsed="false">
      <c r="B266" s="68" t="n">
        <v>2026</v>
      </c>
      <c r="C266" s="114" t="s">
        <v>7</v>
      </c>
      <c r="D266" s="68" t="s">
        <v>17</v>
      </c>
      <c r="E266" s="122" t="s">
        <v>156</v>
      </c>
      <c r="F266" s="130" t="n">
        <v>21</v>
      </c>
    </row>
    <row r="267" customFormat="false" ht="14.25" hidden="false" customHeight="false" outlineLevel="0" collapsed="false">
      <c r="B267" s="68" t="n">
        <v>2026</v>
      </c>
      <c r="C267" s="114" t="s">
        <v>7</v>
      </c>
      <c r="D267" s="68" t="s">
        <v>18</v>
      </c>
      <c r="E267" s="116" t="s">
        <v>151</v>
      </c>
      <c r="F267" s="129" t="n">
        <v>66</v>
      </c>
    </row>
    <row r="268" customFormat="false" ht="14.25" hidden="false" customHeight="false" outlineLevel="0" collapsed="false">
      <c r="B268" s="68" t="n">
        <v>2026</v>
      </c>
      <c r="C268" s="114" t="s">
        <v>7</v>
      </c>
      <c r="D268" s="68" t="s">
        <v>18</v>
      </c>
      <c r="E268" s="118" t="s">
        <v>153</v>
      </c>
      <c r="F268" s="130" t="n">
        <v>3</v>
      </c>
    </row>
    <row r="269" customFormat="false" ht="14.25" hidden="false" customHeight="false" outlineLevel="0" collapsed="false">
      <c r="B269" s="68" t="n">
        <v>2026</v>
      </c>
      <c r="C269" s="114" t="s">
        <v>7</v>
      </c>
      <c r="D269" s="68" t="s">
        <v>18</v>
      </c>
      <c r="E269" s="120" t="s">
        <v>154</v>
      </c>
      <c r="F269" s="129" t="n">
        <v>2</v>
      </c>
    </row>
    <row r="270" customFormat="false" ht="28.5" hidden="false" customHeight="true" outlineLevel="0" collapsed="false">
      <c r="B270" s="68" t="n">
        <v>2026</v>
      </c>
      <c r="C270" s="114" t="s">
        <v>7</v>
      </c>
      <c r="D270" s="68" t="s">
        <v>18</v>
      </c>
      <c r="E270" s="122" t="s">
        <v>156</v>
      </c>
      <c r="F270" s="130" t="n">
        <v>0</v>
      </c>
    </row>
    <row r="271" customFormat="false" ht="14.25" hidden="false" customHeight="false" outlineLevel="0" collapsed="false">
      <c r="B271" s="68" t="n">
        <v>2026</v>
      </c>
      <c r="C271" s="114" t="s">
        <v>7</v>
      </c>
      <c r="D271" s="68" t="s">
        <v>19</v>
      </c>
      <c r="E271" s="116" t="s">
        <v>151</v>
      </c>
      <c r="F271" s="129" t="n">
        <v>15</v>
      </c>
    </row>
    <row r="272" customFormat="false" ht="14.25" hidden="false" customHeight="false" outlineLevel="0" collapsed="false">
      <c r="B272" s="68" t="n">
        <v>2026</v>
      </c>
      <c r="C272" s="114" t="s">
        <v>7</v>
      </c>
      <c r="D272" s="68" t="s">
        <v>19</v>
      </c>
      <c r="E272" s="118" t="s">
        <v>153</v>
      </c>
      <c r="F272" s="130" t="n">
        <v>4</v>
      </c>
    </row>
    <row r="273" customFormat="false" ht="14.25" hidden="false" customHeight="false" outlineLevel="0" collapsed="false">
      <c r="B273" s="68" t="n">
        <v>2026</v>
      </c>
      <c r="C273" s="114" t="s">
        <v>7</v>
      </c>
      <c r="D273" s="68" t="s">
        <v>19</v>
      </c>
      <c r="E273" s="120" t="s">
        <v>154</v>
      </c>
      <c r="F273" s="129" t="n">
        <v>0</v>
      </c>
    </row>
    <row r="274" customFormat="false" ht="28.5" hidden="false" customHeight="true" outlineLevel="0" collapsed="false">
      <c r="B274" s="68" t="n">
        <v>2026</v>
      </c>
      <c r="C274" s="114" t="s">
        <v>7</v>
      </c>
      <c r="D274" s="68" t="s">
        <v>19</v>
      </c>
      <c r="E274" s="122" t="s">
        <v>156</v>
      </c>
      <c r="F274" s="130" t="n">
        <v>0</v>
      </c>
    </row>
    <row r="275" customFormat="false" ht="14.25" hidden="false" customHeight="false" outlineLevel="0" collapsed="false">
      <c r="B275" s="68" t="n">
        <v>2026</v>
      </c>
      <c r="C275" s="114" t="s">
        <v>7</v>
      </c>
      <c r="D275" s="68" t="s">
        <v>20</v>
      </c>
      <c r="E275" s="116" t="s">
        <v>151</v>
      </c>
      <c r="F275" s="129" t="n">
        <v>22</v>
      </c>
    </row>
    <row r="276" customFormat="false" ht="14.25" hidden="false" customHeight="false" outlineLevel="0" collapsed="false">
      <c r="B276" s="68" t="n">
        <v>2026</v>
      </c>
      <c r="C276" s="114" t="s">
        <v>7</v>
      </c>
      <c r="D276" s="68" t="s">
        <v>20</v>
      </c>
      <c r="E276" s="118" t="s">
        <v>153</v>
      </c>
      <c r="F276" s="130" t="n">
        <v>5</v>
      </c>
    </row>
    <row r="277" customFormat="false" ht="14.25" hidden="false" customHeight="false" outlineLevel="0" collapsed="false">
      <c r="B277" s="68" t="n">
        <v>2026</v>
      </c>
      <c r="C277" s="114" t="s">
        <v>7</v>
      </c>
      <c r="D277" s="68" t="s">
        <v>20</v>
      </c>
      <c r="E277" s="120" t="s">
        <v>154</v>
      </c>
      <c r="F277" s="129" t="n">
        <v>0</v>
      </c>
    </row>
    <row r="278" customFormat="false" ht="28.5" hidden="false" customHeight="true" outlineLevel="0" collapsed="false">
      <c r="B278" s="68" t="n">
        <v>2026</v>
      </c>
      <c r="C278" s="114" t="s">
        <v>7</v>
      </c>
      <c r="D278" s="68" t="s">
        <v>20</v>
      </c>
      <c r="E278" s="122" t="s">
        <v>156</v>
      </c>
      <c r="F278" s="130" t="n">
        <v>0</v>
      </c>
    </row>
    <row r="279" customFormat="false" ht="14.25" hidden="false" customHeight="false" outlineLevel="0" collapsed="false">
      <c r="B279" s="68" t="n">
        <v>2026</v>
      </c>
      <c r="C279" s="114" t="s">
        <v>7</v>
      </c>
      <c r="D279" s="68" t="s">
        <v>21</v>
      </c>
      <c r="E279" s="116" t="s">
        <v>151</v>
      </c>
      <c r="F279" s="129" t="n">
        <v>25</v>
      </c>
    </row>
    <row r="280" customFormat="false" ht="14.25" hidden="false" customHeight="false" outlineLevel="0" collapsed="false">
      <c r="B280" s="68" t="n">
        <v>2026</v>
      </c>
      <c r="C280" s="114" t="s">
        <v>7</v>
      </c>
      <c r="D280" s="68" t="s">
        <v>21</v>
      </c>
      <c r="E280" s="118" t="s">
        <v>153</v>
      </c>
      <c r="F280" s="130" t="n">
        <v>1</v>
      </c>
    </row>
    <row r="281" customFormat="false" ht="14.25" hidden="false" customHeight="false" outlineLevel="0" collapsed="false">
      <c r="B281" s="68" t="n">
        <v>2026</v>
      </c>
      <c r="C281" s="114" t="s">
        <v>7</v>
      </c>
      <c r="D281" s="68" t="s">
        <v>21</v>
      </c>
      <c r="E281" s="120" t="s">
        <v>154</v>
      </c>
      <c r="F281" s="129" t="n">
        <v>0</v>
      </c>
    </row>
    <row r="282" customFormat="false" ht="28.5" hidden="false" customHeight="true" outlineLevel="0" collapsed="false">
      <c r="B282" s="68" t="n">
        <v>2026</v>
      </c>
      <c r="C282" s="114" t="s">
        <v>7</v>
      </c>
      <c r="D282" s="68" t="s">
        <v>21</v>
      </c>
      <c r="E282" s="122" t="s">
        <v>156</v>
      </c>
      <c r="F282" s="130" t="n">
        <v>0</v>
      </c>
    </row>
    <row r="283" customFormat="false" ht="14.25" hidden="false" customHeight="false" outlineLevel="0" collapsed="false">
      <c r="B283" s="68" t="n">
        <v>2026</v>
      </c>
      <c r="C283" s="114" t="s">
        <v>7</v>
      </c>
      <c r="D283" s="68" t="s">
        <v>22</v>
      </c>
      <c r="E283" s="116" t="s">
        <v>151</v>
      </c>
      <c r="F283" s="129" t="n">
        <v>22</v>
      </c>
    </row>
    <row r="284" customFormat="false" ht="14.25" hidden="false" customHeight="false" outlineLevel="0" collapsed="false">
      <c r="B284" s="68" t="n">
        <v>2026</v>
      </c>
      <c r="C284" s="114" t="s">
        <v>7</v>
      </c>
      <c r="D284" s="68" t="s">
        <v>22</v>
      </c>
      <c r="E284" s="118" t="s">
        <v>153</v>
      </c>
      <c r="F284" s="130" t="n">
        <v>1</v>
      </c>
    </row>
    <row r="285" customFormat="false" ht="14.25" hidden="false" customHeight="false" outlineLevel="0" collapsed="false">
      <c r="B285" s="68" t="n">
        <v>2026</v>
      </c>
      <c r="C285" s="114" t="s">
        <v>7</v>
      </c>
      <c r="D285" s="68" t="s">
        <v>22</v>
      </c>
      <c r="E285" s="120" t="s">
        <v>154</v>
      </c>
      <c r="F285" s="129" t="n">
        <v>1</v>
      </c>
    </row>
    <row r="286" customFormat="false" ht="28.5" hidden="false" customHeight="true" outlineLevel="0" collapsed="false">
      <c r="B286" s="68" t="n">
        <v>2026</v>
      </c>
      <c r="C286" s="114" t="s">
        <v>7</v>
      </c>
      <c r="D286" s="68" t="s">
        <v>22</v>
      </c>
      <c r="E286" s="122" t="s">
        <v>156</v>
      </c>
      <c r="F286" s="130" t="n">
        <v>0</v>
      </c>
    </row>
    <row r="287" customFormat="false" ht="14.25" hidden="false" customHeight="false" outlineLevel="0" collapsed="false">
      <c r="B287" s="68" t="n">
        <v>2026</v>
      </c>
      <c r="C287" s="114" t="s">
        <v>7</v>
      </c>
      <c r="D287" s="68" t="s">
        <v>23</v>
      </c>
      <c r="E287" s="116" t="s">
        <v>151</v>
      </c>
      <c r="F287" s="129" t="n">
        <v>20</v>
      </c>
    </row>
    <row r="288" customFormat="false" ht="14.25" hidden="false" customHeight="false" outlineLevel="0" collapsed="false">
      <c r="B288" s="68" t="n">
        <v>2026</v>
      </c>
      <c r="C288" s="114" t="s">
        <v>7</v>
      </c>
      <c r="D288" s="68" t="s">
        <v>23</v>
      </c>
      <c r="E288" s="118" t="s">
        <v>153</v>
      </c>
      <c r="F288" s="130" t="n">
        <v>5</v>
      </c>
    </row>
    <row r="289" customFormat="false" ht="14.25" hidden="false" customHeight="false" outlineLevel="0" collapsed="false">
      <c r="B289" s="68" t="n">
        <v>2026</v>
      </c>
      <c r="C289" s="114" t="s">
        <v>7</v>
      </c>
      <c r="D289" s="68" t="s">
        <v>23</v>
      </c>
      <c r="E289" s="120" t="s">
        <v>154</v>
      </c>
      <c r="F289" s="129" t="n">
        <v>0</v>
      </c>
    </row>
    <row r="290" customFormat="false" ht="28.5" hidden="false" customHeight="true" outlineLevel="0" collapsed="false">
      <c r="B290" s="68" t="n">
        <v>2026</v>
      </c>
      <c r="C290" s="114" t="s">
        <v>7</v>
      </c>
      <c r="D290" s="68" t="s">
        <v>23</v>
      </c>
      <c r="E290" s="122" t="s">
        <v>156</v>
      </c>
      <c r="F290" s="13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3" min="3" style="1" width="12"/>
    <col collapsed="false" customWidth="true" hidden="false" outlineLevel="0" max="4" min="4" style="1" width="17.54"/>
    <col collapsed="false" customWidth="true" hidden="false" outlineLevel="0" max="6" min="5" style="1" width="21.09"/>
  </cols>
  <sheetData>
    <row r="1" customFormat="false" ht="14.25" hidden="false" customHeight="true" outlineLevel="0" collapsed="false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customFormat="false" ht="14.25" hidden="false" customHeight="true" outlineLevel="0" collapsed="false">
      <c r="A2" s="16"/>
      <c r="B2" s="16" t="s">
        <v>164</v>
      </c>
      <c r="C2" s="16"/>
      <c r="D2" s="16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customFormat="false" ht="14.25" hidden="false" customHeight="true" outlineLevel="0" collapsed="false">
      <c r="A3" s="16"/>
      <c r="B3" s="16" t="s">
        <v>165</v>
      </c>
      <c r="C3" s="16"/>
      <c r="D3" s="16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customFormat="false" ht="14.2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customFormat="false" ht="14.25" hidden="false" customHeight="true" outlineLevel="0" collapsed="false">
      <c r="A5" s="24"/>
      <c r="B5" s="24"/>
      <c r="C5" s="132" t="s">
        <v>166</v>
      </c>
      <c r="D5" s="132"/>
      <c r="E5" s="132"/>
      <c r="F5" s="132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customFormat="false" ht="27.75" hidden="false" customHeight="true" outlineLevel="0" collapsed="false">
      <c r="A6" s="24"/>
      <c r="B6" s="24"/>
      <c r="C6" s="133" t="s">
        <v>118</v>
      </c>
      <c r="D6" s="133" t="s">
        <v>167</v>
      </c>
      <c r="E6" s="133" t="s">
        <v>168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customFormat="false" ht="28.5" hidden="false" customHeight="true" outlineLevel="0" collapsed="false">
      <c r="A7" s="24"/>
      <c r="B7" s="24"/>
      <c r="C7" s="134" t="n">
        <v>1</v>
      </c>
      <c r="D7" s="135" t="s">
        <v>169</v>
      </c>
      <c r="E7" s="136" t="n">
        <v>226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customFormat="false" ht="14.25" hidden="false" customHeight="true" outlineLevel="0" collapsed="false">
      <c r="A8" s="24"/>
      <c r="B8" s="24"/>
      <c r="C8" s="134" t="n">
        <v>2</v>
      </c>
      <c r="D8" s="135" t="s">
        <v>170</v>
      </c>
      <c r="E8" s="137" t="n">
        <v>1301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customFormat="false" ht="28.5" hidden="false" customHeight="true" outlineLevel="0" collapsed="false">
      <c r="A9" s="24"/>
      <c r="B9" s="24"/>
      <c r="C9" s="134" t="n">
        <v>3</v>
      </c>
      <c r="D9" s="135" t="s">
        <v>171</v>
      </c>
      <c r="E9" s="137" t="n">
        <v>1751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customFormat="false" ht="28.5" hidden="false" customHeight="true" outlineLevel="0" collapsed="false">
      <c r="A10" s="24"/>
      <c r="B10" s="24"/>
      <c r="C10" s="134" t="n">
        <v>4</v>
      </c>
      <c r="D10" s="138" t="s">
        <v>172</v>
      </c>
      <c r="E10" s="139" t="n">
        <v>745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customFormat="false" ht="28.5" hidden="false" customHeight="true" outlineLevel="0" collapsed="false">
      <c r="A11" s="24"/>
      <c r="B11" s="24"/>
      <c r="C11" s="134" t="n">
        <v>5</v>
      </c>
      <c r="D11" s="138" t="s">
        <v>173</v>
      </c>
      <c r="E11" s="139" t="n">
        <v>797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customFormat="false" ht="28.5" hidden="false" customHeight="true" outlineLevel="0" collapsed="false">
      <c r="A12" s="24"/>
      <c r="B12" s="24"/>
      <c r="C12" s="134" t="n">
        <v>6</v>
      </c>
      <c r="D12" s="138" t="s">
        <v>174</v>
      </c>
      <c r="E12" s="140" t="n">
        <v>3883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customFormat="false" ht="28.5" hidden="false" customHeight="true" outlineLevel="0" collapsed="false">
      <c r="A13" s="24"/>
      <c r="B13" s="24"/>
      <c r="C13" s="134" t="n">
        <v>7</v>
      </c>
      <c r="D13" s="138" t="s">
        <v>175</v>
      </c>
      <c r="E13" s="140" t="n">
        <v>3696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customFormat="false" ht="28.5" hidden="false" customHeight="true" outlineLevel="0" collapsed="false">
      <c r="A14" s="24"/>
      <c r="B14" s="24"/>
      <c r="C14" s="134" t="n">
        <v>8</v>
      </c>
      <c r="D14" s="138" t="s">
        <v>176</v>
      </c>
      <c r="E14" s="140" t="n">
        <v>5309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customFormat="false" ht="14.25" hidden="false" customHeight="true" outlineLevel="0" collapsed="false">
      <c r="A15" s="24"/>
      <c r="B15" s="24"/>
      <c r="C15" s="134" t="n">
        <v>9</v>
      </c>
      <c r="D15" s="141" t="s">
        <v>177</v>
      </c>
      <c r="E15" s="137" t="n">
        <v>3421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customFormat="false" ht="14.25" hidden="false" customHeight="true" outlineLevel="0" collapsed="false">
      <c r="A16" s="24"/>
      <c r="B16" s="24"/>
      <c r="C16" s="134"/>
      <c r="D16" s="142" t="s">
        <v>82</v>
      </c>
      <c r="E16" s="142" t="n">
        <f aca="false">SUM(E7:E15)</f>
        <v>21129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customFormat="false" ht="14.2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customFormat="false" ht="14.25" hidden="false" customHeight="true" outlineLevel="0" collapsed="false">
      <c r="A18" s="24"/>
      <c r="B18" s="24"/>
      <c r="C18" s="2" t="s">
        <v>178</v>
      </c>
      <c r="D18" s="2"/>
      <c r="E18" s="2"/>
      <c r="F18" s="2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customFormat="false" ht="14.25" hidden="false" customHeight="true" outlineLevel="0" collapsed="false">
      <c r="A19" s="24"/>
      <c r="B19" s="24"/>
      <c r="C19" s="143" t="s">
        <v>118</v>
      </c>
      <c r="D19" s="143" t="s">
        <v>179</v>
      </c>
      <c r="E19" s="143" t="s">
        <v>180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customFormat="false" ht="28.5" hidden="false" customHeight="true" outlineLevel="0" collapsed="false">
      <c r="A20" s="24"/>
      <c r="B20" s="24"/>
      <c r="C20" s="144" t="n">
        <v>1</v>
      </c>
      <c r="D20" s="135" t="s">
        <v>181</v>
      </c>
      <c r="E20" s="144" t="n">
        <v>212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customFormat="false" ht="14.25" hidden="false" customHeight="true" outlineLevel="0" collapsed="false">
      <c r="A21" s="24"/>
      <c r="B21" s="24"/>
      <c r="C21" s="144" t="n">
        <v>2</v>
      </c>
      <c r="D21" s="135" t="s">
        <v>182</v>
      </c>
      <c r="E21" s="144" t="n">
        <v>680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customFormat="false" ht="42" hidden="false" customHeight="true" outlineLevel="0" collapsed="false">
      <c r="A22" s="24"/>
      <c r="B22" s="24"/>
      <c r="C22" s="144" t="n">
        <v>3</v>
      </c>
      <c r="D22" s="135" t="s">
        <v>183</v>
      </c>
      <c r="E22" s="145" t="n">
        <v>2844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customFormat="false" ht="42" hidden="false" customHeight="true" outlineLevel="0" collapsed="false">
      <c r="A23" s="24"/>
      <c r="B23" s="24"/>
      <c r="C23" s="144" t="n">
        <v>4</v>
      </c>
      <c r="D23" s="135" t="s">
        <v>184</v>
      </c>
      <c r="E23" s="145" t="n">
        <v>2844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customFormat="false" ht="14.25" hidden="false" customHeight="true" outlineLevel="0" collapsed="false">
      <c r="A24" s="24"/>
      <c r="B24" s="24"/>
      <c r="C24" s="146"/>
      <c r="D24" s="143" t="s">
        <v>82</v>
      </c>
      <c r="E24" s="143" t="n">
        <f aca="false">SUM(E20:E23)</f>
        <v>6580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customFormat="false" ht="14.25" hidden="false" customHeight="tru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customFormat="false" ht="14.25" hidden="false" customHeight="tru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customFormat="false" ht="14.25" hidden="false" customHeight="tru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customFormat="false" ht="14.25" hidden="false" customHeight="true" outlineLevel="0" collapsed="false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customFormat="false" ht="14.25" hidden="false" customHeight="tru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customFormat="false" ht="14.25" hidden="false" customHeight="true" outlineLevel="0" collapsed="false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customFormat="false" ht="14.25" hidden="false" customHeight="tru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customFormat="false" ht="14.25" hidden="false" customHeight="tru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customFormat="false" ht="14.25" hidden="false" customHeight="tru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customFormat="false" ht="14.25" hidden="false" customHeight="true" outlineLevel="0" collapsed="false">
      <c r="A34" s="24"/>
      <c r="B34" s="24" t="s">
        <v>185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customFormat="false" ht="26.25" hidden="false" customHeight="true" outlineLevel="0" collapsed="false">
      <c r="A35" s="147"/>
      <c r="B35" s="147" t="s">
        <v>121</v>
      </c>
      <c r="C35" s="147" t="s">
        <v>158</v>
      </c>
      <c r="D35" s="147" t="s">
        <v>186</v>
      </c>
      <c r="E35" s="147"/>
      <c r="F35" s="147" t="s">
        <v>187</v>
      </c>
      <c r="G35" s="147" t="s">
        <v>188</v>
      </c>
      <c r="H35" s="147" t="s">
        <v>189</v>
      </c>
      <c r="I35" s="147"/>
      <c r="J35" s="147" t="s">
        <v>190</v>
      </c>
      <c r="K35" s="147" t="s">
        <v>191</v>
      </c>
      <c r="L35" s="147" t="s">
        <v>192</v>
      </c>
      <c r="M35" s="147" t="s">
        <v>193</v>
      </c>
      <c r="N35" s="147" t="s">
        <v>194</v>
      </c>
      <c r="O35" s="147" t="s">
        <v>195</v>
      </c>
      <c r="P35" s="147" t="s">
        <v>196</v>
      </c>
      <c r="Q35" s="147" t="s">
        <v>197</v>
      </c>
      <c r="R35" s="147" t="s">
        <v>198</v>
      </c>
      <c r="S35" s="147" t="s">
        <v>199</v>
      </c>
      <c r="T35" s="147" t="s">
        <v>200</v>
      </c>
      <c r="U35" s="147" t="s">
        <v>201</v>
      </c>
      <c r="V35" s="147" t="s">
        <v>202</v>
      </c>
      <c r="W35" s="147" t="s">
        <v>203</v>
      </c>
      <c r="X35" s="147" t="s">
        <v>204</v>
      </c>
      <c r="Y35" s="147" t="s">
        <v>205</v>
      </c>
      <c r="Z35" s="147" t="s">
        <v>206</v>
      </c>
      <c r="AA35" s="147" t="s">
        <v>207</v>
      </c>
      <c r="AB35" s="147" t="s">
        <v>208</v>
      </c>
      <c r="AC35" s="147" t="s">
        <v>209</v>
      </c>
      <c r="AD35" s="147" t="s">
        <v>210</v>
      </c>
      <c r="AE35" s="147" t="s">
        <v>211</v>
      </c>
      <c r="AF35" s="147" t="s">
        <v>212</v>
      </c>
      <c r="AG35" s="147" t="s">
        <v>213</v>
      </c>
    </row>
    <row r="36" customFormat="false" ht="14.25" hidden="false" customHeight="true" outlineLevel="0" collapsed="false">
      <c r="A36" s="148"/>
      <c r="B36" s="148" t="s">
        <v>214</v>
      </c>
      <c r="C36" s="148" t="s">
        <v>17</v>
      </c>
      <c r="D36" s="149" t="n">
        <v>2143</v>
      </c>
      <c r="E36" s="149"/>
      <c r="F36" s="149" t="n">
        <v>23</v>
      </c>
      <c r="G36" s="149" t="n">
        <v>13</v>
      </c>
      <c r="H36" s="149" t="n">
        <v>10</v>
      </c>
      <c r="I36" s="149"/>
      <c r="J36" s="149" t="n">
        <v>152</v>
      </c>
      <c r="K36" s="149" t="n">
        <v>72</v>
      </c>
      <c r="L36" s="149" t="n">
        <v>80</v>
      </c>
      <c r="M36" s="149" t="n">
        <v>82</v>
      </c>
      <c r="N36" s="149" t="n">
        <v>30</v>
      </c>
      <c r="O36" s="149" t="n">
        <v>52</v>
      </c>
      <c r="P36" s="149" t="n">
        <v>109</v>
      </c>
      <c r="Q36" s="149" t="n">
        <v>53</v>
      </c>
      <c r="R36" s="149" t="n">
        <v>56</v>
      </c>
      <c r="S36" s="149" t="n">
        <v>104</v>
      </c>
      <c r="T36" s="149" t="n">
        <v>53</v>
      </c>
      <c r="U36" s="149" t="n">
        <v>51</v>
      </c>
      <c r="V36" s="149" t="n">
        <v>288</v>
      </c>
      <c r="W36" s="149" t="n">
        <v>0</v>
      </c>
      <c r="X36" s="149" t="n">
        <v>115</v>
      </c>
      <c r="Y36" s="149" t="n">
        <v>370</v>
      </c>
      <c r="Z36" s="149" t="n">
        <v>0</v>
      </c>
      <c r="AA36" s="149" t="n">
        <v>101</v>
      </c>
      <c r="AB36" s="149" t="n">
        <v>591</v>
      </c>
      <c r="AC36" s="149" t="n">
        <v>0</v>
      </c>
      <c r="AD36" s="149" t="n">
        <v>186</v>
      </c>
      <c r="AE36" s="149" t="n">
        <v>424</v>
      </c>
      <c r="AF36" s="149" t="n">
        <v>259</v>
      </c>
      <c r="AG36" s="149" t="n">
        <v>165</v>
      </c>
    </row>
    <row r="37" customFormat="false" ht="14.25" hidden="false" customHeight="true" outlineLevel="0" collapsed="false">
      <c r="A37" s="148"/>
      <c r="B37" s="148" t="s">
        <v>215</v>
      </c>
      <c r="C37" s="148" t="s">
        <v>15</v>
      </c>
      <c r="D37" s="149" t="n">
        <v>1160</v>
      </c>
      <c r="E37" s="149"/>
      <c r="F37" s="149" t="n">
        <v>0</v>
      </c>
      <c r="G37" s="149" t="n">
        <v>0</v>
      </c>
      <c r="H37" s="149" t="n">
        <v>0</v>
      </c>
      <c r="I37" s="149"/>
      <c r="J37" s="149" t="n">
        <v>4</v>
      </c>
      <c r="K37" s="149" t="n">
        <v>2</v>
      </c>
      <c r="L37" s="149" t="n">
        <v>2</v>
      </c>
      <c r="M37" s="149" t="n">
        <v>23</v>
      </c>
      <c r="N37" s="149" t="n">
        <v>10</v>
      </c>
      <c r="O37" s="149" t="n">
        <v>13</v>
      </c>
      <c r="P37" s="149" t="n">
        <v>42</v>
      </c>
      <c r="Q37" s="149" t="n">
        <v>26</v>
      </c>
      <c r="R37" s="149" t="n">
        <v>16</v>
      </c>
      <c r="S37" s="149" t="n">
        <v>51</v>
      </c>
      <c r="T37" s="149" t="n">
        <v>33</v>
      </c>
      <c r="U37" s="149" t="n">
        <v>18</v>
      </c>
      <c r="V37" s="149" t="n">
        <v>269</v>
      </c>
      <c r="W37" s="149" t="n">
        <v>0</v>
      </c>
      <c r="X37" s="149" t="n">
        <v>141</v>
      </c>
      <c r="Y37" s="149" t="n">
        <v>210</v>
      </c>
      <c r="Z37" s="149" t="n">
        <v>0</v>
      </c>
      <c r="AA37" s="149" t="n">
        <v>115</v>
      </c>
      <c r="AB37" s="149" t="n">
        <v>323</v>
      </c>
      <c r="AC37" s="149" t="n">
        <v>0</v>
      </c>
      <c r="AD37" s="149" t="n">
        <v>167</v>
      </c>
      <c r="AE37" s="149" t="n">
        <v>238</v>
      </c>
      <c r="AF37" s="149" t="n">
        <v>124</v>
      </c>
      <c r="AG37" s="149" t="n">
        <v>114</v>
      </c>
    </row>
    <row r="38" customFormat="false" ht="14.25" hidden="false" customHeight="true" outlineLevel="0" collapsed="false">
      <c r="A38" s="148"/>
      <c r="B38" s="148" t="s">
        <v>215</v>
      </c>
      <c r="C38" s="148" t="s">
        <v>14</v>
      </c>
      <c r="D38" s="149" t="n">
        <v>1137</v>
      </c>
      <c r="E38" s="149"/>
      <c r="F38" s="149" t="n">
        <v>0</v>
      </c>
      <c r="G38" s="149" t="n">
        <v>0</v>
      </c>
      <c r="H38" s="149" t="n">
        <v>0</v>
      </c>
      <c r="I38" s="149"/>
      <c r="J38" s="149" t="n">
        <v>25</v>
      </c>
      <c r="K38" s="149" t="n">
        <v>11</v>
      </c>
      <c r="L38" s="149" t="n">
        <v>14</v>
      </c>
      <c r="M38" s="149" t="n">
        <v>354</v>
      </c>
      <c r="N38" s="149" t="n">
        <v>180</v>
      </c>
      <c r="O38" s="149" t="n">
        <v>174</v>
      </c>
      <c r="P38" s="149" t="n">
        <v>15</v>
      </c>
      <c r="Q38" s="149" t="n">
        <v>4</v>
      </c>
      <c r="R38" s="149" t="n">
        <v>11</v>
      </c>
      <c r="S38" s="149" t="n">
        <v>10</v>
      </c>
      <c r="T38" s="149" t="n">
        <v>4</v>
      </c>
      <c r="U38" s="149" t="n">
        <v>6</v>
      </c>
      <c r="V38" s="149" t="n">
        <v>182</v>
      </c>
      <c r="W38" s="149" t="n">
        <v>0</v>
      </c>
      <c r="X38" s="149" t="n">
        <v>54</v>
      </c>
      <c r="Y38" s="149" t="n">
        <v>155</v>
      </c>
      <c r="Z38" s="149" t="n">
        <v>0</v>
      </c>
      <c r="AA38" s="149" t="n">
        <v>52</v>
      </c>
      <c r="AB38" s="149" t="n">
        <v>268</v>
      </c>
      <c r="AC38" s="149" t="n">
        <v>0</v>
      </c>
      <c r="AD38" s="149" t="n">
        <v>116</v>
      </c>
      <c r="AE38" s="149" t="n">
        <v>128</v>
      </c>
      <c r="AF38" s="149" t="n">
        <v>61</v>
      </c>
      <c r="AG38" s="149" t="n">
        <v>67</v>
      </c>
    </row>
    <row r="39" customFormat="false" ht="14.25" hidden="false" customHeight="true" outlineLevel="0" collapsed="false">
      <c r="A39" s="148"/>
      <c r="B39" s="148" t="s">
        <v>216</v>
      </c>
      <c r="C39" s="148" t="s">
        <v>22</v>
      </c>
      <c r="D39" s="149" t="n">
        <v>2389</v>
      </c>
      <c r="E39" s="149"/>
      <c r="F39" s="149" t="n">
        <v>126</v>
      </c>
      <c r="G39" s="149" t="n">
        <v>58</v>
      </c>
      <c r="H39" s="149" t="n">
        <v>68</v>
      </c>
      <c r="I39" s="149"/>
      <c r="J39" s="149" t="n">
        <v>389</v>
      </c>
      <c r="K39" s="149" t="n">
        <v>177</v>
      </c>
      <c r="L39" s="149" t="n">
        <v>212</v>
      </c>
      <c r="M39" s="149" t="n">
        <v>59</v>
      </c>
      <c r="N39" s="149" t="n">
        <v>23</v>
      </c>
      <c r="O39" s="149" t="n">
        <v>36</v>
      </c>
      <c r="P39" s="149" t="n">
        <v>32</v>
      </c>
      <c r="Q39" s="149" t="n">
        <v>17</v>
      </c>
      <c r="R39" s="149" t="n">
        <v>15</v>
      </c>
      <c r="S39" s="149" t="n">
        <v>61</v>
      </c>
      <c r="T39" s="149" t="n">
        <v>33</v>
      </c>
      <c r="U39" s="149" t="n">
        <v>28</v>
      </c>
      <c r="V39" s="149" t="n">
        <v>443</v>
      </c>
      <c r="W39" s="149" t="n">
        <v>0</v>
      </c>
      <c r="X39" s="149" t="n">
        <v>160</v>
      </c>
      <c r="Y39" s="149" t="n">
        <v>427</v>
      </c>
      <c r="Z39" s="149" t="n">
        <v>0</v>
      </c>
      <c r="AA39" s="149" t="n">
        <v>123</v>
      </c>
      <c r="AB39" s="149" t="n">
        <v>495</v>
      </c>
      <c r="AC39" s="149" t="n">
        <v>0</v>
      </c>
      <c r="AD39" s="149" t="n">
        <v>183</v>
      </c>
      <c r="AE39" s="149" t="n">
        <v>357</v>
      </c>
      <c r="AF39" s="149" t="n">
        <v>207</v>
      </c>
      <c r="AG39" s="149" t="n">
        <v>150</v>
      </c>
    </row>
    <row r="40" customFormat="false" ht="14.25" hidden="false" customHeight="true" outlineLevel="0" collapsed="false">
      <c r="A40" s="148"/>
      <c r="B40" s="148" t="s">
        <v>217</v>
      </c>
      <c r="C40" s="148" t="s">
        <v>23</v>
      </c>
      <c r="D40" s="149" t="n">
        <v>339</v>
      </c>
      <c r="E40" s="149"/>
      <c r="F40" s="149" t="n">
        <v>0</v>
      </c>
      <c r="G40" s="149" t="n">
        <v>0</v>
      </c>
      <c r="H40" s="149" t="n">
        <v>0</v>
      </c>
      <c r="I40" s="149"/>
      <c r="J40" s="149" t="n">
        <v>14</v>
      </c>
      <c r="K40" s="149" t="n">
        <v>9</v>
      </c>
      <c r="L40" s="149" t="n">
        <v>5</v>
      </c>
      <c r="M40" s="149" t="n">
        <v>2</v>
      </c>
      <c r="N40" s="149" t="n">
        <v>0</v>
      </c>
      <c r="O40" s="149" t="n">
        <v>2</v>
      </c>
      <c r="P40" s="149" t="n">
        <v>0</v>
      </c>
      <c r="Q40" s="149" t="n">
        <v>0</v>
      </c>
      <c r="R40" s="149" t="n">
        <v>0</v>
      </c>
      <c r="S40" s="149" t="n">
        <v>4</v>
      </c>
      <c r="T40" s="149" t="n">
        <v>3</v>
      </c>
      <c r="U40" s="149" t="n">
        <v>1</v>
      </c>
      <c r="V40" s="149" t="n">
        <v>54</v>
      </c>
      <c r="W40" s="149" t="n">
        <v>0</v>
      </c>
      <c r="X40" s="149" t="n">
        <v>6</v>
      </c>
      <c r="Y40" s="149" t="n">
        <v>71</v>
      </c>
      <c r="Z40" s="149" t="n">
        <v>0</v>
      </c>
      <c r="AA40" s="149" t="n">
        <v>13</v>
      </c>
      <c r="AB40" s="149" t="n">
        <v>108</v>
      </c>
      <c r="AC40" s="149" t="n">
        <v>0</v>
      </c>
      <c r="AD40" s="149" t="n">
        <v>25</v>
      </c>
      <c r="AE40" s="149" t="n">
        <v>86</v>
      </c>
      <c r="AF40" s="149" t="n">
        <v>61</v>
      </c>
      <c r="AG40" s="149" t="n">
        <v>25</v>
      </c>
    </row>
    <row r="41" customFormat="false" ht="14.25" hidden="false" customHeight="true" outlineLevel="0" collapsed="false">
      <c r="A41" s="148"/>
      <c r="B41" s="148" t="s">
        <v>218</v>
      </c>
      <c r="C41" s="148" t="s">
        <v>21</v>
      </c>
      <c r="D41" s="149" t="n">
        <v>3023</v>
      </c>
      <c r="E41" s="149"/>
      <c r="F41" s="149" t="n">
        <v>2</v>
      </c>
      <c r="G41" s="149" t="n">
        <v>2</v>
      </c>
      <c r="H41" s="149" t="n">
        <v>0</v>
      </c>
      <c r="I41" s="149"/>
      <c r="J41" s="149" t="n">
        <v>195</v>
      </c>
      <c r="K41" s="149" t="n">
        <v>102</v>
      </c>
      <c r="L41" s="149" t="n">
        <v>93</v>
      </c>
      <c r="M41" s="149" t="n">
        <v>236</v>
      </c>
      <c r="N41" s="149" t="n">
        <v>128</v>
      </c>
      <c r="O41" s="149" t="n">
        <v>108</v>
      </c>
      <c r="P41" s="149" t="n">
        <v>107</v>
      </c>
      <c r="Q41" s="149" t="n">
        <v>50</v>
      </c>
      <c r="R41" s="149" t="n">
        <v>57</v>
      </c>
      <c r="S41" s="149" t="n">
        <v>158</v>
      </c>
      <c r="T41" s="149" t="n">
        <v>88</v>
      </c>
      <c r="U41" s="149" t="n">
        <v>70</v>
      </c>
      <c r="V41" s="149" t="n">
        <v>684</v>
      </c>
      <c r="W41" s="149" t="n">
        <v>0</v>
      </c>
      <c r="X41" s="149" t="n">
        <v>271</v>
      </c>
      <c r="Y41" s="149" t="n">
        <v>556</v>
      </c>
      <c r="Z41" s="149" t="n">
        <v>0</v>
      </c>
      <c r="AA41" s="149" t="n">
        <v>191</v>
      </c>
      <c r="AB41" s="149" t="n">
        <v>654</v>
      </c>
      <c r="AC41" s="149" t="n">
        <v>0</v>
      </c>
      <c r="AD41" s="149" t="n">
        <v>256</v>
      </c>
      <c r="AE41" s="149" t="n">
        <v>431</v>
      </c>
      <c r="AF41" s="149" t="n">
        <v>271</v>
      </c>
      <c r="AG41" s="149" t="n">
        <v>160</v>
      </c>
    </row>
    <row r="42" customFormat="false" ht="14.25" hidden="false" customHeight="true" outlineLevel="0" collapsed="false">
      <c r="A42" s="148"/>
      <c r="B42" s="148" t="s">
        <v>219</v>
      </c>
      <c r="C42" s="148" t="s">
        <v>20</v>
      </c>
      <c r="D42" s="149" t="n">
        <v>1912</v>
      </c>
      <c r="E42" s="149"/>
      <c r="F42" s="149" t="n">
        <v>1</v>
      </c>
      <c r="G42" s="149" t="n">
        <v>0</v>
      </c>
      <c r="H42" s="149" t="n">
        <v>1</v>
      </c>
      <c r="I42" s="149"/>
      <c r="J42" s="149" t="n">
        <v>16</v>
      </c>
      <c r="K42" s="149" t="n">
        <v>12</v>
      </c>
      <c r="L42" s="149" t="n">
        <v>4</v>
      </c>
      <c r="M42" s="149" t="n">
        <v>29</v>
      </c>
      <c r="N42" s="149" t="n">
        <v>20</v>
      </c>
      <c r="O42" s="149" t="n">
        <v>9</v>
      </c>
      <c r="P42" s="149" t="n">
        <v>25</v>
      </c>
      <c r="Q42" s="149" t="n">
        <v>17</v>
      </c>
      <c r="R42" s="149" t="n">
        <v>8</v>
      </c>
      <c r="S42" s="149" t="n">
        <v>69</v>
      </c>
      <c r="T42" s="149" t="n">
        <v>40</v>
      </c>
      <c r="U42" s="149" t="n">
        <v>29</v>
      </c>
      <c r="V42" s="149" t="n">
        <v>591</v>
      </c>
      <c r="W42" s="149" t="n">
        <v>0</v>
      </c>
      <c r="X42" s="149" t="n">
        <v>203</v>
      </c>
      <c r="Y42" s="149" t="n">
        <v>483</v>
      </c>
      <c r="Z42" s="149" t="n">
        <v>0</v>
      </c>
      <c r="AA42" s="149" t="n">
        <v>183</v>
      </c>
      <c r="AB42" s="149" t="n">
        <v>540</v>
      </c>
      <c r="AC42" s="149" t="n">
        <v>0</v>
      </c>
      <c r="AD42" s="149" t="n">
        <v>220</v>
      </c>
      <c r="AE42" s="149" t="n">
        <v>158</v>
      </c>
      <c r="AF42" s="149" t="n">
        <v>79</v>
      </c>
      <c r="AG42" s="149" t="n">
        <v>79</v>
      </c>
    </row>
    <row r="43" customFormat="false" ht="14.25" hidden="false" customHeight="true" outlineLevel="0" collapsed="false">
      <c r="A43" s="148"/>
      <c r="B43" s="148" t="s">
        <v>220</v>
      </c>
      <c r="C43" s="148" t="s">
        <v>19</v>
      </c>
      <c r="D43" s="149" t="n">
        <v>2118</v>
      </c>
      <c r="E43" s="149"/>
      <c r="F43" s="149" t="n">
        <v>18</v>
      </c>
      <c r="G43" s="149" t="n">
        <v>7</v>
      </c>
      <c r="H43" s="149" t="n">
        <v>11</v>
      </c>
      <c r="I43" s="149"/>
      <c r="J43" s="149" t="n">
        <v>220</v>
      </c>
      <c r="K43" s="149" t="n">
        <v>95</v>
      </c>
      <c r="L43" s="149" t="n">
        <v>125</v>
      </c>
      <c r="M43" s="149" t="n">
        <v>163</v>
      </c>
      <c r="N43" s="149" t="n">
        <v>83</v>
      </c>
      <c r="O43" s="149" t="n">
        <v>80</v>
      </c>
      <c r="P43" s="149" t="n">
        <v>134</v>
      </c>
      <c r="Q43" s="149" t="n">
        <v>70</v>
      </c>
      <c r="R43" s="149" t="n">
        <v>64</v>
      </c>
      <c r="S43" s="149" t="n">
        <v>199</v>
      </c>
      <c r="T43" s="149" t="n">
        <v>98</v>
      </c>
      <c r="U43" s="149" t="n">
        <v>101</v>
      </c>
      <c r="V43" s="149" t="n">
        <v>229</v>
      </c>
      <c r="W43" s="149" t="n">
        <v>0</v>
      </c>
      <c r="X43" s="149" t="n">
        <v>58</v>
      </c>
      <c r="Y43" s="149" t="n">
        <v>323</v>
      </c>
      <c r="Z43" s="149" t="n">
        <v>0</v>
      </c>
      <c r="AA43" s="149" t="n">
        <v>89</v>
      </c>
      <c r="AB43" s="149" t="n">
        <v>474</v>
      </c>
      <c r="AC43" s="149" t="n">
        <v>0</v>
      </c>
      <c r="AD43" s="149" t="n">
        <v>146</v>
      </c>
      <c r="AE43" s="149" t="n">
        <v>358</v>
      </c>
      <c r="AF43" s="149" t="n">
        <v>227</v>
      </c>
      <c r="AG43" s="149" t="n">
        <v>131</v>
      </c>
    </row>
    <row r="44" customFormat="false" ht="14.25" hidden="false" customHeight="true" outlineLevel="0" collapsed="false">
      <c r="A44" s="148"/>
      <c r="B44" s="148" t="s">
        <v>221</v>
      </c>
      <c r="C44" s="148" t="s">
        <v>18</v>
      </c>
      <c r="D44" s="149" t="n">
        <v>2164</v>
      </c>
      <c r="E44" s="149"/>
      <c r="F44" s="149" t="n">
        <v>5</v>
      </c>
      <c r="G44" s="149" t="n">
        <v>5</v>
      </c>
      <c r="H44" s="149" t="n">
        <v>0</v>
      </c>
      <c r="I44" s="149"/>
      <c r="J44" s="149" t="n">
        <v>35</v>
      </c>
      <c r="K44" s="149" t="n">
        <v>19</v>
      </c>
      <c r="L44" s="149" t="n">
        <v>16</v>
      </c>
      <c r="M44" s="149" t="n">
        <v>94</v>
      </c>
      <c r="N44" s="149" t="n">
        <v>53</v>
      </c>
      <c r="O44" s="149" t="n">
        <v>41</v>
      </c>
      <c r="P44" s="149" t="n">
        <v>1</v>
      </c>
      <c r="Q44" s="149" t="n">
        <v>1</v>
      </c>
      <c r="R44" s="149" t="n">
        <v>0</v>
      </c>
      <c r="S44" s="149" t="n">
        <v>18</v>
      </c>
      <c r="T44" s="149" t="n">
        <v>6</v>
      </c>
      <c r="U44" s="149" t="n">
        <v>12</v>
      </c>
      <c r="V44" s="149" t="n">
        <v>599</v>
      </c>
      <c r="W44" s="149" t="n">
        <v>0</v>
      </c>
      <c r="X44" s="149" t="n">
        <v>297</v>
      </c>
      <c r="Y44" s="149" t="n">
        <v>411</v>
      </c>
      <c r="Z44" s="149" t="n">
        <v>0</v>
      </c>
      <c r="AA44" s="149" t="n">
        <v>188</v>
      </c>
      <c r="AB44" s="149" t="n">
        <v>660</v>
      </c>
      <c r="AC44" s="149" t="n">
        <v>0</v>
      </c>
      <c r="AD44" s="149" t="n">
        <v>297</v>
      </c>
      <c r="AE44" s="149" t="n">
        <v>341</v>
      </c>
      <c r="AF44" s="149" t="n">
        <v>163</v>
      </c>
      <c r="AG44" s="149" t="n">
        <v>178</v>
      </c>
    </row>
    <row r="45" customFormat="false" ht="14.25" hidden="false" customHeight="true" outlineLevel="0" collapsed="false">
      <c r="A45" s="148"/>
      <c r="B45" s="148" t="s">
        <v>222</v>
      </c>
      <c r="C45" s="148" t="s">
        <v>16</v>
      </c>
      <c r="D45" s="149" t="n">
        <v>1189</v>
      </c>
      <c r="E45" s="149"/>
      <c r="F45" s="149" t="n">
        <v>45</v>
      </c>
      <c r="G45" s="149" t="n">
        <v>22</v>
      </c>
      <c r="H45" s="149" t="n">
        <v>23</v>
      </c>
      <c r="I45" s="149"/>
      <c r="J45" s="149" t="n">
        <v>130</v>
      </c>
      <c r="K45" s="149" t="n">
        <v>64</v>
      </c>
      <c r="L45" s="149" t="n">
        <v>66</v>
      </c>
      <c r="M45" s="149" t="n">
        <v>13</v>
      </c>
      <c r="N45" s="149" t="n">
        <v>7</v>
      </c>
      <c r="O45" s="149" t="n">
        <v>6</v>
      </c>
      <c r="P45" s="149" t="n">
        <v>5</v>
      </c>
      <c r="Q45" s="149" t="n">
        <v>3</v>
      </c>
      <c r="R45" s="149" t="n">
        <v>2</v>
      </c>
      <c r="S45" s="149" t="n">
        <v>31</v>
      </c>
      <c r="T45" s="149" t="n">
        <v>18</v>
      </c>
      <c r="U45" s="149" t="n">
        <v>13</v>
      </c>
      <c r="V45" s="149" t="n">
        <v>126</v>
      </c>
      <c r="W45" s="149" t="n">
        <v>0</v>
      </c>
      <c r="X45" s="149" t="n">
        <v>38</v>
      </c>
      <c r="Y45" s="149" t="n">
        <v>228</v>
      </c>
      <c r="Z45" s="149" t="n">
        <v>0</v>
      </c>
      <c r="AA45" s="149" t="n">
        <v>50</v>
      </c>
      <c r="AB45" s="149" t="n">
        <v>380</v>
      </c>
      <c r="AC45" s="149" t="n">
        <v>0</v>
      </c>
      <c r="AD45" s="149" t="n">
        <v>129</v>
      </c>
      <c r="AE45" s="149" t="n">
        <v>231</v>
      </c>
      <c r="AF45" s="149" t="n">
        <v>142</v>
      </c>
      <c r="AG45" s="149" t="n">
        <v>89</v>
      </c>
    </row>
    <row r="46" customFormat="false" ht="14.25" hidden="false" customHeight="true" outlineLevel="0" collapsed="false">
      <c r="A46" s="148"/>
      <c r="B46" s="148" t="s">
        <v>223</v>
      </c>
      <c r="C46" s="148" t="s">
        <v>13</v>
      </c>
      <c r="D46" s="149" t="n">
        <v>1521</v>
      </c>
      <c r="E46" s="149"/>
      <c r="F46" s="149" t="n">
        <v>0</v>
      </c>
      <c r="G46" s="149" t="n">
        <v>0</v>
      </c>
      <c r="H46" s="149" t="n">
        <v>0</v>
      </c>
      <c r="I46" s="149"/>
      <c r="J46" s="149" t="n">
        <v>24</v>
      </c>
      <c r="K46" s="149" t="n">
        <v>17</v>
      </c>
      <c r="L46" s="149" t="n">
        <v>7</v>
      </c>
      <c r="M46" s="149" t="n">
        <v>444</v>
      </c>
      <c r="N46" s="149" t="n">
        <v>241</v>
      </c>
      <c r="O46" s="149" t="n">
        <v>203</v>
      </c>
      <c r="P46" s="149" t="n">
        <v>148</v>
      </c>
      <c r="Q46" s="149" t="n">
        <v>71</v>
      </c>
      <c r="R46" s="149" t="n">
        <v>77</v>
      </c>
      <c r="S46" s="149" t="n">
        <v>17</v>
      </c>
      <c r="T46" s="149" t="n">
        <v>8</v>
      </c>
      <c r="U46" s="149" t="n">
        <v>9</v>
      </c>
      <c r="V46" s="149" t="n">
        <v>100</v>
      </c>
      <c r="W46" s="149" t="n">
        <v>0</v>
      </c>
      <c r="X46" s="149" t="n">
        <v>32</v>
      </c>
      <c r="Y46" s="149" t="n">
        <v>148</v>
      </c>
      <c r="Z46" s="149" t="n">
        <v>0</v>
      </c>
      <c r="AA46" s="149" t="n">
        <v>47</v>
      </c>
      <c r="AB46" s="149" t="n">
        <v>332</v>
      </c>
      <c r="AC46" s="149" t="n">
        <v>0</v>
      </c>
      <c r="AD46" s="149" t="n">
        <v>131</v>
      </c>
      <c r="AE46" s="149" t="n">
        <v>308</v>
      </c>
      <c r="AF46" s="149" t="n">
        <v>181</v>
      </c>
      <c r="AG46" s="149" t="n">
        <v>127</v>
      </c>
    </row>
    <row r="47" customFormat="false" ht="14.25" hidden="false" customHeight="true" outlineLevel="0" collapsed="false">
      <c r="A47" s="148"/>
      <c r="B47" s="148" t="s">
        <v>224</v>
      </c>
      <c r="C47" s="148" t="s">
        <v>12</v>
      </c>
      <c r="D47" s="149" t="n">
        <v>2034</v>
      </c>
      <c r="E47" s="149"/>
      <c r="F47" s="149" t="n">
        <v>6</v>
      </c>
      <c r="G47" s="149" t="n">
        <v>3</v>
      </c>
      <c r="H47" s="149" t="n">
        <v>3</v>
      </c>
      <c r="I47" s="149"/>
      <c r="J47" s="149" t="n">
        <v>97</v>
      </c>
      <c r="K47" s="149" t="n">
        <v>50</v>
      </c>
      <c r="L47" s="149" t="n">
        <v>47</v>
      </c>
      <c r="M47" s="149" t="n">
        <v>252</v>
      </c>
      <c r="N47" s="149" t="n">
        <v>112</v>
      </c>
      <c r="O47" s="149" t="n">
        <v>140</v>
      </c>
      <c r="P47" s="149" t="n">
        <v>127</v>
      </c>
      <c r="Q47" s="149" t="n">
        <v>65</v>
      </c>
      <c r="R47" s="149" t="n">
        <v>62</v>
      </c>
      <c r="S47" s="149" t="n">
        <v>75</v>
      </c>
      <c r="T47" s="149" t="n">
        <v>38</v>
      </c>
      <c r="U47" s="149" t="n">
        <v>37</v>
      </c>
      <c r="V47" s="149" t="n">
        <v>318</v>
      </c>
      <c r="W47" s="149" t="n">
        <v>0</v>
      </c>
      <c r="X47" s="149" t="n">
        <v>85</v>
      </c>
      <c r="Y47" s="149" t="n">
        <v>314</v>
      </c>
      <c r="Z47" s="149" t="n">
        <v>0</v>
      </c>
      <c r="AA47" s="149" t="n">
        <v>95</v>
      </c>
      <c r="AB47" s="149" t="n">
        <v>484</v>
      </c>
      <c r="AC47" s="149" t="n">
        <v>0</v>
      </c>
      <c r="AD47" s="149" t="n">
        <v>151</v>
      </c>
      <c r="AE47" s="149" t="n">
        <v>361</v>
      </c>
      <c r="AF47" s="149" t="n">
        <v>229</v>
      </c>
      <c r="AG47" s="149" t="n">
        <v>132</v>
      </c>
    </row>
    <row r="48" customFormat="false" ht="14.25" hidden="false" customHeight="true" outlineLevel="0" collapsed="false">
      <c r="A48" s="16"/>
      <c r="B48" s="16" t="s">
        <v>225</v>
      </c>
      <c r="C48" s="16"/>
      <c r="D48" s="16" t="n">
        <f aca="false">SUM(D36:D47)</f>
        <v>21129</v>
      </c>
      <c r="E48" s="16"/>
      <c r="F48" s="16" t="n">
        <f aca="false">SUM(F36:F47)</f>
        <v>226</v>
      </c>
      <c r="G48" s="16" t="n">
        <f aca="false">SUM(G36:G47)</f>
        <v>110</v>
      </c>
      <c r="H48" s="16" t="n">
        <f aca="false">SUM(H36:H47)</f>
        <v>116</v>
      </c>
      <c r="I48" s="16"/>
      <c r="J48" s="16" t="n">
        <f aca="false">SUM(J36:J47)</f>
        <v>1301</v>
      </c>
      <c r="K48" s="16" t="n">
        <f aca="false">SUM(K36:K47)</f>
        <v>630</v>
      </c>
      <c r="L48" s="16" t="n">
        <f aca="false">SUM(L36:L47)</f>
        <v>671</v>
      </c>
      <c r="M48" s="16" t="n">
        <f aca="false">SUM(M36:M47)</f>
        <v>1751</v>
      </c>
      <c r="N48" s="16" t="n">
        <f aca="false">SUM(N36:N47)</f>
        <v>887</v>
      </c>
      <c r="O48" s="16" t="n">
        <f aca="false">SUM(O36:O47)</f>
        <v>864</v>
      </c>
      <c r="P48" s="16" t="n">
        <f aca="false">SUM(P36:P47)</f>
        <v>745</v>
      </c>
      <c r="Q48" s="16" t="n">
        <f aca="false">SUM(Q36:Q47)</f>
        <v>377</v>
      </c>
      <c r="R48" s="16" t="n">
        <f aca="false">SUM(R36:R47)</f>
        <v>368</v>
      </c>
      <c r="S48" s="16" t="n">
        <f aca="false">SUM(S36:S47)</f>
        <v>797</v>
      </c>
      <c r="T48" s="16" t="n">
        <f aca="false">SUM(T36:T47)</f>
        <v>422</v>
      </c>
      <c r="U48" s="16" t="n">
        <f aca="false">SUM(U36:U47)</f>
        <v>375</v>
      </c>
      <c r="V48" s="16" t="n">
        <f aca="false">SUM(V36:V47)</f>
        <v>3883</v>
      </c>
      <c r="W48" s="16" t="n">
        <f aca="false">SUM(W36:W47)</f>
        <v>0</v>
      </c>
      <c r="X48" s="16" t="n">
        <f aca="false">SUM(X36:X47)</f>
        <v>1460</v>
      </c>
      <c r="Y48" s="16" t="n">
        <f aca="false">SUM(Y36:Y47)</f>
        <v>3696</v>
      </c>
      <c r="Z48" s="16" t="n">
        <f aca="false">SUM(Z36:Z47)</f>
        <v>0</v>
      </c>
      <c r="AA48" s="16" t="n">
        <f aca="false">SUM(AA36:AA47)</f>
        <v>1247</v>
      </c>
      <c r="AB48" s="16" t="n">
        <f aca="false">SUM(AB36:AB47)</f>
        <v>5309</v>
      </c>
      <c r="AC48" s="16" t="n">
        <f aca="false">SUM(AC36:AC47)</f>
        <v>0</v>
      </c>
      <c r="AD48" s="16" t="n">
        <f aca="false">SUM(AD36:AD47)</f>
        <v>2007</v>
      </c>
      <c r="AE48" s="16" t="n">
        <f aca="false">SUM(AE36:AE47)</f>
        <v>3421</v>
      </c>
      <c r="AF48" s="16" t="n">
        <f aca="false">SUM(AF36:AF47)</f>
        <v>2004</v>
      </c>
      <c r="AG48" s="16" t="n">
        <f aca="false">SUM(AG36:AG47)</f>
        <v>1417</v>
      </c>
    </row>
    <row r="49" customFormat="false" ht="14.25" hidden="false" customHeight="tru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customFormat="false" ht="14.25" hidden="false" customHeight="tru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customFormat="false" ht="14.25" hidden="false" customHeight="true" outlineLevel="0" collapsed="false">
      <c r="A51" s="16"/>
      <c r="B51" s="16" t="s">
        <v>226</v>
      </c>
      <c r="C51" s="16"/>
      <c r="D51" s="16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customFormat="false" ht="14.25" hidden="false" customHeight="true" outlineLevel="0" collapsed="false">
      <c r="A52" s="16"/>
      <c r="B52" s="16" t="s">
        <v>165</v>
      </c>
      <c r="C52" s="16"/>
      <c r="D52" s="16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customFormat="false" ht="14.25" hidden="false" customHeight="tru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customFormat="false" ht="14.25" hidden="false" customHeight="true" outlineLevel="0" collapsed="false">
      <c r="A54" s="24"/>
      <c r="B54" s="16" t="s">
        <v>227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customFormat="false" ht="14.25" hidden="false" customHeight="true" outlineLevel="0" collapsed="false">
      <c r="A55" s="24"/>
      <c r="B55" s="16" t="s">
        <v>228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customFormat="false" ht="14.25" hidden="false" customHeight="true" outlineLevel="0" collapsed="false">
      <c r="A56" s="24"/>
      <c r="B56" s="24" t="s">
        <v>229</v>
      </c>
      <c r="C56" s="24" t="s">
        <v>230</v>
      </c>
      <c r="D56" s="24" t="s">
        <v>82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customFormat="false" ht="14.25" hidden="false" customHeight="true" outlineLevel="0" collapsed="false">
      <c r="A57" s="24"/>
      <c r="B57" s="24" t="n">
        <v>1629</v>
      </c>
      <c r="C57" s="24" t="n">
        <v>3541</v>
      </c>
      <c r="D57" s="24" t="n">
        <f aca="false">SUM(B57:C57)</f>
        <v>5170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customFormat="false" ht="14.25" hidden="false" customHeight="tru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customFormat="false" ht="14.25" hidden="false" customHeight="true" outlineLevel="0" collapsed="false">
      <c r="A59" s="24"/>
      <c r="B59" s="24" t="s">
        <v>231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customFormat="false" ht="14.25" hidden="false" customHeight="true" outlineLevel="0" collapsed="false">
      <c r="A60" s="150"/>
      <c r="B60" s="132" t="s">
        <v>232</v>
      </c>
      <c r="C60" s="132"/>
      <c r="D60" s="132"/>
      <c r="E60" s="132" t="s">
        <v>233</v>
      </c>
      <c r="F60" s="132"/>
      <c r="G60" s="132"/>
      <c r="H60" s="132"/>
      <c r="I60" s="150"/>
      <c r="J60" s="132" t="s">
        <v>234</v>
      </c>
      <c r="K60" s="132"/>
      <c r="L60" s="132"/>
      <c r="M60" s="132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customFormat="false" ht="14.25" hidden="false" customHeight="true" outlineLevel="0" collapsed="false">
      <c r="A61" s="24" t="s">
        <v>235</v>
      </c>
      <c r="B61" s="24" t="s">
        <v>236</v>
      </c>
      <c r="C61" s="24" t="s">
        <v>237</v>
      </c>
      <c r="D61" s="24" t="s">
        <v>153</v>
      </c>
      <c r="E61" s="24" t="s">
        <v>238</v>
      </c>
      <c r="F61" s="24" t="s">
        <v>236</v>
      </c>
      <c r="G61" s="24" t="s">
        <v>239</v>
      </c>
      <c r="H61" s="24" t="s">
        <v>240</v>
      </c>
      <c r="I61" s="24" t="s">
        <v>238</v>
      </c>
      <c r="J61" s="24" t="s">
        <v>241</v>
      </c>
      <c r="K61" s="24" t="s">
        <v>236</v>
      </c>
      <c r="L61" s="24" t="s">
        <v>242</v>
      </c>
      <c r="M61" s="24" t="s">
        <v>243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customFormat="false" ht="14.25" hidden="false" customHeight="true" outlineLevel="0" collapsed="false">
      <c r="A62" s="16" t="n">
        <f aca="false">SUM(B62:D62)</f>
        <v>4677</v>
      </c>
      <c r="B62" s="24" t="n">
        <v>3679</v>
      </c>
      <c r="C62" s="24" t="n">
        <v>497</v>
      </c>
      <c r="D62" s="24" t="n">
        <v>501</v>
      </c>
      <c r="E62" s="16" t="n">
        <f aca="false">SUM(F62:H62)</f>
        <v>3129</v>
      </c>
      <c r="F62" s="24" t="n">
        <v>2702</v>
      </c>
      <c r="G62" s="24" t="n">
        <v>259</v>
      </c>
      <c r="H62" s="24" t="n">
        <v>168</v>
      </c>
      <c r="I62" s="16" t="n">
        <f aca="false">SUM(J62:M62)</f>
        <v>4683</v>
      </c>
      <c r="J62" s="24" t="n">
        <v>430</v>
      </c>
      <c r="K62" s="24" t="n">
        <v>3456</v>
      </c>
      <c r="L62" s="24" t="n">
        <v>405</v>
      </c>
      <c r="M62" s="24" t="n">
        <v>392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customFormat="false" ht="14.25" hidden="false" customHeight="tru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customFormat="false" ht="14.25" hidden="false" customHeight="true" outlineLevel="0" collapsed="false">
      <c r="A64" s="132" t="s">
        <v>244</v>
      </c>
      <c r="B64" s="132"/>
      <c r="C64" s="132"/>
      <c r="D64" s="132" t="s">
        <v>245</v>
      </c>
      <c r="E64" s="132"/>
      <c r="F64" s="132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customFormat="false" ht="14.25" hidden="false" customHeight="true" outlineLevel="0" collapsed="false">
      <c r="A65" s="24" t="s">
        <v>246</v>
      </c>
      <c r="B65" s="24" t="s">
        <v>236</v>
      </c>
      <c r="C65" s="24" t="s">
        <v>247</v>
      </c>
      <c r="D65" s="24" t="s">
        <v>246</v>
      </c>
      <c r="E65" s="24" t="s">
        <v>248</v>
      </c>
      <c r="F65" s="24" t="s">
        <v>236</v>
      </c>
      <c r="G65" s="24" t="s">
        <v>249</v>
      </c>
      <c r="H65" s="24" t="s">
        <v>250</v>
      </c>
      <c r="I65" s="24" t="s">
        <v>251</v>
      </c>
      <c r="J65" s="24" t="s">
        <v>252</v>
      </c>
      <c r="K65" s="24" t="s">
        <v>253</v>
      </c>
      <c r="L65" s="24" t="s">
        <v>254</v>
      </c>
      <c r="M65" s="24" t="s">
        <v>255</v>
      </c>
      <c r="N65" s="24" t="s">
        <v>256</v>
      </c>
      <c r="O65" s="24" t="s">
        <v>257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customFormat="false" ht="14.25" hidden="false" customHeight="true" outlineLevel="0" collapsed="false">
      <c r="A66" s="16" t="n">
        <v>4684</v>
      </c>
      <c r="B66" s="24" t="n">
        <v>3851</v>
      </c>
      <c r="C66" s="24" t="n">
        <v>833</v>
      </c>
      <c r="D66" s="16" t="n">
        <v>1072</v>
      </c>
      <c r="E66" s="24" t="n">
        <v>3</v>
      </c>
      <c r="F66" s="24" t="n">
        <v>1069</v>
      </c>
      <c r="G66" s="24" t="n">
        <v>250</v>
      </c>
      <c r="H66" s="24" t="n">
        <v>2</v>
      </c>
      <c r="I66" s="24" t="n">
        <v>248</v>
      </c>
      <c r="J66" s="24" t="n">
        <v>36</v>
      </c>
      <c r="K66" s="24" t="n">
        <v>0</v>
      </c>
      <c r="L66" s="24" t="n">
        <v>36</v>
      </c>
      <c r="M66" s="24" t="n">
        <v>187</v>
      </c>
      <c r="N66" s="24" t="n">
        <v>1</v>
      </c>
      <c r="O66" s="24" t="n">
        <v>186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customFormat="false" ht="14.25" hidden="false" customHeight="tru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customFormat="false" ht="14.25" hidden="false" customHeight="true" outlineLevel="0" collapsed="false">
      <c r="A68" s="24" t="s">
        <v>258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customFormat="false" ht="14.25" hidden="false" customHeight="true" outlineLevel="0" collapsed="false">
      <c r="A69" s="24" t="s">
        <v>246</v>
      </c>
      <c r="B69" s="24" t="s">
        <v>236</v>
      </c>
      <c r="C69" s="24" t="s">
        <v>259</v>
      </c>
      <c r="D69" s="24" t="s">
        <v>260</v>
      </c>
      <c r="E69" s="24" t="s">
        <v>261</v>
      </c>
      <c r="F69" s="24" t="s">
        <v>262</v>
      </c>
      <c r="G69" s="24" t="s">
        <v>263</v>
      </c>
      <c r="H69" s="24" t="s">
        <v>257</v>
      </c>
      <c r="I69" s="24" t="s">
        <v>264</v>
      </c>
      <c r="J69" s="24" t="s">
        <v>265</v>
      </c>
      <c r="K69" s="24" t="s">
        <v>254</v>
      </c>
      <c r="L69" s="24" t="s">
        <v>266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customFormat="false" ht="14.25" hidden="false" customHeight="true" outlineLevel="0" collapsed="false">
      <c r="A70" s="24" t="n">
        <v>210</v>
      </c>
      <c r="B70" s="24" t="n">
        <v>208</v>
      </c>
      <c r="C70" s="24" t="n">
        <v>2</v>
      </c>
      <c r="D70" s="24" t="n">
        <v>47</v>
      </c>
      <c r="E70" s="24" t="n">
        <v>47</v>
      </c>
      <c r="F70" s="24" t="n">
        <v>0</v>
      </c>
      <c r="G70" s="24" t="n">
        <v>38</v>
      </c>
      <c r="H70" s="24" t="n">
        <v>38</v>
      </c>
      <c r="I70" s="24" t="n">
        <v>0</v>
      </c>
      <c r="J70" s="24" t="n">
        <v>2</v>
      </c>
      <c r="K70" s="24" t="n">
        <v>2</v>
      </c>
      <c r="L70" s="24" t="n">
        <v>0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customFormat="false" ht="14.25" hidden="false" customHeight="tru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customFormat="false" ht="14.25" hidden="false" customHeight="true" outlineLevel="0" collapsed="false">
      <c r="A72" s="24" t="s">
        <v>267</v>
      </c>
      <c r="B72" s="24"/>
      <c r="C72" s="24"/>
      <c r="D72" s="24"/>
      <c r="E72" s="24" t="s">
        <v>268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customFormat="false" ht="14.25" hidden="false" customHeight="true" outlineLevel="0" collapsed="false">
      <c r="A73" s="24" t="s">
        <v>238</v>
      </c>
      <c r="B73" s="24" t="s">
        <v>269</v>
      </c>
      <c r="C73" s="24" t="s">
        <v>270</v>
      </c>
      <c r="D73" s="24" t="s">
        <v>271</v>
      </c>
      <c r="E73" s="24" t="s">
        <v>238</v>
      </c>
      <c r="F73" s="24" t="s">
        <v>236</v>
      </c>
      <c r="G73" s="24" t="s">
        <v>272</v>
      </c>
      <c r="H73" s="24" t="s">
        <v>273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customFormat="false" ht="14.25" hidden="false" customHeight="true" outlineLevel="0" collapsed="false">
      <c r="A74" s="24" t="n">
        <v>437</v>
      </c>
      <c r="B74" s="24" t="n">
        <v>437</v>
      </c>
      <c r="C74" s="24" t="n">
        <v>0</v>
      </c>
      <c r="D74" s="24" t="n">
        <v>0</v>
      </c>
      <c r="E74" s="24" t="n">
        <v>207</v>
      </c>
      <c r="F74" s="24" t="n">
        <v>207</v>
      </c>
      <c r="G74" s="24" t="n">
        <v>0</v>
      </c>
      <c r="H74" s="24" t="n">
        <v>0</v>
      </c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customFormat="false" ht="14.25" hidden="false" customHeight="tru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customFormat="false" ht="14.25" hidden="false" customHeight="true" outlineLevel="0" collapsed="false">
      <c r="A76" s="24" t="s">
        <v>274</v>
      </c>
      <c r="B76" s="24"/>
      <c r="C76" s="24"/>
      <c r="D76" s="24"/>
      <c r="E76" s="24" t="s">
        <v>275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customFormat="false" ht="14.25" hidden="false" customHeight="true" outlineLevel="0" collapsed="false">
      <c r="A77" s="24" t="s">
        <v>238</v>
      </c>
      <c r="B77" s="24" t="s">
        <v>276</v>
      </c>
      <c r="C77" s="24" t="s">
        <v>277</v>
      </c>
      <c r="D77" s="24" t="s">
        <v>278</v>
      </c>
      <c r="E77" s="24" t="s">
        <v>238</v>
      </c>
      <c r="F77" s="24" t="s">
        <v>279</v>
      </c>
      <c r="G77" s="24" t="s">
        <v>280</v>
      </c>
      <c r="H77" s="24" t="s">
        <v>281</v>
      </c>
      <c r="I77" s="24" t="s">
        <v>282</v>
      </c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customFormat="false" ht="14.25" hidden="false" customHeight="true" outlineLevel="0" collapsed="false">
      <c r="A78" s="24" t="n">
        <v>368</v>
      </c>
      <c r="B78" s="24" t="n">
        <v>194</v>
      </c>
      <c r="C78" s="24" t="n">
        <v>155</v>
      </c>
      <c r="D78" s="24" t="n">
        <v>19</v>
      </c>
      <c r="E78" s="24" t="n">
        <v>7</v>
      </c>
      <c r="F78" s="24" t="n">
        <v>7</v>
      </c>
      <c r="G78" s="24" t="n">
        <v>0</v>
      </c>
      <c r="H78" s="24" t="n">
        <v>0</v>
      </c>
      <c r="I78" s="24" t="n">
        <v>0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customFormat="false" ht="14.25" hidden="false" customHeight="true" outlineLevel="0" collapsed="false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customFormat="false" ht="14.25" hidden="false" customHeight="true" outlineLevel="0" collapsed="false">
      <c r="A80" s="24" t="s">
        <v>283</v>
      </c>
      <c r="B80" s="24"/>
      <c r="C80" s="24"/>
      <c r="D80" s="24"/>
      <c r="E80" s="24" t="s">
        <v>284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customFormat="false" ht="14.25" hidden="false" customHeight="true" outlineLevel="0" collapsed="false">
      <c r="A81" s="24" t="s">
        <v>238</v>
      </c>
      <c r="B81" s="24" t="s">
        <v>276</v>
      </c>
      <c r="C81" s="24" t="s">
        <v>285</v>
      </c>
      <c r="D81" s="24" t="s">
        <v>286</v>
      </c>
      <c r="E81" s="24" t="s">
        <v>238</v>
      </c>
      <c r="F81" s="24" t="s">
        <v>276</v>
      </c>
      <c r="G81" s="24" t="s">
        <v>286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customFormat="false" ht="14.25" hidden="false" customHeight="true" outlineLevel="0" collapsed="false">
      <c r="A82" s="24" t="n">
        <v>27</v>
      </c>
      <c r="B82" s="24" t="n">
        <v>0</v>
      </c>
      <c r="C82" s="24" t="n">
        <v>25</v>
      </c>
      <c r="D82" s="24" t="n">
        <v>2</v>
      </c>
      <c r="E82" s="24" t="n">
        <v>24</v>
      </c>
      <c r="F82" s="24" t="n">
        <v>22</v>
      </c>
      <c r="G82" s="24" t="n">
        <v>2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customFormat="false" ht="14.25" hidden="false" customHeight="tru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customFormat="false" ht="14.25" hidden="false" customHeight="true" outlineLevel="0" collapsed="false">
      <c r="A84" s="24" t="s">
        <v>287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customFormat="false" ht="14.25" hidden="false" customHeight="true" outlineLevel="0" collapsed="false">
      <c r="A85" s="24" t="s">
        <v>238</v>
      </c>
      <c r="B85" s="24" t="s">
        <v>288</v>
      </c>
      <c r="C85" s="24" t="s">
        <v>289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customFormat="false" ht="14.25" hidden="false" customHeight="true" outlineLevel="0" collapsed="false">
      <c r="A86" s="24" t="n">
        <v>1</v>
      </c>
      <c r="B86" s="24" t="n">
        <v>1</v>
      </c>
      <c r="C86" s="24" t="n"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customFormat="false" ht="14.2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customFormat="false" ht="14.25" hidden="false" customHeight="true" outlineLevel="0" collapsed="false">
      <c r="A88" s="24" t="s">
        <v>290</v>
      </c>
      <c r="B88" s="24"/>
      <c r="C88" s="24"/>
      <c r="D88" s="24"/>
      <c r="E88" s="24"/>
      <c r="F88" s="24" t="s">
        <v>291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customFormat="false" ht="14.25" hidden="false" customHeight="true" outlineLevel="0" collapsed="false">
      <c r="A89" s="24" t="s">
        <v>238</v>
      </c>
      <c r="B89" s="24" t="s">
        <v>236</v>
      </c>
      <c r="C89" s="24" t="s">
        <v>292</v>
      </c>
      <c r="D89" s="24" t="s">
        <v>293</v>
      </c>
      <c r="E89" s="24" t="s">
        <v>294</v>
      </c>
      <c r="F89" s="24" t="s">
        <v>238</v>
      </c>
      <c r="G89" s="24" t="s">
        <v>295</v>
      </c>
      <c r="H89" s="24" t="s">
        <v>296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customFormat="false" ht="14.25" hidden="false" customHeight="true" outlineLevel="0" collapsed="false">
      <c r="A90" s="24" t="n">
        <v>2351</v>
      </c>
      <c r="B90" s="24" t="n">
        <v>1982</v>
      </c>
      <c r="C90" s="24" t="n">
        <v>265</v>
      </c>
      <c r="D90" s="24" t="n">
        <v>92</v>
      </c>
      <c r="E90" s="24" t="n">
        <v>12</v>
      </c>
      <c r="F90" s="24" t="n">
        <v>852</v>
      </c>
      <c r="G90" s="24" t="n">
        <v>823</v>
      </c>
      <c r="H90" s="24" t="n">
        <v>29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customFormat="false" ht="14.25" hidden="false" customHeight="tru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customFormat="false" ht="14.25" hidden="false" customHeight="true" outlineLevel="0" collapsed="false">
      <c r="A92" s="24" t="s">
        <v>297</v>
      </c>
      <c r="B92" s="24"/>
      <c r="C92" s="24"/>
      <c r="D92" s="24" t="s">
        <v>298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customFormat="false" ht="14.25" hidden="false" customHeight="true" outlineLevel="0" collapsed="false">
      <c r="A93" s="24" t="s">
        <v>238</v>
      </c>
      <c r="B93" s="24" t="s">
        <v>236</v>
      </c>
      <c r="C93" s="24" t="s">
        <v>299</v>
      </c>
      <c r="D93" s="24" t="s">
        <v>246</v>
      </c>
      <c r="E93" s="24" t="s">
        <v>236</v>
      </c>
      <c r="F93" s="24" t="s">
        <v>300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customFormat="false" ht="14.25" hidden="false" customHeight="true" outlineLevel="0" collapsed="false">
      <c r="A94" s="24" t="n">
        <v>2401</v>
      </c>
      <c r="B94" s="24" t="n">
        <v>2298</v>
      </c>
      <c r="C94" s="24" t="n">
        <v>103</v>
      </c>
      <c r="D94" s="24" t="n">
        <v>1530</v>
      </c>
      <c r="E94" s="24" t="n">
        <v>1529</v>
      </c>
      <c r="F94" s="24" t="n">
        <v>1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customFormat="false" ht="14.25" hidden="false" customHeight="tru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customFormat="false" ht="14.25" hidden="false" customHeight="true" outlineLevel="0" collapsed="false">
      <c r="A96" s="24" t="s">
        <v>301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customFormat="false" ht="14.25" hidden="false" customHeight="true" outlineLevel="0" collapsed="false">
      <c r="A97" s="24" t="s">
        <v>238</v>
      </c>
      <c r="B97" s="24" t="s">
        <v>276</v>
      </c>
      <c r="C97" s="24" t="s">
        <v>278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customFormat="false" ht="14.25" hidden="false" customHeight="true" outlineLevel="0" collapsed="false">
      <c r="A98" s="24" t="n">
        <v>178</v>
      </c>
      <c r="B98" s="24" t="n">
        <v>177</v>
      </c>
      <c r="C98" s="24" t="n">
        <v>1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customFormat="false" ht="14.25" hidden="false" customHeight="true" outlineLevel="0" collapsed="false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customFormat="false" ht="14.25" hidden="false" customHeight="true" outlineLevel="0" collapsed="false">
      <c r="A100" s="16" t="s">
        <v>227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customFormat="false" ht="14.25" hidden="false" customHeight="true" outlineLevel="0" collapsed="false">
      <c r="A101" s="16" t="s">
        <v>302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customFormat="false" ht="14.2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customFormat="false" ht="14.25" hidden="false" customHeight="true" outlineLevel="0" collapsed="false">
      <c r="A103" s="24" t="s">
        <v>229</v>
      </c>
      <c r="B103" s="24" t="s">
        <v>230</v>
      </c>
      <c r="C103" s="24" t="s">
        <v>82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customFormat="false" ht="14.25" hidden="false" customHeight="true" outlineLevel="0" collapsed="false">
      <c r="A104" s="24" t="n">
        <v>1506</v>
      </c>
      <c r="B104" s="24" t="n">
        <v>3174</v>
      </c>
      <c r="C104" s="24" t="n">
        <f aca="false">SUM(A104:B104)</f>
        <v>4680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customFormat="false" ht="14.25" hidden="false" customHeight="true" outlineLevel="0" collapsed="false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customFormat="false" ht="14.25" hidden="false" customHeight="true" outlineLevel="0" collapsed="false">
      <c r="A106" s="24" t="s">
        <v>303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customFormat="false" ht="14.25" hidden="false" customHeight="true" outlineLevel="0" collapsed="false">
      <c r="A107" s="24" t="s">
        <v>304</v>
      </c>
      <c r="B107" s="24" t="s">
        <v>305</v>
      </c>
      <c r="C107" s="24" t="s">
        <v>306</v>
      </c>
      <c r="D107" s="24" t="s">
        <v>307</v>
      </c>
      <c r="E107" s="24" t="s">
        <v>308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customFormat="false" ht="14.25" hidden="false" customHeight="true" outlineLevel="0" collapsed="false">
      <c r="A108" s="24" t="n">
        <v>4</v>
      </c>
      <c r="B108" s="24" t="n">
        <v>2</v>
      </c>
      <c r="C108" s="24" t="n">
        <v>0</v>
      </c>
      <c r="D108" s="24" t="n">
        <v>0</v>
      </c>
      <c r="E108" s="24" t="n">
        <v>2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customFormat="false" ht="14.25" hidden="false" customHeight="true" outlineLevel="0" collapsed="false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customFormat="false" ht="14.25" hidden="false" customHeight="true" outlineLevel="0" collapsed="false">
      <c r="A110" s="24" t="s">
        <v>309</v>
      </c>
      <c r="B110" s="24" t="s">
        <v>310</v>
      </c>
      <c r="C110" s="24" t="s">
        <v>311</v>
      </c>
      <c r="D110" s="24" t="s">
        <v>312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customFormat="false" ht="14.25" hidden="false" customHeight="true" outlineLevel="0" collapsed="false">
      <c r="A111" s="24" t="n">
        <v>453</v>
      </c>
      <c r="B111" s="24" t="n">
        <v>143</v>
      </c>
      <c r="C111" s="24" t="n">
        <v>1</v>
      </c>
      <c r="D111" s="24" t="n">
        <v>0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customFormat="false" ht="14.25" hidden="false" customHeight="true" outlineLevel="0" collapsed="false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customFormat="false" ht="14.25" hidden="false" customHeight="true" outlineLevel="0" collapsed="false">
      <c r="A113" s="24" t="s">
        <v>313</v>
      </c>
      <c r="B113" s="24" t="s">
        <v>314</v>
      </c>
      <c r="C113" s="24" t="s">
        <v>315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customFormat="false" ht="14.25" hidden="false" customHeight="true" outlineLevel="0" collapsed="false">
      <c r="A114" s="24" t="n">
        <v>0</v>
      </c>
      <c r="B114" s="24" t="n">
        <v>0</v>
      </c>
      <c r="C114" s="24" t="n">
        <v>0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customFormat="false" ht="14.25" hidden="false" customHeight="true" outlineLevel="0" collapsed="false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customFormat="false" ht="14.25" hidden="false" customHeight="true" outlineLevel="0" collapsed="false">
      <c r="A116" s="24" t="s">
        <v>316</v>
      </c>
      <c r="B116" s="24" t="s">
        <v>317</v>
      </c>
      <c r="C116" s="24" t="s">
        <v>318</v>
      </c>
      <c r="D116" s="24" t="s">
        <v>319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customFormat="false" ht="14.25" hidden="false" customHeight="true" outlineLevel="0" collapsed="false">
      <c r="A117" s="24" t="n">
        <v>0</v>
      </c>
      <c r="B117" s="24" t="n">
        <v>0</v>
      </c>
      <c r="C117" s="24" t="n">
        <v>0</v>
      </c>
      <c r="D117" s="24" t="n">
        <v>0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customFormat="false" ht="14.25" hidden="false" customHeight="true" outlineLevel="0" collapsed="false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customFormat="false" ht="14.25" hidden="false" customHeight="true" outlineLevel="0" collapsed="false">
      <c r="A119" s="24" t="s">
        <v>320</v>
      </c>
      <c r="B119" s="24" t="s">
        <v>321</v>
      </c>
      <c r="C119" s="24" t="s">
        <v>291</v>
      </c>
      <c r="D119" s="24" t="s">
        <v>322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customFormat="false" ht="14.25" hidden="false" customHeight="true" outlineLevel="0" collapsed="false">
      <c r="A120" s="24" t="n">
        <v>0</v>
      </c>
      <c r="B120" s="24" t="n">
        <v>0</v>
      </c>
      <c r="C120" s="24" t="n">
        <v>0</v>
      </c>
      <c r="D120" s="24" t="n">
        <v>0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customFormat="false" ht="14.25" hidden="false" customHeight="true" outlineLevel="0" collapsed="false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customFormat="false" ht="14.25" hidden="false" customHeight="true" outlineLevel="0" collapsed="false">
      <c r="A122" s="24" t="s">
        <v>301</v>
      </c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customFormat="false" ht="14.25" hidden="false" customHeight="true" outlineLevel="0" collapsed="false">
      <c r="A123" s="24" t="s">
        <v>323</v>
      </c>
      <c r="B123" s="24" t="s">
        <v>324</v>
      </c>
      <c r="C123" s="24" t="s">
        <v>325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customFormat="false" ht="14.25" hidden="false" customHeight="true" outlineLevel="0" collapsed="false">
      <c r="A124" s="24" t="n">
        <v>0</v>
      </c>
      <c r="B124" s="24" t="n">
        <v>0</v>
      </c>
      <c r="C124" s="24" t="n">
        <v>0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customFormat="false" ht="14.25" hidden="false" customHeight="true" outlineLevel="0" collapsed="false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customFormat="false" ht="14.25" hidden="false" customHeight="true" outlineLevel="0" collapsed="false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customFormat="false" ht="14.25" hidden="false" customHeight="tru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customFormat="false" ht="14.25" hidden="false" customHeight="true" outlineLevel="0" collapsed="false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customFormat="false" ht="14.25" hidden="false" customHeight="true" outlineLevel="0" collapsed="false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customFormat="false" ht="14.25" hidden="false" customHeight="true" outlineLevel="0" collapsed="false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customFormat="false" ht="14.25" hidden="false" customHeight="true" outlineLevel="0" collapsed="false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customFormat="false" ht="14.25" hidden="false" customHeight="true" outlineLevel="0" collapsed="false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customFormat="false" ht="14.25" hidden="false" customHeight="true" outlineLevel="0" collapsed="false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customFormat="false" ht="14.25" hidden="false" customHeight="tru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customFormat="false" ht="14.25" hidden="false" customHeight="true" outlineLevel="0" collapsed="false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customFormat="false" ht="14.25" hidden="false" customHeight="true" outlineLevel="0" collapsed="false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customFormat="false" ht="14.25" hidden="false" customHeight="true" outlineLevel="0" collapsed="false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customFormat="false" ht="14.25" hidden="false" customHeight="true" outlineLevel="0" collapsed="false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customFormat="false" ht="14.25" hidden="false" customHeight="true" outlineLevel="0" collapsed="false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customFormat="false" ht="14.25" hidden="false" customHeight="true" outlineLevel="0" collapsed="false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customFormat="false" ht="14.2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customFormat="false" ht="14.2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customFormat="false" ht="14.25" hidden="false" customHeight="true" outlineLevel="0" collapsed="false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customFormat="false" ht="14.25" hidden="false" customHeight="true" outlineLevel="0" collapsed="false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customFormat="false" ht="14.25" hidden="false" customHeight="true" outlineLevel="0" collapsed="false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customFormat="false" ht="14.25" hidden="false" customHeight="true" outlineLevel="0" collapsed="false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customFormat="false" ht="14.25" hidden="false" customHeight="true" outlineLevel="0" collapsed="false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customFormat="false" ht="14.2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customFormat="false" ht="14.2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customFormat="false" ht="14.25" hidden="false" customHeight="true" outlineLevel="0" collapsed="false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customFormat="false" ht="14.25" hidden="false" customHeight="true" outlineLevel="0" collapsed="false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customFormat="false" ht="14.25" hidden="false" customHeight="true" outlineLevel="0" collapsed="false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customFormat="false" ht="14.25" hidden="false" customHeight="true" outlineLevel="0" collapsed="false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customFormat="false" ht="14.25" hidden="false" customHeight="true" outlineLevel="0" collapsed="false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customFormat="false" ht="14.25" hidden="false" customHeight="true" outlineLevel="0" collapsed="false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customFormat="false" ht="14.2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customFormat="false" ht="14.2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customFormat="false" ht="14.25" hidden="false" customHeight="true" outlineLevel="0" collapsed="false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customFormat="false" ht="14.25" hidden="false" customHeight="true" outlineLevel="0" collapsed="false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customFormat="false" ht="14.25" hidden="false" customHeight="true" outlineLevel="0" collapsed="false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customFormat="false" ht="14.2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customFormat="false" ht="14.2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customFormat="false" ht="14.25" hidden="false" customHeight="true" outlineLevel="0" collapsed="false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customFormat="false" ht="14.25" hidden="false" customHeight="true" outlineLevel="0" collapsed="false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customFormat="false" ht="14.25" hidden="false" customHeight="true" outlineLevel="0" collapsed="false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customFormat="false" ht="14.25" hidden="false" customHeight="true" outlineLevel="0" collapsed="false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customFormat="false" ht="14.25" hidden="false" customHeight="true" outlineLevel="0" collapsed="false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customFormat="false" ht="14.25" hidden="false" customHeight="tru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customFormat="false" ht="14.25" hidden="false" customHeight="true" outlineLevel="0" collapsed="false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customFormat="false" ht="14.25" hidden="false" customHeight="true" outlineLevel="0" collapsed="false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customFormat="false" ht="14.25" hidden="false" customHeight="tru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customFormat="false" ht="14.25" hidden="false" customHeight="true" outlineLevel="0" collapsed="false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customFormat="false" ht="14.25" hidden="false" customHeight="tru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customFormat="false" ht="14.25" hidden="false" customHeight="true" outlineLevel="0" collapsed="false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customFormat="false" ht="14.25" hidden="false" customHeight="tru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customFormat="false" ht="14.25" hidden="false" customHeight="true" outlineLevel="0" collapsed="false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customFormat="false" ht="14.25" hidden="false" customHeight="tru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customFormat="false" ht="14.25" hidden="false" customHeight="true" outlineLevel="0" collapsed="false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customFormat="false" ht="14.25" hidden="false" customHeight="tru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customFormat="false" ht="14.25" hidden="false" customHeight="true" outlineLevel="0" collapsed="false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customFormat="false" ht="14.25" hidden="false" customHeight="tru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customFormat="false" ht="14.25" hidden="false" customHeight="tru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customFormat="false" ht="14.25" hidden="false" customHeight="tru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customFormat="false" ht="14.25" hidden="false" customHeight="true" outlineLevel="0" collapsed="false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customFormat="false" ht="14.25" hidden="false" customHeight="tru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customFormat="false" ht="14.25" hidden="false" customHeight="true" outlineLevel="0" collapsed="false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customFormat="false" ht="14.25" hidden="false" customHeight="tru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customFormat="false" ht="14.25" hidden="false" customHeight="true" outlineLevel="0" collapsed="false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customFormat="false" ht="14.25" hidden="false" customHeight="tru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customFormat="false" ht="14.25" hidden="false" customHeight="tru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customFormat="false" ht="14.25" hidden="false" customHeight="tru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customFormat="false" ht="14.25" hidden="false" customHeight="true" outlineLevel="0" collapsed="false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customFormat="false" ht="14.25" hidden="false" customHeight="tru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customFormat="false" ht="14.25" hidden="false" customHeight="true" outlineLevel="0" collapsed="false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customFormat="false" ht="14.25" hidden="false" customHeight="tru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customFormat="false" ht="14.25" hidden="false" customHeight="true" outlineLevel="0" collapsed="false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customFormat="false" ht="14.25" hidden="false" customHeight="tru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customFormat="false" ht="14.25" hidden="false" customHeight="true" outlineLevel="0" collapsed="false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customFormat="false" ht="14.25" hidden="false" customHeight="tru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customFormat="false" ht="14.25" hidden="false" customHeight="true" outlineLevel="0" collapsed="false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customFormat="false" ht="14.25" hidden="false" customHeight="tru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customFormat="false" ht="14.25" hidden="false" customHeight="tru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customFormat="false" ht="14.25" hidden="false" customHeight="tru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customFormat="false" ht="14.25" hidden="false" customHeight="true" outlineLevel="0" collapsed="false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customFormat="false" ht="14.25" hidden="false" customHeight="tru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customFormat="false" ht="14.25" hidden="false" customHeight="true" outlineLevel="0" collapsed="false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customFormat="false" ht="14.25" hidden="false" customHeight="tru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customFormat="false" ht="14.25" hidden="false" customHeight="true" outlineLevel="0" collapsed="false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customFormat="false" ht="14.25" hidden="false" customHeight="tru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customFormat="false" ht="14.25" hidden="false" customHeight="true" outlineLevel="0" collapsed="false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customFormat="false" ht="14.25" hidden="false" customHeight="tru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customFormat="false" ht="14.25" hidden="false" customHeight="true" outlineLevel="0" collapsed="false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customFormat="false" ht="14.25" hidden="false" customHeight="tru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customFormat="false" ht="14.25" hidden="false" customHeight="true" outlineLevel="0" collapsed="false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customFormat="false" ht="14.25" hidden="false" customHeight="tru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customFormat="false" ht="14.25" hidden="false" customHeight="true" outlineLevel="0" collapsed="false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customFormat="false" ht="14.25" hidden="false" customHeight="tru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customFormat="false" ht="14.25" hidden="false" customHeight="tru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customFormat="false" ht="14.25" hidden="false" customHeight="tru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customFormat="false" ht="14.25" hidden="false" customHeight="tru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customFormat="false" ht="14.25" hidden="false" customHeight="tru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customFormat="false" ht="14.25" hidden="false" customHeight="tru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customFormat="false" ht="14.25" hidden="false" customHeight="tru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customFormat="false" ht="14.25" hidden="false" customHeight="tru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customFormat="false" ht="14.25" hidden="false" customHeight="tru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customFormat="false" ht="14.25" hidden="false" customHeight="tru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customFormat="false" ht="14.25" hidden="false" customHeight="tru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customFormat="false" ht="14.25" hidden="false" customHeight="tru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customFormat="false" ht="14.25" hidden="false" customHeight="tru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customFormat="false" ht="14.25" hidden="false" customHeight="tru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customFormat="false" ht="14.25" hidden="false" customHeight="tru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customFormat="false" ht="14.25" hidden="false" customHeight="tru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customFormat="false" ht="14.25" hidden="false" customHeight="tru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customFormat="false" ht="14.25" hidden="false" customHeight="tru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customFormat="false" ht="14.25" hidden="false" customHeight="tru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customFormat="false" ht="14.25" hidden="false" customHeight="tru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customFormat="false" ht="14.25" hidden="false" customHeight="tru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customFormat="false" ht="14.25" hidden="false" customHeight="tru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customFormat="false" ht="14.25" hidden="false" customHeight="tru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customFormat="false" ht="14.25" hidden="false" customHeight="tru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customFormat="false" ht="14.25" hidden="false" customHeight="tru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customFormat="false" ht="14.25" hidden="false" customHeight="tru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customFormat="false" ht="14.25" hidden="false" customHeight="tru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customFormat="false" ht="14.25" hidden="false" customHeight="tru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customFormat="false" ht="14.25" hidden="false" customHeight="tru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customFormat="false" ht="14.25" hidden="false" customHeight="tru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customFormat="false" ht="14.25" hidden="false" customHeight="tru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customFormat="false" ht="14.25" hidden="false" customHeight="tru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customFormat="false" ht="14.25" hidden="false" customHeight="tru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customFormat="false" ht="14.25" hidden="false" customHeight="tru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customFormat="false" ht="14.25" hidden="false" customHeight="tru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customFormat="false" ht="14.25" hidden="false" customHeight="tru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customFormat="false" ht="14.25" hidden="false" customHeight="tru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customFormat="false" ht="14.25" hidden="false" customHeight="tru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customFormat="false" ht="14.25" hidden="false" customHeight="tru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customFormat="false" ht="14.25" hidden="false" customHeight="tru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customFormat="false" ht="14.25" hidden="false" customHeight="tru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customFormat="false" ht="14.25" hidden="false" customHeight="tru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customFormat="false" ht="14.25" hidden="false" customHeight="tru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customFormat="false" ht="14.25" hidden="false" customHeight="tru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customFormat="false" ht="14.25" hidden="false" customHeight="tru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customFormat="false" ht="14.25" hidden="false" customHeight="tru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customFormat="false" ht="14.25" hidden="false" customHeight="tru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customFormat="false" ht="14.25" hidden="false" customHeight="tru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customFormat="false" ht="14.25" hidden="false" customHeight="tru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customFormat="false" ht="14.25" hidden="false" customHeight="tru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customFormat="false" ht="14.25" hidden="false" customHeight="tru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customFormat="false" ht="14.25" hidden="false" customHeight="tru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customFormat="false" ht="14.25" hidden="false" customHeight="tru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customFormat="false" ht="14.25" hidden="false" customHeight="tru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customFormat="false" ht="14.25" hidden="false" customHeight="tru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customFormat="false" ht="14.25" hidden="false" customHeight="tru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customFormat="false" ht="14.25" hidden="false" customHeight="tru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customFormat="false" ht="14.25" hidden="false" customHeight="tru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customFormat="false" ht="14.25" hidden="false" customHeight="tru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customFormat="false" ht="14.25" hidden="false" customHeight="tru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customFormat="false" ht="14.25" hidden="false" customHeight="tru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customFormat="false" ht="14.25" hidden="false" customHeight="tru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customFormat="false" ht="14.25" hidden="false" customHeight="tru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customFormat="false" ht="14.25" hidden="false" customHeight="tru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customFormat="false" ht="14.25" hidden="false" customHeight="tru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customFormat="false" ht="14.25" hidden="false" customHeight="tru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customFormat="false" ht="14.25" hidden="false" customHeight="tru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customFormat="false" ht="14.25" hidden="false" customHeight="tru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customFormat="false" ht="14.25" hidden="false" customHeight="tru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customFormat="false" ht="14.25" hidden="false" customHeight="tru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customFormat="false" ht="14.25" hidden="false" customHeight="tru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customFormat="false" ht="14.25" hidden="false" customHeight="tru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customFormat="false" ht="14.25" hidden="false" customHeight="tru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customFormat="false" ht="14.25" hidden="false" customHeight="tru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customFormat="false" ht="14.25" hidden="false" customHeight="tru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customFormat="false" ht="14.25" hidden="false" customHeight="tru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customFormat="false" ht="14.25" hidden="false" customHeight="tru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customFormat="false" ht="14.25" hidden="false" customHeight="tru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customFormat="false" ht="14.25" hidden="false" customHeight="tru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customFormat="false" ht="14.25" hidden="false" customHeight="tru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customFormat="false" ht="14.25" hidden="false" customHeight="tru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customFormat="false" ht="14.25" hidden="false" customHeight="tru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customFormat="false" ht="14.25" hidden="false" customHeight="tru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customFormat="false" ht="14.25" hidden="false" customHeight="tru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customFormat="false" ht="14.25" hidden="false" customHeight="tru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customFormat="false" ht="14.25" hidden="false" customHeight="tru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customFormat="false" ht="14.25" hidden="false" customHeight="tru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customFormat="false" ht="14.25" hidden="false" customHeight="tru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customFormat="false" ht="14.25" hidden="false" customHeight="tru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customFormat="false" ht="14.25" hidden="false" customHeight="tru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customFormat="false" ht="14.25" hidden="false" customHeight="tru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customFormat="false" ht="14.25" hidden="false" customHeight="tru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customFormat="false" ht="14.25" hidden="false" customHeight="tru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customFormat="false" ht="14.25" hidden="false" customHeight="tru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customFormat="false" ht="14.25" hidden="false" customHeight="tru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customFormat="false" ht="14.25" hidden="false" customHeight="tru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customFormat="false" ht="14.25" hidden="false" customHeight="tru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customFormat="false" ht="14.25" hidden="false" customHeight="tru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customFormat="false" ht="14.25" hidden="false" customHeight="tru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customFormat="false" ht="14.25" hidden="false" customHeight="tru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customFormat="false" ht="14.25" hidden="false" customHeight="tru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customFormat="false" ht="14.25" hidden="false" customHeight="tru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customFormat="false" ht="14.25" hidden="false" customHeight="tru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customFormat="false" ht="14.25" hidden="false" customHeight="tru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customFormat="false" ht="14.25" hidden="false" customHeight="tru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customFormat="false" ht="14.25" hidden="false" customHeight="tru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customFormat="false" ht="14.25" hidden="false" customHeight="tru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customFormat="false" ht="14.25" hidden="false" customHeight="tru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customFormat="false" ht="14.25" hidden="false" customHeight="tru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customFormat="false" ht="14.25" hidden="false" customHeight="tru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customFormat="false" ht="14.25" hidden="false" customHeight="tru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customFormat="false" ht="14.25" hidden="false" customHeight="tru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customFormat="false" ht="14.25" hidden="false" customHeight="tru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customFormat="false" ht="14.25" hidden="false" customHeight="tru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customFormat="false" ht="14.25" hidden="false" customHeight="tru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customFormat="false" ht="14.25" hidden="false" customHeight="tru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customFormat="false" ht="14.25" hidden="false" customHeight="tru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customFormat="false" ht="14.25" hidden="false" customHeight="tru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customFormat="false" ht="14.25" hidden="false" customHeight="tru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customFormat="false" ht="14.25" hidden="false" customHeight="tru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customFormat="false" ht="14.25" hidden="false" customHeight="tru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customFormat="false" ht="14.25" hidden="false" customHeight="tru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customFormat="false" ht="14.25" hidden="false" customHeight="tru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customFormat="false" ht="14.25" hidden="false" customHeight="tru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customFormat="false" ht="14.25" hidden="false" customHeight="tru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customFormat="false" ht="14.25" hidden="false" customHeight="tru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customFormat="false" ht="14.25" hidden="false" customHeight="tru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customFormat="false" ht="14.25" hidden="false" customHeight="tru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customFormat="false" ht="14.25" hidden="false" customHeight="tru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customFormat="false" ht="14.25" hidden="false" customHeight="tru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customFormat="false" ht="14.25" hidden="false" customHeight="tru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customFormat="false" ht="14.25" hidden="false" customHeight="tru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customFormat="false" ht="14.25" hidden="false" customHeight="tru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customFormat="false" ht="14.25" hidden="false" customHeight="tru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customFormat="false" ht="14.25" hidden="false" customHeight="tru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customFormat="false" ht="14.25" hidden="false" customHeight="tru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customFormat="false" ht="14.25" hidden="false" customHeight="tru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customFormat="false" ht="14.25" hidden="false" customHeight="tru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customFormat="false" ht="14.25" hidden="false" customHeight="tru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customFormat="false" ht="14.25" hidden="false" customHeight="tru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customFormat="false" ht="14.25" hidden="false" customHeight="tru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customFormat="false" ht="14.25" hidden="false" customHeight="tru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customFormat="false" ht="14.25" hidden="false" customHeight="tru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customFormat="false" ht="14.25" hidden="false" customHeight="tru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customFormat="false" ht="14.25" hidden="false" customHeight="tru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customFormat="false" ht="14.25" hidden="false" customHeight="tru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customFormat="false" ht="14.25" hidden="false" customHeight="tru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customFormat="false" ht="14.25" hidden="false" customHeight="tru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customFormat="false" ht="14.25" hidden="false" customHeight="tru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customFormat="false" ht="14.25" hidden="false" customHeight="tru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customFormat="false" ht="14.25" hidden="false" customHeight="tru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customFormat="false" ht="14.25" hidden="false" customHeight="tru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customFormat="false" ht="14.25" hidden="false" customHeight="tru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customFormat="false" ht="14.25" hidden="false" customHeight="tru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customFormat="false" ht="14.25" hidden="false" customHeight="tru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customFormat="false" ht="14.25" hidden="false" customHeight="tru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customFormat="false" ht="14.25" hidden="false" customHeight="tru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customFormat="false" ht="14.25" hidden="false" customHeight="tru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customFormat="false" ht="14.25" hidden="false" customHeight="tru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customFormat="false" ht="14.25" hidden="false" customHeight="tru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customFormat="false" ht="14.25" hidden="false" customHeight="tru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customFormat="false" ht="14.25" hidden="false" customHeight="tru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customFormat="false" ht="14.25" hidden="false" customHeight="tru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customFormat="false" ht="14.25" hidden="false" customHeight="tru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customFormat="false" ht="14.25" hidden="false" customHeight="tru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customFormat="false" ht="14.25" hidden="false" customHeight="tru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customFormat="false" ht="14.25" hidden="false" customHeight="tru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customFormat="false" ht="14.25" hidden="false" customHeight="tru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customFormat="false" ht="14.25" hidden="false" customHeight="tru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customFormat="false" ht="14.25" hidden="false" customHeight="tru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customFormat="false" ht="14.25" hidden="false" customHeight="tru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customFormat="false" ht="14.25" hidden="false" customHeight="tru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customFormat="false" ht="14.25" hidden="false" customHeight="tru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customFormat="false" ht="14.25" hidden="false" customHeight="tru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customFormat="false" ht="14.25" hidden="false" customHeight="tru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customFormat="false" ht="14.25" hidden="false" customHeight="tru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customFormat="false" ht="14.25" hidden="false" customHeight="tru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customFormat="false" ht="14.25" hidden="false" customHeight="tru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customFormat="false" ht="14.25" hidden="false" customHeight="tru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customFormat="false" ht="14.25" hidden="false" customHeight="tru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customFormat="false" ht="14.25" hidden="false" customHeight="tru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customFormat="false" ht="14.25" hidden="false" customHeight="tru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customFormat="false" ht="14.25" hidden="false" customHeight="tru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customFormat="false" ht="14.25" hidden="false" customHeight="tru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customFormat="false" ht="14.25" hidden="false" customHeight="tru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customFormat="false" ht="14.25" hidden="false" customHeight="tru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customFormat="false" ht="14.25" hidden="false" customHeight="tru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customFormat="false" ht="14.25" hidden="false" customHeight="tru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customFormat="false" ht="14.25" hidden="false" customHeight="tru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customFormat="false" ht="14.25" hidden="false" customHeight="tru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customFormat="false" ht="14.25" hidden="false" customHeight="tru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customFormat="false" ht="14.25" hidden="false" customHeight="tru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customFormat="false" ht="14.25" hidden="false" customHeight="tru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customFormat="false" ht="14.25" hidden="false" customHeight="tru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customFormat="false" ht="14.25" hidden="false" customHeight="tru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customFormat="false" ht="14.25" hidden="false" customHeight="tru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customFormat="false" ht="14.25" hidden="false" customHeight="tru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customFormat="false" ht="14.25" hidden="false" customHeight="tru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customFormat="false" ht="14.25" hidden="false" customHeight="tru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customFormat="false" ht="14.25" hidden="false" customHeight="tru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customFormat="false" ht="14.25" hidden="false" customHeight="tru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customFormat="false" ht="14.25" hidden="false" customHeight="tru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customFormat="false" ht="14.25" hidden="false" customHeight="tru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customFormat="false" ht="14.25" hidden="false" customHeight="tru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customFormat="false" ht="14.25" hidden="false" customHeight="tru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customFormat="false" ht="14.25" hidden="false" customHeight="tru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customFormat="false" ht="14.25" hidden="false" customHeight="tru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customFormat="false" ht="14.25" hidden="false" customHeight="tru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customFormat="false" ht="14.25" hidden="false" customHeight="tru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customFormat="false" ht="14.25" hidden="false" customHeight="tru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customFormat="false" ht="14.25" hidden="false" customHeight="tru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customFormat="false" ht="14.25" hidden="false" customHeight="tru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customFormat="false" ht="14.25" hidden="false" customHeight="tru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customFormat="false" ht="14.25" hidden="false" customHeight="tru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customFormat="false" ht="14.25" hidden="false" customHeight="tru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customFormat="false" ht="14.25" hidden="false" customHeight="tru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customFormat="false" ht="14.25" hidden="false" customHeight="tru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customFormat="false" ht="14.25" hidden="false" customHeight="tru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customFormat="false" ht="14.25" hidden="false" customHeight="tru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customFormat="false" ht="14.25" hidden="false" customHeight="tru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customFormat="false" ht="14.25" hidden="false" customHeight="tru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customFormat="false" ht="14.25" hidden="false" customHeight="tru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customFormat="false" ht="14.25" hidden="false" customHeight="tru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customFormat="false" ht="14.25" hidden="false" customHeight="tru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customFormat="false" ht="14.25" hidden="false" customHeight="tru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customFormat="false" ht="14.25" hidden="false" customHeight="tru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customFormat="false" ht="14.25" hidden="false" customHeight="tru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customFormat="false" ht="14.25" hidden="false" customHeight="tru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customFormat="false" ht="14.25" hidden="false" customHeight="tru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customFormat="false" ht="14.25" hidden="false" customHeight="tru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customFormat="false" ht="14.25" hidden="false" customHeight="tru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customFormat="false" ht="14.25" hidden="false" customHeight="tru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customFormat="false" ht="14.25" hidden="false" customHeight="tru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customFormat="false" ht="14.25" hidden="false" customHeight="tru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customFormat="false" ht="14.25" hidden="false" customHeight="tru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customFormat="false" ht="14.25" hidden="false" customHeight="tru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customFormat="false" ht="14.25" hidden="false" customHeight="tru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customFormat="false" ht="14.25" hidden="false" customHeight="tru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customFormat="false" ht="14.25" hidden="false" customHeight="tru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customFormat="false" ht="14.25" hidden="false" customHeight="tru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customFormat="false" ht="14.25" hidden="false" customHeight="tru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customFormat="false" ht="14.25" hidden="false" customHeight="tru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customFormat="false" ht="14.25" hidden="false" customHeight="tru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customFormat="false" ht="14.25" hidden="false" customHeight="tru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customFormat="false" ht="14.25" hidden="false" customHeight="tru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customFormat="false" ht="14.25" hidden="false" customHeight="tru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customFormat="false" ht="14.25" hidden="false" customHeight="tru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customFormat="false" ht="14.25" hidden="false" customHeight="tru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customFormat="false" ht="14.25" hidden="false" customHeight="tru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customFormat="false" ht="14.25" hidden="false" customHeight="tru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customFormat="false" ht="14.25" hidden="false" customHeight="tru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customFormat="false" ht="14.25" hidden="false" customHeight="tru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customFormat="false" ht="14.25" hidden="false" customHeight="tru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customFormat="false" ht="14.25" hidden="false" customHeight="tru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customFormat="false" ht="14.25" hidden="false" customHeight="tru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customFormat="false" ht="14.25" hidden="false" customHeight="tru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customFormat="false" ht="14.25" hidden="false" customHeight="tru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customFormat="false" ht="14.25" hidden="false" customHeight="tru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customFormat="false" ht="14.25" hidden="false" customHeight="tru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customFormat="false" ht="14.25" hidden="false" customHeight="tru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customFormat="false" ht="14.25" hidden="false" customHeight="tru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customFormat="false" ht="14.25" hidden="false" customHeight="tru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customFormat="false" ht="14.25" hidden="false" customHeight="tru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customFormat="false" ht="14.25" hidden="false" customHeight="tru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customFormat="false" ht="14.25" hidden="false" customHeight="tru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customFormat="false" ht="14.25" hidden="false" customHeight="tru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customFormat="false" ht="14.25" hidden="false" customHeight="tru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customFormat="false" ht="14.25" hidden="false" customHeight="tru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customFormat="false" ht="14.25" hidden="false" customHeight="tru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customFormat="false" ht="14.25" hidden="false" customHeight="tru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customFormat="false" ht="14.25" hidden="false" customHeight="tru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customFormat="false" ht="14.25" hidden="false" customHeight="tru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customFormat="false" ht="14.25" hidden="false" customHeight="tru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customFormat="false" ht="14.25" hidden="false" customHeight="tru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customFormat="false" ht="14.25" hidden="false" customHeight="tru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customFormat="false" ht="14.25" hidden="false" customHeight="tru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customFormat="false" ht="14.25" hidden="false" customHeight="tru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customFormat="false" ht="14.25" hidden="false" customHeight="tru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customFormat="false" ht="14.25" hidden="false" customHeight="tru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customFormat="false" ht="14.25" hidden="false" customHeight="tru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customFormat="false" ht="14.25" hidden="false" customHeight="tru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customFormat="false" ht="14.25" hidden="false" customHeight="tru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customFormat="false" ht="14.25" hidden="false" customHeight="tru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customFormat="false" ht="14.25" hidden="false" customHeight="tru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customFormat="false" ht="14.25" hidden="false" customHeight="tru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customFormat="false" ht="14.25" hidden="false" customHeight="tru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customFormat="false" ht="14.25" hidden="false" customHeight="tru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customFormat="false" ht="14.25" hidden="false" customHeight="tru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customFormat="false" ht="14.25" hidden="false" customHeight="tru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customFormat="false" ht="14.25" hidden="false" customHeight="tru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customFormat="false" ht="14.25" hidden="false" customHeight="tru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customFormat="false" ht="14.25" hidden="false" customHeight="tru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customFormat="false" ht="14.25" hidden="false" customHeight="tru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customFormat="false" ht="14.25" hidden="false" customHeight="tru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customFormat="false" ht="14.25" hidden="false" customHeight="tru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customFormat="false" ht="14.25" hidden="false" customHeight="tru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customFormat="false" ht="14.25" hidden="false" customHeight="tru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customFormat="false" ht="14.25" hidden="false" customHeight="tru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customFormat="false" ht="14.25" hidden="false" customHeight="tru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customFormat="false" ht="14.25" hidden="false" customHeight="tru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customFormat="false" ht="14.25" hidden="false" customHeight="tru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customFormat="false" ht="14.25" hidden="false" customHeight="tru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customFormat="false" ht="14.25" hidden="false" customHeight="tru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customFormat="false" ht="14.25" hidden="false" customHeight="tru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customFormat="false" ht="14.25" hidden="false" customHeight="tru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customFormat="false" ht="14.25" hidden="false" customHeight="tru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customFormat="false" ht="14.25" hidden="false" customHeight="tru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customFormat="false" ht="14.25" hidden="false" customHeight="tru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customFormat="false" ht="14.25" hidden="false" customHeight="tru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customFormat="false" ht="14.25" hidden="false" customHeight="tru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customFormat="false" ht="14.25" hidden="false" customHeight="tru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customFormat="false" ht="14.25" hidden="false" customHeight="tru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customFormat="false" ht="14.25" hidden="false" customHeight="tru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customFormat="false" ht="14.25" hidden="false" customHeight="tru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customFormat="false" ht="14.25" hidden="false" customHeight="tru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customFormat="false" ht="14.25" hidden="false" customHeight="tru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customFormat="false" ht="14.25" hidden="false" customHeight="tru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customFormat="false" ht="14.25" hidden="false" customHeight="tru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customFormat="false" ht="14.25" hidden="false" customHeight="tru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customFormat="false" ht="14.25" hidden="false" customHeight="tru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customFormat="false" ht="14.25" hidden="false" customHeight="tru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customFormat="false" ht="14.25" hidden="false" customHeight="tru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customFormat="false" ht="14.25" hidden="false" customHeight="tru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customFormat="false" ht="14.25" hidden="false" customHeight="tru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customFormat="false" ht="14.25" hidden="false" customHeight="tru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customFormat="false" ht="14.25" hidden="false" customHeight="tru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customFormat="false" ht="14.25" hidden="false" customHeight="tru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customFormat="false" ht="14.25" hidden="false" customHeight="tru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customFormat="false" ht="14.25" hidden="false" customHeight="tru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customFormat="false" ht="14.25" hidden="false" customHeight="tru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customFormat="false" ht="14.25" hidden="false" customHeight="tru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customFormat="false" ht="14.25" hidden="false" customHeight="tru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customFormat="false" ht="14.25" hidden="false" customHeight="tru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customFormat="false" ht="14.25" hidden="false" customHeight="tru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customFormat="false" ht="14.25" hidden="false" customHeight="tru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customFormat="false" ht="14.25" hidden="false" customHeight="tru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customFormat="false" ht="14.25" hidden="false" customHeight="tru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customFormat="false" ht="14.25" hidden="false" customHeight="tru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customFormat="false" ht="14.25" hidden="false" customHeight="tru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customFormat="false" ht="14.25" hidden="false" customHeight="tru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customFormat="false" ht="14.25" hidden="false" customHeight="tru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customFormat="false" ht="14.25" hidden="false" customHeight="tru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customFormat="false" ht="14.25" hidden="false" customHeight="tru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customFormat="false" ht="14.25" hidden="false" customHeight="tru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customFormat="false" ht="14.25" hidden="false" customHeight="tru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customFormat="false" ht="14.25" hidden="false" customHeight="tru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customFormat="false" ht="14.25" hidden="false" customHeight="tru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customFormat="false" ht="14.25" hidden="false" customHeight="tru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customFormat="false" ht="14.25" hidden="false" customHeight="tru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customFormat="false" ht="14.25" hidden="false" customHeight="tru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customFormat="false" ht="14.25" hidden="false" customHeight="tru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customFormat="false" ht="14.25" hidden="false" customHeight="tru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customFormat="false" ht="14.25" hidden="false" customHeight="tru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customFormat="false" ht="14.25" hidden="false" customHeight="tru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customFormat="false" ht="14.25" hidden="false" customHeight="tru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customFormat="false" ht="14.25" hidden="false" customHeight="tru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customFormat="false" ht="14.25" hidden="false" customHeight="tru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customFormat="false" ht="14.25" hidden="false" customHeight="tru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customFormat="false" ht="14.25" hidden="false" customHeight="tru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customFormat="false" ht="14.25" hidden="false" customHeight="tru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customFormat="false" ht="14.25" hidden="false" customHeight="tru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customFormat="false" ht="14.25" hidden="false" customHeight="tru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customFormat="false" ht="14.25" hidden="false" customHeight="tru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customFormat="false" ht="14.25" hidden="false" customHeight="tru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customFormat="false" ht="14.25" hidden="false" customHeight="tru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customFormat="false" ht="14.25" hidden="false" customHeight="tru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customFormat="false" ht="14.25" hidden="false" customHeight="tru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customFormat="false" ht="14.25" hidden="false" customHeight="tru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customFormat="false" ht="14.25" hidden="false" customHeight="tru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customFormat="false" ht="14.25" hidden="false" customHeight="tru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customFormat="false" ht="14.25" hidden="false" customHeight="tru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customFormat="false" ht="14.25" hidden="false" customHeight="tru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customFormat="false" ht="14.25" hidden="false" customHeight="tru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customFormat="false" ht="14.25" hidden="false" customHeight="tru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customFormat="false" ht="14.25" hidden="false" customHeight="tru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customFormat="false" ht="14.25" hidden="false" customHeight="tru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customFormat="false" ht="14.25" hidden="false" customHeight="tru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customFormat="false" ht="14.25" hidden="false" customHeight="tru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customFormat="false" ht="14.25" hidden="false" customHeight="tru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customFormat="false" ht="14.25" hidden="false" customHeight="tru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customFormat="false" ht="14.25" hidden="false" customHeight="tru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customFormat="false" ht="14.25" hidden="false" customHeight="tru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customFormat="false" ht="14.25" hidden="false" customHeight="tru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customFormat="false" ht="14.25" hidden="false" customHeight="tru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customFormat="false" ht="14.25" hidden="false" customHeight="tru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customFormat="false" ht="14.25" hidden="false" customHeight="tru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customFormat="false" ht="14.25" hidden="false" customHeight="tru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customFormat="false" ht="14.25" hidden="false" customHeight="tru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customFormat="false" ht="14.25" hidden="false" customHeight="tru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customFormat="false" ht="14.25" hidden="false" customHeight="tru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customFormat="false" ht="14.25" hidden="false" customHeight="tru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customFormat="false" ht="14.25" hidden="false" customHeight="tru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customFormat="false" ht="14.25" hidden="false" customHeight="tru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customFormat="false" ht="14.25" hidden="false" customHeight="tru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customFormat="false" ht="14.25" hidden="false" customHeight="tru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customFormat="false" ht="14.25" hidden="false" customHeight="tru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customFormat="false" ht="14.25" hidden="false" customHeight="tru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customFormat="false" ht="14.25" hidden="false" customHeight="tru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customFormat="false" ht="14.25" hidden="false" customHeight="tru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customFormat="false" ht="14.25" hidden="false" customHeight="tru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customFormat="false" ht="14.25" hidden="false" customHeight="tru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customFormat="false" ht="14.25" hidden="false" customHeight="tru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customFormat="false" ht="14.25" hidden="false" customHeight="tru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customFormat="false" ht="14.25" hidden="false" customHeight="tru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customFormat="false" ht="14.25" hidden="false" customHeight="tru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customFormat="false" ht="14.25" hidden="false" customHeight="tru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customFormat="false" ht="14.25" hidden="false" customHeight="tru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customFormat="false" ht="14.25" hidden="false" customHeight="tru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customFormat="false" ht="14.25" hidden="false" customHeight="tru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customFormat="false" ht="14.25" hidden="false" customHeight="tru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customFormat="false" ht="14.25" hidden="false" customHeight="tru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customFormat="false" ht="14.25" hidden="false" customHeight="tru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customFormat="false" ht="14.25" hidden="false" customHeight="tru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customFormat="false" ht="14.25" hidden="false" customHeight="tru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customFormat="false" ht="14.25" hidden="false" customHeight="tru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customFormat="false" ht="14.25" hidden="false" customHeight="tru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customFormat="false" ht="14.25" hidden="false" customHeight="tru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customFormat="false" ht="14.25" hidden="false" customHeight="tru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customFormat="false" ht="14.25" hidden="false" customHeight="tru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customFormat="false" ht="14.25" hidden="false" customHeight="tru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customFormat="false" ht="14.25" hidden="false" customHeight="tru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customFormat="false" ht="14.25" hidden="false" customHeight="tru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customFormat="false" ht="14.25" hidden="false" customHeight="tru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customFormat="false" ht="14.25" hidden="false" customHeight="tru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customFormat="false" ht="14.25" hidden="false" customHeight="tru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customFormat="false" ht="14.25" hidden="false" customHeight="tru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customFormat="false" ht="14.25" hidden="false" customHeight="tru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customFormat="false" ht="14.25" hidden="false" customHeight="tru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customFormat="false" ht="14.25" hidden="false" customHeight="tru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customFormat="false" ht="14.25" hidden="false" customHeight="tru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customFormat="false" ht="14.25" hidden="false" customHeight="tru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customFormat="false" ht="14.25" hidden="false" customHeight="tru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customFormat="false" ht="14.25" hidden="false" customHeight="tru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customFormat="false" ht="14.25" hidden="false" customHeight="tru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customFormat="false" ht="14.25" hidden="false" customHeight="tru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customFormat="false" ht="14.25" hidden="false" customHeight="tru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customFormat="false" ht="14.25" hidden="false" customHeight="tru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customFormat="false" ht="14.25" hidden="false" customHeight="tru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customFormat="false" ht="14.25" hidden="false" customHeight="tru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customFormat="false" ht="14.25" hidden="false" customHeight="tru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customFormat="false" ht="14.25" hidden="false" customHeight="tru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customFormat="false" ht="14.25" hidden="false" customHeight="tru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customFormat="false" ht="14.25" hidden="false" customHeight="tru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customFormat="false" ht="14.25" hidden="false" customHeight="tru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customFormat="false" ht="14.25" hidden="false" customHeight="tru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customFormat="false" ht="14.25" hidden="false" customHeight="tru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customFormat="false" ht="14.25" hidden="false" customHeight="tru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customFormat="false" ht="14.25" hidden="false" customHeight="tru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customFormat="false" ht="14.25" hidden="false" customHeight="tru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customFormat="false" ht="14.25" hidden="false" customHeight="tru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customFormat="false" ht="14.25" hidden="false" customHeight="tru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customFormat="false" ht="14.25" hidden="false" customHeight="tru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customFormat="false" ht="14.25" hidden="false" customHeight="tru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customFormat="false" ht="14.25" hidden="false" customHeight="tru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customFormat="false" ht="14.25" hidden="false" customHeight="tru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customFormat="false" ht="14.25" hidden="false" customHeight="tru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customFormat="false" ht="14.25" hidden="false" customHeight="tru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customFormat="false" ht="14.25" hidden="false" customHeight="tru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customFormat="false" ht="14.25" hidden="false" customHeight="tru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customFormat="false" ht="14.25" hidden="false" customHeight="tru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customFormat="false" ht="14.25" hidden="false" customHeight="tru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customFormat="false" ht="14.25" hidden="false" customHeight="tru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customFormat="false" ht="14.25" hidden="false" customHeight="tru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customFormat="false" ht="14.25" hidden="false" customHeight="tru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customFormat="false" ht="14.25" hidden="false" customHeight="tru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customFormat="false" ht="14.25" hidden="false" customHeight="tru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customFormat="false" ht="14.25" hidden="false" customHeight="tru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customFormat="false" ht="14.25" hidden="false" customHeight="tru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customFormat="false" ht="14.25" hidden="false" customHeight="tru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customFormat="false" ht="14.25" hidden="false" customHeight="tru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customFormat="false" ht="14.25" hidden="false" customHeight="tru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customFormat="false" ht="14.25" hidden="false" customHeight="tru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customFormat="false" ht="14.25" hidden="false" customHeight="tru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customFormat="false" ht="14.25" hidden="false" customHeight="tru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customFormat="false" ht="14.25" hidden="false" customHeight="tru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customFormat="false" ht="14.25" hidden="false" customHeight="tru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customFormat="false" ht="14.25" hidden="false" customHeight="tru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customFormat="false" ht="14.25" hidden="false" customHeight="tru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customFormat="false" ht="14.25" hidden="false" customHeight="tru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customFormat="false" ht="14.25" hidden="false" customHeight="tru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customFormat="false" ht="14.25" hidden="false" customHeight="tru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customFormat="false" ht="14.25" hidden="false" customHeight="tru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customFormat="false" ht="14.25" hidden="false" customHeight="tru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customFormat="false" ht="14.25" hidden="false" customHeight="tru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customFormat="false" ht="14.25" hidden="false" customHeight="tru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customFormat="false" ht="14.25" hidden="false" customHeight="true" outlineLevel="0" collapsed="false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customFormat="false" ht="14.25" hidden="false" customHeight="true" outlineLevel="0" collapsed="false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customFormat="false" ht="14.25" hidden="false" customHeight="true" outlineLevel="0" collapsed="false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customFormat="false" ht="14.25" hidden="false" customHeight="true" outlineLevel="0" collapsed="false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customFormat="false" ht="14.25" hidden="false" customHeight="true" outlineLevel="0" collapsed="false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customFormat="false" ht="14.25" hidden="false" customHeight="true" outlineLevel="0" collapsed="false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customFormat="false" ht="14.25" hidden="false" customHeight="true" outlineLevel="0" collapsed="false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customFormat="false" ht="14.25" hidden="false" customHeight="true" outlineLevel="0" collapsed="false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customFormat="false" ht="14.25" hidden="false" customHeight="true" outlineLevel="0" collapsed="false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customFormat="false" ht="14.25" hidden="false" customHeight="true" outlineLevel="0" collapsed="false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customFormat="false" ht="14.25" hidden="false" customHeight="true" outlineLevel="0" collapsed="false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customFormat="false" ht="14.25" hidden="false" customHeight="true" outlineLevel="0" collapsed="false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customFormat="false" ht="14.25" hidden="false" customHeight="true" outlineLevel="0" collapsed="false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customFormat="false" ht="14.25" hidden="false" customHeight="true" outlineLevel="0" collapsed="false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customFormat="false" ht="14.25" hidden="false" customHeight="true" outlineLevel="0" collapsed="false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customFormat="false" ht="14.25" hidden="false" customHeight="true" outlineLevel="0" collapsed="false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customFormat="false" ht="14.25" hidden="false" customHeight="true" outlineLevel="0" collapsed="false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customFormat="false" ht="14.25" hidden="false" customHeight="true" outlineLevel="0" collapsed="false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customFormat="false" ht="14.25" hidden="false" customHeight="true" outlineLevel="0" collapsed="false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customFormat="false" ht="14.25" hidden="false" customHeight="true" outlineLevel="0" collapsed="false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customFormat="false" ht="14.25" hidden="false" customHeight="true" outlineLevel="0" collapsed="false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customFormat="false" ht="14.25" hidden="false" customHeight="true" outlineLevel="0" collapsed="false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customFormat="false" ht="14.25" hidden="false" customHeight="true" outlineLevel="0" collapsed="false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customFormat="false" ht="14.25" hidden="false" customHeight="true" outlineLevel="0" collapsed="false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customFormat="false" ht="14.25" hidden="false" customHeight="true" outlineLevel="0" collapsed="false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customFormat="false" ht="14.25" hidden="false" customHeight="true" outlineLevel="0" collapsed="false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customFormat="false" ht="14.25" hidden="false" customHeight="true" outlineLevel="0" collapsed="false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customFormat="false" ht="14.25" hidden="false" customHeight="true" outlineLevel="0" collapsed="false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customFormat="false" ht="14.25" hidden="false" customHeight="true" outlineLevel="0" collapsed="false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customFormat="false" ht="14.25" hidden="false" customHeight="true" outlineLevel="0" collapsed="false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customFormat="false" ht="14.25" hidden="false" customHeight="true" outlineLevel="0" collapsed="false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customFormat="false" ht="14.25" hidden="false" customHeight="true" outlineLevel="0" collapsed="false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customFormat="false" ht="14.25" hidden="false" customHeight="true" outlineLevel="0" collapsed="false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customFormat="false" ht="14.25" hidden="false" customHeight="true" outlineLevel="0" collapsed="false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customFormat="false" ht="14.25" hidden="false" customHeight="true" outlineLevel="0" collapsed="false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customFormat="false" ht="14.25" hidden="false" customHeight="true" outlineLevel="0" collapsed="false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customFormat="false" ht="14.25" hidden="false" customHeight="true" outlineLevel="0" collapsed="false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customFormat="false" ht="14.25" hidden="false" customHeight="true" outlineLevel="0" collapsed="false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customFormat="false" ht="14.25" hidden="false" customHeight="true" outlineLevel="0" collapsed="false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customFormat="false" ht="14.25" hidden="false" customHeight="true" outlineLevel="0" collapsed="false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customFormat="false" ht="14.25" hidden="false" customHeight="true" outlineLevel="0" collapsed="false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customFormat="false" ht="14.25" hidden="false" customHeight="true" outlineLevel="0" collapsed="false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customFormat="false" ht="14.25" hidden="false" customHeight="true" outlineLevel="0" collapsed="false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customFormat="false" ht="14.25" hidden="false" customHeight="true" outlineLevel="0" collapsed="false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customFormat="false" ht="14.25" hidden="false" customHeight="true" outlineLevel="0" collapsed="false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customFormat="false" ht="14.25" hidden="false" customHeight="true" outlineLevel="0" collapsed="false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customFormat="false" ht="14.25" hidden="false" customHeight="true" outlineLevel="0" collapsed="false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customFormat="false" ht="14.25" hidden="false" customHeight="true" outlineLevel="0" collapsed="false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customFormat="false" ht="14.25" hidden="false" customHeight="true" outlineLevel="0" collapsed="false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customFormat="false" ht="14.25" hidden="false" customHeight="true" outlineLevel="0" collapsed="false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customFormat="false" ht="14.25" hidden="false" customHeight="true" outlineLevel="0" collapsed="false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customFormat="false" ht="14.25" hidden="false" customHeight="true" outlineLevel="0" collapsed="false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customFormat="false" ht="14.25" hidden="false" customHeight="true" outlineLevel="0" collapsed="false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customFormat="false" ht="14.25" hidden="false" customHeight="true" outlineLevel="0" collapsed="false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customFormat="false" ht="14.25" hidden="false" customHeight="true" outlineLevel="0" collapsed="false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customFormat="false" ht="14.25" hidden="false" customHeight="true" outlineLevel="0" collapsed="false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customFormat="false" ht="14.25" hidden="false" customHeight="true" outlineLevel="0" collapsed="false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customFormat="false" ht="14.25" hidden="false" customHeight="true" outlineLevel="0" collapsed="false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customFormat="false" ht="14.25" hidden="false" customHeight="true" outlineLevel="0" collapsed="false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customFormat="false" ht="14.25" hidden="false" customHeight="true" outlineLevel="0" collapsed="false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customFormat="false" ht="14.25" hidden="false" customHeight="true" outlineLevel="0" collapsed="false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customFormat="false" ht="14.25" hidden="false" customHeight="true" outlineLevel="0" collapsed="false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customFormat="false" ht="14.25" hidden="false" customHeight="true" outlineLevel="0" collapsed="false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customFormat="false" ht="14.25" hidden="false" customHeight="true" outlineLevel="0" collapsed="false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customFormat="false" ht="14.25" hidden="false" customHeight="true" outlineLevel="0" collapsed="false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customFormat="false" ht="14.25" hidden="false" customHeight="true" outlineLevel="0" collapsed="false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customFormat="false" ht="14.25" hidden="false" customHeight="true" outlineLevel="0" collapsed="false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customFormat="false" ht="14.25" hidden="false" customHeight="true" outlineLevel="0" collapsed="false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customFormat="false" ht="14.25" hidden="false" customHeight="true" outlineLevel="0" collapsed="false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customFormat="false" ht="14.25" hidden="false" customHeight="true" outlineLevel="0" collapsed="false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customFormat="false" ht="14.25" hidden="false" customHeight="true" outlineLevel="0" collapsed="false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customFormat="false" ht="14.25" hidden="false" customHeight="true" outlineLevel="0" collapsed="false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customFormat="false" ht="14.25" hidden="false" customHeight="true" outlineLevel="0" collapsed="false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customFormat="false" ht="14.25" hidden="false" customHeight="true" outlineLevel="0" collapsed="false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customFormat="false" ht="14.25" hidden="false" customHeight="true" outlineLevel="0" collapsed="false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customFormat="false" ht="14.25" hidden="false" customHeight="true" outlineLevel="0" collapsed="false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customFormat="false" ht="14.25" hidden="false" customHeight="true" outlineLevel="0" collapsed="false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customFormat="false" ht="14.25" hidden="false" customHeight="true" outlineLevel="0" collapsed="false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customFormat="false" ht="14.25" hidden="false" customHeight="true" outlineLevel="0" collapsed="false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customFormat="false" ht="14.25" hidden="false" customHeight="true" outlineLevel="0" collapsed="false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customFormat="false" ht="14.25" hidden="false" customHeight="true" outlineLevel="0" collapsed="false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customFormat="false" ht="14.25" hidden="false" customHeight="true" outlineLevel="0" collapsed="false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customFormat="false" ht="14.25" hidden="false" customHeight="true" outlineLevel="0" collapsed="false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customFormat="false" ht="14.25" hidden="false" customHeight="true" outlineLevel="0" collapsed="false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customFormat="false" ht="14.25" hidden="false" customHeight="true" outlineLevel="0" collapsed="false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customFormat="false" ht="14.25" hidden="false" customHeight="true" outlineLevel="0" collapsed="false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customFormat="false" ht="14.25" hidden="false" customHeight="true" outlineLevel="0" collapsed="false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customFormat="false" ht="14.25" hidden="false" customHeight="true" outlineLevel="0" collapsed="false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customFormat="false" ht="14.25" hidden="false" customHeight="true" outlineLevel="0" collapsed="false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customFormat="false" ht="14.25" hidden="false" customHeight="true" outlineLevel="0" collapsed="false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customFormat="false" ht="14.25" hidden="false" customHeight="true" outlineLevel="0" collapsed="false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customFormat="false" ht="14.25" hidden="false" customHeight="true" outlineLevel="0" collapsed="false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customFormat="false" ht="14.25" hidden="false" customHeight="true" outlineLevel="0" collapsed="false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customFormat="false" ht="14.25" hidden="false" customHeight="true" outlineLevel="0" collapsed="false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customFormat="false" ht="14.25" hidden="false" customHeight="true" outlineLevel="0" collapsed="false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customFormat="false" ht="14.25" hidden="false" customHeight="true" outlineLevel="0" collapsed="false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customFormat="false" ht="14.25" hidden="false" customHeight="true" outlineLevel="0" collapsed="false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customFormat="false" ht="14.25" hidden="false" customHeight="true" outlineLevel="0" collapsed="false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customFormat="false" ht="14.25" hidden="false" customHeight="true" outlineLevel="0" collapsed="false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customFormat="false" ht="14.25" hidden="false" customHeight="true" outlineLevel="0" collapsed="false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customFormat="false" ht="14.25" hidden="false" customHeight="true" outlineLevel="0" collapsed="false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customFormat="false" ht="14.25" hidden="false" customHeight="true" outlineLevel="0" collapsed="false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customFormat="false" ht="14.25" hidden="false" customHeight="true" outlineLevel="0" collapsed="false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customFormat="false" ht="14.25" hidden="false" customHeight="true" outlineLevel="0" collapsed="false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customFormat="false" ht="14.25" hidden="false" customHeight="true" outlineLevel="0" collapsed="false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customFormat="false" ht="14.25" hidden="false" customHeight="true" outlineLevel="0" collapsed="false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customFormat="false" ht="14.25" hidden="false" customHeight="true" outlineLevel="0" collapsed="false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customFormat="false" ht="14.25" hidden="false" customHeight="true" outlineLevel="0" collapsed="false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customFormat="false" ht="14.25" hidden="false" customHeight="true" outlineLevel="0" collapsed="false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customFormat="false" ht="14.25" hidden="false" customHeight="true" outlineLevel="0" collapsed="false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customFormat="false" ht="14.25" hidden="false" customHeight="true" outlineLevel="0" collapsed="false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customFormat="false" ht="14.25" hidden="false" customHeight="true" outlineLevel="0" collapsed="false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customFormat="false" ht="14.25" hidden="false" customHeight="true" outlineLevel="0" collapsed="false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customFormat="false" ht="14.25" hidden="false" customHeight="true" outlineLevel="0" collapsed="false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customFormat="false" ht="14.25" hidden="false" customHeight="true" outlineLevel="0" collapsed="false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customFormat="false" ht="14.25" hidden="false" customHeight="true" outlineLevel="0" collapsed="false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customFormat="false" ht="14.25" hidden="false" customHeight="true" outlineLevel="0" collapsed="false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customFormat="false" ht="14.25" hidden="false" customHeight="true" outlineLevel="0" collapsed="false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customFormat="false" ht="14.25" hidden="false" customHeight="true" outlineLevel="0" collapsed="false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customFormat="false" ht="14.25" hidden="false" customHeight="true" outlineLevel="0" collapsed="false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customFormat="false" ht="14.25" hidden="false" customHeight="true" outlineLevel="0" collapsed="false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customFormat="false" ht="14.25" hidden="false" customHeight="true" outlineLevel="0" collapsed="false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customFormat="false" ht="14.25" hidden="false" customHeight="true" outlineLevel="0" collapsed="false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customFormat="false" ht="14.25" hidden="false" customHeight="true" outlineLevel="0" collapsed="false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customFormat="false" ht="14.25" hidden="false" customHeight="true" outlineLevel="0" collapsed="false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customFormat="false" ht="14.25" hidden="false" customHeight="true" outlineLevel="0" collapsed="false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customFormat="false" ht="14.25" hidden="false" customHeight="true" outlineLevel="0" collapsed="false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customFormat="false" ht="14.25" hidden="false" customHeight="true" outlineLevel="0" collapsed="false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customFormat="false" ht="14.25" hidden="false" customHeight="true" outlineLevel="0" collapsed="false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customFormat="false" ht="14.25" hidden="false" customHeight="true" outlineLevel="0" collapsed="false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customFormat="false" ht="14.25" hidden="false" customHeight="true" outlineLevel="0" collapsed="false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customFormat="false" ht="14.25" hidden="false" customHeight="true" outlineLevel="0" collapsed="false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customFormat="false" ht="14.25" hidden="false" customHeight="true" outlineLevel="0" collapsed="false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customFormat="false" ht="14.25" hidden="false" customHeight="true" outlineLevel="0" collapsed="false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customFormat="false" ht="14.25" hidden="false" customHeight="true" outlineLevel="0" collapsed="false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customFormat="false" ht="14.25" hidden="false" customHeight="true" outlineLevel="0" collapsed="false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customFormat="false" ht="14.25" hidden="false" customHeight="true" outlineLevel="0" collapsed="false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customFormat="false" ht="14.25" hidden="false" customHeight="true" outlineLevel="0" collapsed="false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customFormat="false" ht="14.25" hidden="false" customHeight="true" outlineLevel="0" collapsed="false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customFormat="false" ht="14.25" hidden="false" customHeight="true" outlineLevel="0" collapsed="false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customFormat="false" ht="14.25" hidden="false" customHeight="true" outlineLevel="0" collapsed="false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customFormat="false" ht="14.25" hidden="false" customHeight="true" outlineLevel="0" collapsed="false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customFormat="false" ht="14.25" hidden="false" customHeight="true" outlineLevel="0" collapsed="false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customFormat="false" ht="14.25" hidden="false" customHeight="true" outlineLevel="0" collapsed="false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customFormat="false" ht="14.25" hidden="false" customHeight="true" outlineLevel="0" collapsed="false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customFormat="false" ht="14.25" hidden="false" customHeight="true" outlineLevel="0" collapsed="false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customFormat="false" ht="14.25" hidden="false" customHeight="true" outlineLevel="0" collapsed="false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customFormat="false" ht="14.25" hidden="false" customHeight="true" outlineLevel="0" collapsed="false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customFormat="false" ht="14.25" hidden="false" customHeight="true" outlineLevel="0" collapsed="false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customFormat="false" ht="14.25" hidden="false" customHeight="true" outlineLevel="0" collapsed="false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customFormat="false" ht="14.25" hidden="false" customHeight="true" outlineLevel="0" collapsed="false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customFormat="false" ht="14.25" hidden="false" customHeight="true" outlineLevel="0" collapsed="false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customFormat="false" ht="14.25" hidden="false" customHeight="true" outlineLevel="0" collapsed="false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customFormat="false" ht="14.25" hidden="false" customHeight="true" outlineLevel="0" collapsed="false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customFormat="false" ht="14.25" hidden="false" customHeight="true" outlineLevel="0" collapsed="false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customFormat="false" ht="14.25" hidden="false" customHeight="true" outlineLevel="0" collapsed="false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customFormat="false" ht="14.25" hidden="false" customHeight="true" outlineLevel="0" collapsed="false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customFormat="false" ht="14.25" hidden="false" customHeight="true" outlineLevel="0" collapsed="false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customFormat="false" ht="14.25" hidden="false" customHeight="true" outlineLevel="0" collapsed="false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customFormat="false" ht="14.25" hidden="false" customHeight="true" outlineLevel="0" collapsed="false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customFormat="false" ht="14.25" hidden="false" customHeight="true" outlineLevel="0" collapsed="false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customFormat="false" ht="14.25" hidden="false" customHeight="true" outlineLevel="0" collapsed="false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customFormat="false" ht="14.25" hidden="false" customHeight="true" outlineLevel="0" collapsed="false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customFormat="false" ht="14.25" hidden="false" customHeight="true" outlineLevel="0" collapsed="false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customFormat="false" ht="14.25" hidden="false" customHeight="true" outlineLevel="0" collapsed="false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customFormat="false" ht="14.25" hidden="false" customHeight="true" outlineLevel="0" collapsed="false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customFormat="false" ht="14.25" hidden="false" customHeight="true" outlineLevel="0" collapsed="false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customFormat="false" ht="14.25" hidden="false" customHeight="true" outlineLevel="0" collapsed="false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customFormat="false" ht="14.25" hidden="false" customHeight="true" outlineLevel="0" collapsed="false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customFormat="false" ht="14.25" hidden="false" customHeight="true" outlineLevel="0" collapsed="false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customFormat="false" ht="14.25" hidden="false" customHeight="true" outlineLevel="0" collapsed="false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customFormat="false" ht="14.25" hidden="false" customHeight="true" outlineLevel="0" collapsed="false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customFormat="false" ht="14.25" hidden="false" customHeight="true" outlineLevel="0" collapsed="false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customFormat="false" ht="14.25" hidden="false" customHeight="true" outlineLevel="0" collapsed="false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customFormat="false" ht="14.25" hidden="false" customHeight="true" outlineLevel="0" collapsed="false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customFormat="false" ht="14.25" hidden="false" customHeight="true" outlineLevel="0" collapsed="false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customFormat="false" ht="14.25" hidden="false" customHeight="true" outlineLevel="0" collapsed="false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customFormat="false" ht="14.25" hidden="false" customHeight="true" outlineLevel="0" collapsed="false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customFormat="false" ht="14.25" hidden="false" customHeight="true" outlineLevel="0" collapsed="false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customFormat="false" ht="14.25" hidden="false" customHeight="true" outlineLevel="0" collapsed="false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customFormat="false" ht="14.25" hidden="false" customHeight="true" outlineLevel="0" collapsed="false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customFormat="false" ht="14.25" hidden="false" customHeight="true" outlineLevel="0" collapsed="false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customFormat="false" ht="14.25" hidden="false" customHeight="true" outlineLevel="0" collapsed="false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customFormat="false" ht="14.25" hidden="false" customHeight="true" outlineLevel="0" collapsed="false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customFormat="false" ht="14.25" hidden="false" customHeight="true" outlineLevel="0" collapsed="false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customFormat="false" ht="14.25" hidden="false" customHeight="true" outlineLevel="0" collapsed="false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customFormat="false" ht="14.25" hidden="false" customHeight="true" outlineLevel="0" collapsed="false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customFormat="false" ht="14.25" hidden="false" customHeight="true" outlineLevel="0" collapsed="false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customFormat="false" ht="14.25" hidden="false" customHeight="true" outlineLevel="0" collapsed="false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customFormat="false" ht="14.25" hidden="false" customHeight="true" outlineLevel="0" collapsed="false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customFormat="false" ht="14.25" hidden="false" customHeight="true" outlineLevel="0" collapsed="false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customFormat="false" ht="14.25" hidden="false" customHeight="true" outlineLevel="0" collapsed="false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customFormat="false" ht="14.25" hidden="false" customHeight="true" outlineLevel="0" collapsed="false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customFormat="false" ht="14.25" hidden="false" customHeight="true" outlineLevel="0" collapsed="false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customFormat="false" ht="14.25" hidden="false" customHeight="true" outlineLevel="0" collapsed="false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customFormat="false" ht="14.25" hidden="false" customHeight="true" outlineLevel="0" collapsed="false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customFormat="false" ht="14.25" hidden="false" customHeight="true" outlineLevel="0" collapsed="false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customFormat="false" ht="14.25" hidden="false" customHeight="true" outlineLevel="0" collapsed="false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customFormat="false" ht="14.25" hidden="false" customHeight="true" outlineLevel="0" collapsed="false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customFormat="false" ht="14.25" hidden="false" customHeight="true" outlineLevel="0" collapsed="false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customFormat="false" ht="14.25" hidden="false" customHeight="true" outlineLevel="0" collapsed="false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customFormat="false" ht="14.25" hidden="false" customHeight="true" outlineLevel="0" collapsed="false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customFormat="false" ht="14.25" hidden="false" customHeight="true" outlineLevel="0" collapsed="false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customFormat="false" ht="14.25" hidden="false" customHeight="true" outlineLevel="0" collapsed="false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customFormat="false" ht="14.25" hidden="false" customHeight="true" outlineLevel="0" collapsed="false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customFormat="false" ht="14.25" hidden="false" customHeight="true" outlineLevel="0" collapsed="false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customFormat="false" ht="14.25" hidden="false" customHeight="true" outlineLevel="0" collapsed="false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customFormat="false" ht="14.25" hidden="false" customHeight="true" outlineLevel="0" collapsed="false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customFormat="false" ht="14.25" hidden="false" customHeight="true" outlineLevel="0" collapsed="false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customFormat="false" ht="14.25" hidden="false" customHeight="true" outlineLevel="0" collapsed="false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customFormat="false" ht="14.25" hidden="false" customHeight="true" outlineLevel="0" collapsed="false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customFormat="false" ht="14.25" hidden="false" customHeight="true" outlineLevel="0" collapsed="false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customFormat="false" ht="14.25" hidden="false" customHeight="true" outlineLevel="0" collapsed="false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customFormat="false" ht="14.25" hidden="false" customHeight="true" outlineLevel="0" collapsed="false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customFormat="false" ht="14.25" hidden="false" customHeight="true" outlineLevel="0" collapsed="false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customFormat="false" ht="14.25" hidden="false" customHeight="true" outlineLevel="0" collapsed="false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customFormat="false" ht="14.25" hidden="false" customHeight="true" outlineLevel="0" collapsed="false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customFormat="false" ht="14.25" hidden="false" customHeight="true" outlineLevel="0" collapsed="false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customFormat="false" ht="14.25" hidden="false" customHeight="true" outlineLevel="0" collapsed="false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customFormat="false" ht="14.25" hidden="false" customHeight="true" outlineLevel="0" collapsed="false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customFormat="false" ht="14.25" hidden="false" customHeight="true" outlineLevel="0" collapsed="false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customFormat="false" ht="14.25" hidden="false" customHeight="true" outlineLevel="0" collapsed="false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customFormat="false" ht="14.25" hidden="false" customHeight="true" outlineLevel="0" collapsed="false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customFormat="false" ht="14.25" hidden="false" customHeight="true" outlineLevel="0" collapsed="false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customFormat="false" ht="14.25" hidden="false" customHeight="true" outlineLevel="0" collapsed="false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customFormat="false" ht="14.25" hidden="false" customHeight="true" outlineLevel="0" collapsed="false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customFormat="false" ht="14.25" hidden="false" customHeight="true" outlineLevel="0" collapsed="false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customFormat="false" ht="14.25" hidden="false" customHeight="true" outlineLevel="0" collapsed="false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customFormat="false" ht="14.25" hidden="false" customHeight="true" outlineLevel="0" collapsed="false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customFormat="false" ht="14.25" hidden="false" customHeight="true" outlineLevel="0" collapsed="false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customFormat="false" ht="14.25" hidden="false" customHeight="true" outlineLevel="0" collapsed="false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customFormat="false" ht="14.25" hidden="false" customHeight="true" outlineLevel="0" collapsed="false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customFormat="false" ht="14.25" hidden="false" customHeight="true" outlineLevel="0" collapsed="false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customFormat="false" ht="14.25" hidden="false" customHeight="true" outlineLevel="0" collapsed="false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customFormat="false" ht="14.25" hidden="false" customHeight="true" outlineLevel="0" collapsed="false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customFormat="false" ht="14.25" hidden="false" customHeight="true" outlineLevel="0" collapsed="false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customFormat="false" ht="14.25" hidden="false" customHeight="true" outlineLevel="0" collapsed="false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customFormat="false" ht="14.25" hidden="false" customHeight="true" outlineLevel="0" collapsed="false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customFormat="false" ht="14.25" hidden="false" customHeight="true" outlineLevel="0" collapsed="false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customFormat="false" ht="14.25" hidden="false" customHeight="true" outlineLevel="0" collapsed="false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customFormat="false" ht="14.25" hidden="false" customHeight="true" outlineLevel="0" collapsed="false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customFormat="false" ht="14.25" hidden="false" customHeight="true" outlineLevel="0" collapsed="false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customFormat="false" ht="14.25" hidden="false" customHeight="true" outlineLevel="0" collapsed="false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customFormat="false" ht="14.25" hidden="false" customHeight="true" outlineLevel="0" collapsed="false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customFormat="false" ht="14.25" hidden="false" customHeight="true" outlineLevel="0" collapsed="false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customFormat="false" ht="14.25" hidden="false" customHeight="true" outlineLevel="0" collapsed="false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customFormat="false" ht="14.25" hidden="false" customHeight="true" outlineLevel="0" collapsed="false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customFormat="false" ht="14.25" hidden="false" customHeight="true" outlineLevel="0" collapsed="false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customFormat="false" ht="14.25" hidden="false" customHeight="true" outlineLevel="0" collapsed="false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customFormat="false" ht="14.25" hidden="false" customHeight="true" outlineLevel="0" collapsed="false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customFormat="false" ht="14.25" hidden="false" customHeight="true" outlineLevel="0" collapsed="false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customFormat="false" ht="14.25" hidden="false" customHeight="true" outlineLevel="0" collapsed="false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customFormat="false" ht="14.25" hidden="false" customHeight="true" outlineLevel="0" collapsed="false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customFormat="false" ht="14.25" hidden="false" customHeight="true" outlineLevel="0" collapsed="false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customFormat="false" ht="14.25" hidden="false" customHeight="true" outlineLevel="0" collapsed="false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customFormat="false" ht="14.25" hidden="false" customHeight="true" outlineLevel="0" collapsed="false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customFormat="false" ht="14.25" hidden="false" customHeight="true" outlineLevel="0" collapsed="false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customFormat="false" ht="14.25" hidden="false" customHeight="true" outlineLevel="0" collapsed="false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customFormat="false" ht="14.25" hidden="false" customHeight="true" outlineLevel="0" collapsed="false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customFormat="false" ht="14.25" hidden="false" customHeight="true" outlineLevel="0" collapsed="false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customFormat="false" ht="14.25" hidden="false" customHeight="true" outlineLevel="0" collapsed="false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customFormat="false" ht="14.25" hidden="false" customHeight="true" outlineLevel="0" collapsed="false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customFormat="false" ht="14.25" hidden="false" customHeight="true" outlineLevel="0" collapsed="false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customFormat="false" ht="14.25" hidden="false" customHeight="true" outlineLevel="0" collapsed="false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customFormat="false" ht="14.25" hidden="false" customHeight="true" outlineLevel="0" collapsed="false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customFormat="false" ht="14.25" hidden="false" customHeight="true" outlineLevel="0" collapsed="false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customFormat="false" ht="14.25" hidden="false" customHeight="true" outlineLevel="0" collapsed="false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customFormat="false" ht="14.25" hidden="false" customHeight="true" outlineLevel="0" collapsed="false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customFormat="false" ht="14.25" hidden="false" customHeight="true" outlineLevel="0" collapsed="false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customFormat="false" ht="14.25" hidden="false" customHeight="true" outlineLevel="0" collapsed="false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customFormat="false" ht="14.25" hidden="false" customHeight="true" outlineLevel="0" collapsed="false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customFormat="false" ht="14.25" hidden="false" customHeight="true" outlineLevel="0" collapsed="false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customFormat="false" ht="14.25" hidden="false" customHeight="true" outlineLevel="0" collapsed="false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customFormat="false" ht="14.25" hidden="false" customHeight="true" outlineLevel="0" collapsed="false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customFormat="false" ht="14.25" hidden="false" customHeight="true" outlineLevel="0" collapsed="false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customFormat="false" ht="14.25" hidden="false" customHeight="true" outlineLevel="0" collapsed="false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customFormat="false" ht="14.25" hidden="false" customHeight="true" outlineLevel="0" collapsed="false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  <row r="979" customFormat="false" ht="14.25" hidden="false" customHeight="true" outlineLevel="0" collapsed="false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</row>
    <row r="980" customFormat="false" ht="14.25" hidden="false" customHeight="true" outlineLevel="0" collapsed="false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</row>
    <row r="981" customFormat="false" ht="14.25" hidden="false" customHeight="true" outlineLevel="0" collapsed="false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</row>
    <row r="982" customFormat="false" ht="14.25" hidden="false" customHeight="true" outlineLevel="0" collapsed="false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</row>
    <row r="983" customFormat="false" ht="14.25" hidden="false" customHeight="true" outlineLevel="0" collapsed="false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</row>
    <row r="984" customFormat="false" ht="14.25" hidden="false" customHeight="true" outlineLevel="0" collapsed="false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</row>
    <row r="985" customFormat="false" ht="14.25" hidden="false" customHeight="true" outlineLevel="0" collapsed="false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</row>
    <row r="986" customFormat="false" ht="14.25" hidden="false" customHeight="true" outlineLevel="0" collapsed="false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</row>
    <row r="987" customFormat="false" ht="14.25" hidden="false" customHeight="true" outlineLevel="0" collapsed="false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</row>
    <row r="988" customFormat="false" ht="14.25" hidden="false" customHeight="true" outlineLevel="0" collapsed="false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</row>
    <row r="989" customFormat="false" ht="14.25" hidden="false" customHeight="true" outlineLevel="0" collapsed="false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</row>
    <row r="990" customFormat="false" ht="14.25" hidden="false" customHeight="true" outlineLevel="0" collapsed="false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</row>
    <row r="991" customFormat="false" ht="14.25" hidden="false" customHeight="true" outlineLevel="0" collapsed="false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</row>
    <row r="992" customFormat="false" ht="14.25" hidden="false" customHeight="true" outlineLevel="0" collapsed="false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</row>
    <row r="993" customFormat="false" ht="14.25" hidden="false" customHeight="true" outlineLevel="0" collapsed="false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</row>
    <row r="994" customFormat="false" ht="14.25" hidden="false" customHeight="true" outlineLevel="0" collapsed="false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</row>
    <row r="995" customFormat="false" ht="14.25" hidden="false" customHeight="true" outlineLevel="0" collapsed="false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</row>
    <row r="996" customFormat="false" ht="14.25" hidden="false" customHeight="true" outlineLevel="0" collapsed="false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</row>
    <row r="997" customFormat="false" ht="14.25" hidden="false" customHeight="true" outlineLevel="0" collapsed="false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</row>
    <row r="998" customFormat="false" ht="14.25" hidden="false" customHeight="true" outlineLevel="0" collapsed="false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</row>
    <row r="999" customFormat="false" ht="14.25" hidden="false" customHeight="true" outlineLevel="0" collapsed="false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</row>
    <row r="1000" customFormat="false" ht="14.25" hidden="false" customHeight="true" outlineLevel="0" collapsed="false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</row>
    <row r="1001" customFormat="false" ht="14.25" hidden="false" customHeight="true" outlineLevel="0" collapsed="false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</row>
    <row r="1002" customFormat="false" ht="14.25" hidden="false" customHeight="true" outlineLevel="0" collapsed="false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</row>
  </sheetData>
  <mergeCells count="7">
    <mergeCell ref="C5:F5"/>
    <mergeCell ref="C18:F18"/>
    <mergeCell ref="B60:D60"/>
    <mergeCell ref="E60:H60"/>
    <mergeCell ref="J60:M60"/>
    <mergeCell ref="A64:C64"/>
    <mergeCell ref="D64:F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2026-08-04T11:26:31Z</dcterms:created>
  <dc:creator>user</dc:creator>
  <dc:description/>
  <dc:language>en-US</dc:language>
  <cp:lastModifiedBy>user</cp:lastModifiedBy>
  <cp:lastPrinted>2026-07-29T06:01:40Z</cp:lastPrinted>
  <dcterms:modified xsi:type="dcterms:W3CDTF">2026-08-05T07:46:20Z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