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SIPANDA PTM 2026\"/>
    </mc:Choice>
  </mc:AlternateContent>
  <xr:revisionPtr revIDLastSave="0" documentId="13_ncr:1_{C72984FF-EBC5-45AC-AAC9-62FE7E101F67}" xr6:coauthVersionLast="43" xr6:coauthVersionMax="43" xr10:uidLastSave="{00000000-0000-0000-0000-000000000000}"/>
  <bookViews>
    <workbookView xWindow="-110" yWindow="-110" windowWidth="19420" windowHeight="10300" activeTab="1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83" i="19" l="1"/>
  <c r="L70" i="21" l="1"/>
  <c r="K70" i="21"/>
  <c r="J70" i="21"/>
  <c r="G70" i="21"/>
  <c r="F70" i="21"/>
  <c r="E70" i="21"/>
  <c r="D70" i="21"/>
  <c r="M69" i="21"/>
  <c r="H69" i="21"/>
  <c r="I69" i="21" s="1"/>
  <c r="M68" i="21"/>
  <c r="H68" i="21"/>
  <c r="I68" i="21" s="1"/>
  <c r="M67" i="21"/>
  <c r="N67" i="21" s="1"/>
  <c r="H67" i="21"/>
  <c r="I67" i="21" s="1"/>
  <c r="M66" i="21"/>
  <c r="N66" i="21" s="1"/>
  <c r="H66" i="21"/>
  <c r="I66" i="21" s="1"/>
  <c r="M65" i="21"/>
  <c r="H65" i="21"/>
  <c r="I65" i="21" s="1"/>
  <c r="M64" i="21"/>
  <c r="H64" i="21"/>
  <c r="I64" i="21" s="1"/>
  <c r="M63" i="21"/>
  <c r="H63" i="21"/>
  <c r="I63" i="21" s="1"/>
  <c r="M62" i="21"/>
  <c r="N62" i="21" s="1"/>
  <c r="H62" i="21"/>
  <c r="I62" i="21" s="1"/>
  <c r="M61" i="21"/>
  <c r="H61" i="21"/>
  <c r="I61" i="21" s="1"/>
  <c r="M60" i="21"/>
  <c r="H60" i="21"/>
  <c r="I60" i="21" s="1"/>
  <c r="M59" i="21"/>
  <c r="H59" i="21"/>
  <c r="I59" i="21" s="1"/>
  <c r="M58" i="21"/>
  <c r="N58" i="21" s="1"/>
  <c r="H58" i="21"/>
  <c r="I58" i="21" s="1"/>
  <c r="M70" i="21" l="1"/>
  <c r="N70" i="21" s="1"/>
  <c r="H70" i="21"/>
  <c r="I70" i="21" s="1"/>
  <c r="O64" i="21"/>
  <c r="P64" i="21" s="1"/>
  <c r="O68" i="21"/>
  <c r="P68" i="21" s="1"/>
  <c r="O58" i="21"/>
  <c r="P58" i="21" s="1"/>
  <c r="O66" i="21"/>
  <c r="P66" i="21" s="1"/>
  <c r="O65" i="21"/>
  <c r="P65" i="21" s="1"/>
  <c r="O62" i="21"/>
  <c r="P62" i="21" s="1"/>
  <c r="O59" i="21"/>
  <c r="P59" i="21" s="1"/>
  <c r="O63" i="21"/>
  <c r="P63" i="21" s="1"/>
  <c r="O61" i="21"/>
  <c r="P61" i="21" s="1"/>
  <c r="O69" i="21"/>
  <c r="P69" i="21" s="1"/>
  <c r="O60" i="21"/>
  <c r="P60" i="21" s="1"/>
  <c r="N65" i="21"/>
  <c r="N60" i="21"/>
  <c r="N64" i="21"/>
  <c r="N63" i="21"/>
  <c r="O67" i="21"/>
  <c r="P67" i="21" s="1"/>
  <c r="N61" i="21"/>
  <c r="N69" i="21"/>
  <c r="N68" i="21"/>
  <c r="N59" i="21"/>
  <c r="O70" i="21" l="1"/>
  <c r="P70" i="21" s="1"/>
  <c r="L53" i="21"/>
  <c r="K53" i="21"/>
  <c r="J53" i="21"/>
  <c r="G53" i="21"/>
  <c r="F53" i="21"/>
  <c r="E53" i="21"/>
  <c r="D53" i="2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9" i="21" s="1"/>
  <c r="P49" i="21" s="1"/>
  <c r="M48" i="21"/>
  <c r="N48" i="21" s="1"/>
  <c r="H48" i="21"/>
  <c r="I48" i="21" s="1"/>
  <c r="M47" i="21"/>
  <c r="H47" i="21"/>
  <c r="I47" i="21" s="1"/>
  <c r="M46" i="21"/>
  <c r="H46" i="21"/>
  <c r="I46" i="21" s="1"/>
  <c r="M45" i="21"/>
  <c r="N45" i="21" s="1"/>
  <c r="H45" i="21"/>
  <c r="M44" i="21"/>
  <c r="N44" i="21" s="1"/>
  <c r="H44" i="21"/>
  <c r="I44" i="21" s="1"/>
  <c r="M43" i="2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G36" i="21"/>
  <c r="F36" i="21"/>
  <c r="E36" i="21"/>
  <c r="D36" i="21"/>
  <c r="M35" i="21"/>
  <c r="H35" i="21"/>
  <c r="I35" i="21" s="1"/>
  <c r="M34" i="21"/>
  <c r="H34" i="21"/>
  <c r="I34" i="21" s="1"/>
  <c r="M33" i="21"/>
  <c r="N33" i="21" s="1"/>
  <c r="H33" i="21"/>
  <c r="I33" i="21" s="1"/>
  <c r="M32" i="21"/>
  <c r="H32" i="21"/>
  <c r="I32" i="21" s="1"/>
  <c r="M31" i="21"/>
  <c r="N31" i="21" s="1"/>
  <c r="H31" i="21"/>
  <c r="I31" i="21" s="1"/>
  <c r="M30" i="21"/>
  <c r="H30" i="21"/>
  <c r="I30" i="21" s="1"/>
  <c r="M29" i="21"/>
  <c r="H29" i="21"/>
  <c r="I29" i="21" s="1"/>
  <c r="M28" i="21"/>
  <c r="N28" i="21" s="1"/>
  <c r="H28" i="21"/>
  <c r="I28" i="21" s="1"/>
  <c r="M27" i="21"/>
  <c r="N27" i="21" s="1"/>
  <c r="H27" i="21"/>
  <c r="I27" i="21" s="1"/>
  <c r="M26" i="21"/>
  <c r="H26" i="21"/>
  <c r="I26" i="21" s="1"/>
  <c r="M25" i="21"/>
  <c r="N25" i="21" s="1"/>
  <c r="H25" i="21"/>
  <c r="I25" i="21" s="1"/>
  <c r="M24" i="21"/>
  <c r="N24" i="21" s="1"/>
  <c r="H24" i="21"/>
  <c r="I24" i="21" s="1"/>
  <c r="L19" i="21"/>
  <c r="K19" i="21"/>
  <c r="J19" i="21"/>
  <c r="G19" i="21"/>
  <c r="F19" i="21"/>
  <c r="E19" i="21"/>
  <c r="D19" i="21"/>
  <c r="M18" i="21"/>
  <c r="N18" i="21" s="1"/>
  <c r="H18" i="21"/>
  <c r="M17" i="21"/>
  <c r="N17" i="21" s="1"/>
  <c r="H17" i="21"/>
  <c r="I17" i="21" s="1"/>
  <c r="M16" i="21"/>
  <c r="H16" i="21"/>
  <c r="I16" i="21" s="1"/>
  <c r="M15" i="21"/>
  <c r="N15" i="21" s="1"/>
  <c r="H15" i="21"/>
  <c r="M14" i="21"/>
  <c r="N14" i="21" s="1"/>
  <c r="H14" i="21"/>
  <c r="M13" i="21"/>
  <c r="N13" i="21" s="1"/>
  <c r="H13" i="21"/>
  <c r="I13" i="21" s="1"/>
  <c r="M12" i="21"/>
  <c r="H12" i="21"/>
  <c r="I12" i="21" s="1"/>
  <c r="M11" i="21"/>
  <c r="N11" i="21" s="1"/>
  <c r="H11" i="21"/>
  <c r="O11" i="21" s="1"/>
  <c r="P11" i="21" s="1"/>
  <c r="M10" i="21"/>
  <c r="N10" i="21" s="1"/>
  <c r="H10" i="21"/>
  <c r="M9" i="21"/>
  <c r="N9" i="21" s="1"/>
  <c r="H9" i="21"/>
  <c r="M8" i="21"/>
  <c r="H8" i="21"/>
  <c r="I8" i="21" s="1"/>
  <c r="M7" i="21"/>
  <c r="N7" i="21" s="1"/>
  <c r="H7" i="21"/>
  <c r="I7" i="21" s="1"/>
  <c r="O9" i="21" l="1"/>
  <c r="P9" i="21" s="1"/>
  <c r="O32" i="21"/>
  <c r="P32" i="21" s="1"/>
  <c r="O52" i="21"/>
  <c r="P52" i="21" s="1"/>
  <c r="O28" i="21"/>
  <c r="P28" i="21" s="1"/>
  <c r="O46" i="21"/>
  <c r="P46" i="21" s="1"/>
  <c r="M36" i="21"/>
  <c r="N36" i="21" s="1"/>
  <c r="O26" i="21"/>
  <c r="P26" i="21" s="1"/>
  <c r="O29" i="21"/>
  <c r="P29" i="21" s="1"/>
  <c r="O24" i="21"/>
  <c r="P24" i="21" s="1"/>
  <c r="O8" i="21"/>
  <c r="P8" i="21" s="1"/>
  <c r="O34" i="21"/>
  <c r="P34" i="21" s="1"/>
  <c r="O16" i="21"/>
  <c r="P16" i="21" s="1"/>
  <c r="O14" i="21"/>
  <c r="P14" i="21" s="1"/>
  <c r="O13" i="21"/>
  <c r="P13" i="21" s="1"/>
  <c r="H19" i="21"/>
  <c r="I19" i="21" s="1"/>
  <c r="N29" i="21"/>
  <c r="O43" i="21"/>
  <c r="P43" i="21" s="1"/>
  <c r="I9" i="21"/>
  <c r="O17" i="21"/>
  <c r="P17" i="21" s="1"/>
  <c r="N32" i="21"/>
  <c r="O47" i="21"/>
  <c r="P47" i="21" s="1"/>
  <c r="O12" i="21"/>
  <c r="P12" i="21" s="1"/>
  <c r="O15" i="21"/>
  <c r="P15" i="21" s="1"/>
  <c r="O18" i="21"/>
  <c r="P18" i="21" s="1"/>
  <c r="O25" i="21"/>
  <c r="P25" i="21" s="1"/>
  <c r="O30" i="21"/>
  <c r="P30" i="21" s="1"/>
  <c r="O35" i="21"/>
  <c r="P35" i="21" s="1"/>
  <c r="M53" i="21"/>
  <c r="N53" i="21" s="1"/>
  <c r="O50" i="21"/>
  <c r="P50" i="21" s="1"/>
  <c r="M19" i="21"/>
  <c r="N19" i="21" s="1"/>
  <c r="H53" i="21"/>
  <c r="I53" i="21" s="1"/>
  <c r="O44" i="21"/>
  <c r="P44" i="21" s="1"/>
  <c r="O10" i="21"/>
  <c r="P10" i="21" s="1"/>
  <c r="O33" i="21"/>
  <c r="P33" i="21" s="1"/>
  <c r="O45" i="21"/>
  <c r="P45" i="21" s="1"/>
  <c r="O48" i="21"/>
  <c r="P48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O19" i="21" l="1"/>
  <c r="P19" i="21" s="1"/>
  <c r="P41" i="2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<sst xmlns="http://schemas.openxmlformats.org/spreadsheetml/2006/main" count="2297" uniqueCount="63">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</sst>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&quot;Aptos Narrow&quot;"/>
    </font>
    <font>
      <b/>
      <sz val="14"/>
      <color rgb="FF000000"/>
      <name val="Arial"/>
      <family val="2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  <xf numFmtId="3" fontId="0" fillId="22" borderId="0" xfId="0" applyNumberFormat="1" applyFont="1" applyFill="1" applyBorder="1" applyAlignment="1">
      <alignment horizontal="right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19" fillId="18" borderId="3" xfId="3" applyFont="1" applyFill="1" applyBorder="1" applyAlignment="1">
      <alignment horizontal="center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opLeftCell="A12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274" workbookViewId="0">
      <selection activeCell="G284" sqref="G284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>
        <v>345</v>
      </c>
      <c r="J8" s="4">
        <f t="shared" si="0"/>
        <v>3.8341853745276731E-2</v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>
        <v>1065</v>
      </c>
      <c r="J20" s="4">
        <f t="shared" si="0"/>
        <v>0.32931354359925791</v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>
        <v>93</v>
      </c>
      <c r="J32" s="4">
        <f t="shared" si="0"/>
        <v>1.713022656106097E-2</v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>
        <v>723</v>
      </c>
      <c r="J44" s="4">
        <f t="shared" si="0"/>
        <v>0.20775862068965517</v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>
        <v>55</v>
      </c>
      <c r="J56" s="4">
        <f t="shared" si="0"/>
        <v>9.3920765027322405E-3</v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>
        <v>1651</v>
      </c>
      <c r="J68" s="4">
        <f t="shared" si="1"/>
        <v>8.6417168280554832E-2</v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>
        <v>357</v>
      </c>
      <c r="J80" s="4">
        <f t="shared" si="1"/>
        <v>9.1001784348712714E-2</v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>
        <v>47</v>
      </c>
      <c r="J92" s="4">
        <f t="shared" si="1"/>
        <v>4.6756864305610825E-3</v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>
        <v>1225</v>
      </c>
      <c r="J104" s="4">
        <f t="shared" si="1"/>
        <v>0.16328978938949612</v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>
        <v>279</v>
      </c>
      <c r="J116" s="4">
        <f t="shared" si="1"/>
        <v>1.7020497803806735E-2</v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>
        <v>469</v>
      </c>
      <c r="J128" s="4">
        <f t="shared" si="1"/>
        <v>7.6210594735131615E-2</v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3">
        <v>121</v>
      </c>
      <c r="J140" s="4">
        <f t="shared" si="2"/>
        <v>5.3210202286719438E-2</v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>
        <v>23</v>
      </c>
      <c r="J152" s="4">
        <f t="shared" si="2"/>
        <v>5.18018018018018E-2</v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>
        <v>23</v>
      </c>
      <c r="J164" s="4">
        <f t="shared" si="2"/>
        <v>0.14374999999999999</v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>
        <v>13</v>
      </c>
      <c r="J176" s="4">
        <f t="shared" si="2"/>
        <v>4.797047970479705E-2</v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>
        <v>4</v>
      </c>
      <c r="J188" s="4">
        <f t="shared" si="2"/>
        <v>2.3529411764705882E-2</v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90">
        <v>0</v>
      </c>
      <c r="J200" s="4">
        <f t="shared" si="3"/>
        <v>0</v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>
        <v>25</v>
      </c>
      <c r="J212" s="4">
        <f t="shared" si="3"/>
        <v>2.7502750275027504E-2</v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>
        <v>46</v>
      </c>
      <c r="J224" s="4">
        <f t="shared" si="3"/>
        <v>0.24468085106382978</v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>
        <v>27</v>
      </c>
      <c r="J236" s="4">
        <f t="shared" si="3"/>
        <v>5.8823529411764705E-2</v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>
        <v>35</v>
      </c>
      <c r="J248" s="4">
        <f t="shared" si="3"/>
        <v>0.10263929618768329</v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>
        <v>4</v>
      </c>
      <c r="J260" s="4">
        <f t="shared" si="4"/>
        <v>5.5096418732782371E-3</v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90">
        <v>0</v>
      </c>
      <c r="J272" s="4">
        <f t="shared" si="4"/>
        <v>0</v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>
        <v>6</v>
      </c>
      <c r="J284" s="4">
        <f t="shared" si="4"/>
        <v>5.3571428571428568E-2</v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>
        <v>15</v>
      </c>
      <c r="J296" s="4">
        <f t="shared" si="4"/>
        <v>0.13513513513513514</v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>
        <v>0</v>
      </c>
      <c r="J308" s="4">
        <f t="shared" si="4"/>
        <v>0</v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>
        <v>11</v>
      </c>
      <c r="J320" s="4">
        <f t="shared" si="4"/>
        <v>0.16417910447761194</v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>
        <v>1</v>
      </c>
      <c r="J332" s="4">
        <f t="shared" si="5"/>
        <v>2.3255813953488372E-2</v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90">
        <v>0</v>
      </c>
      <c r="J344" s="4">
        <f t="shared" si="5"/>
        <v>0</v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>
        <v>12</v>
      </c>
      <c r="J356" s="4">
        <f t="shared" si="5"/>
        <v>5.2863436123348019E-2</v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>
        <v>1</v>
      </c>
      <c r="J368" s="4">
        <f t="shared" si="5"/>
        <v>2.1276595744680851E-2</v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>
        <v>2</v>
      </c>
      <c r="J380" s="4">
        <f t="shared" si="5"/>
        <v>1.7391304347826087E-2</v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>
        <v>2</v>
      </c>
      <c r="J381" s="4">
        <f t="shared" si="5"/>
        <v>1.7391304347826087E-2</v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>
        <v>3</v>
      </c>
      <c r="J392" s="4">
        <f t="shared" si="6"/>
        <v>3.5294117647058823E-2</v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>
        <v>3</v>
      </c>
      <c r="J393" s="4">
        <f t="shared" si="6"/>
        <v>3.5294117647058823E-2</v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>
        <v>3</v>
      </c>
      <c r="J404" s="4">
        <f t="shared" si="6"/>
        <v>1.6483516483516484E-2</v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90">
        <v>0</v>
      </c>
      <c r="J416" s="4">
        <f t="shared" si="6"/>
        <v>0</v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3">
        <v>4</v>
      </c>
      <c r="J428" s="4">
        <f t="shared" si="6"/>
        <v>0.14285714285714285</v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>
        <v>13</v>
      </c>
      <c r="J440" s="4">
        <f t="shared" si="6"/>
        <v>5.8823529411764705E-2</v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>
        <v>1</v>
      </c>
      <c r="J452" s="4">
        <f t="shared" si="7"/>
        <v>1.2658227848101266E-2</v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>
        <v>6</v>
      </c>
      <c r="J464" s="4">
        <f t="shared" si="7"/>
        <v>4.0816326530612242E-2</v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>
        <v>0</v>
      </c>
      <c r="J476" s="4">
        <f t="shared" si="7"/>
        <v>0</v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>
        <v>13</v>
      </c>
      <c r="J488" s="4">
        <f t="shared" si="7"/>
        <v>8.387096774193549E-2</v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>
        <v>0</v>
      </c>
      <c r="J500" s="4">
        <f t="shared" si="7"/>
        <v>0</v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>
        <v>0</v>
      </c>
      <c r="J512" s="4">
        <f t="shared" si="7"/>
        <v>0</v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>
        <v>3</v>
      </c>
      <c r="J524" s="4">
        <f t="shared" si="8"/>
        <v>1.2345679012345678E-2</v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>
        <v>0</v>
      </c>
      <c r="J536" s="4">
        <f t="shared" si="8"/>
        <v>0</v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>
        <v>0</v>
      </c>
      <c r="J548" s="4">
        <f t="shared" si="8"/>
        <v>0</v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>
        <v>29</v>
      </c>
      <c r="J560" s="4">
        <f t="shared" si="8"/>
        <v>0.18471337579617833</v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>
        <v>0</v>
      </c>
      <c r="J572" s="4">
        <f t="shared" si="8"/>
        <v>0</v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D1" zoomScale="79" workbookViewId="0">
      <selection activeCell="M16" sqref="M16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97" t="s">
        <v>43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1:16" ht="15.75" customHeight="1">
      <c r="A3" s="12"/>
      <c r="B3" s="99" t="s">
        <v>44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100" t="s">
        <v>45</v>
      </c>
      <c r="C5" s="100" t="s">
        <v>0</v>
      </c>
      <c r="D5" s="101" t="s">
        <v>46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6" ht="34.5" customHeight="1">
      <c r="A6" s="12"/>
      <c r="B6" s="100"/>
      <c r="C6" s="100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95" t="s">
        <v>45</v>
      </c>
      <c r="C22" s="95" t="s">
        <v>0</v>
      </c>
      <c r="D22" s="96" t="s">
        <v>60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1:16" ht="34" customHeight="1">
      <c r="B23" s="95"/>
      <c r="C23" s="95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91" t="s">
        <v>45</v>
      </c>
      <c r="C39" s="91" t="s">
        <v>0</v>
      </c>
      <c r="D39" s="92" t="s">
        <v>61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 spans="2:16" ht="39.5" customHeight="1">
      <c r="B40" s="91"/>
      <c r="C40" s="91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93" t="s">
        <v>45</v>
      </c>
      <c r="C56" s="93" t="s">
        <v>0</v>
      </c>
      <c r="D56" s="94" t="s">
        <v>62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spans="2:16" ht="38.5" customHeight="1">
      <c r="B57" s="93"/>
      <c r="C57" s="93"/>
      <c r="D57" s="72" t="s">
        <v>1</v>
      </c>
      <c r="E57" s="73" t="s">
        <v>47</v>
      </c>
      <c r="F57" s="74" t="s">
        <v>48</v>
      </c>
      <c r="G57" s="74" t="s">
        <v>49</v>
      </c>
      <c r="H57" s="74" t="s">
        <v>50</v>
      </c>
      <c r="I57" s="74" t="s">
        <v>51</v>
      </c>
      <c r="J57" s="74" t="s">
        <v>52</v>
      </c>
      <c r="K57" s="74" t="s">
        <v>53</v>
      </c>
      <c r="L57" s="74" t="s">
        <v>54</v>
      </c>
      <c r="M57" s="74" t="s">
        <v>55</v>
      </c>
      <c r="N57" s="74" t="s">
        <v>56</v>
      </c>
      <c r="O57" s="74" t="s">
        <v>57</v>
      </c>
      <c r="P57" s="74" t="s">
        <v>58</v>
      </c>
    </row>
    <row r="58" spans="2:16" ht="15.75" customHeight="1">
      <c r="B58" s="75">
        <v>1</v>
      </c>
      <c r="C58" s="76" t="s">
        <v>2</v>
      </c>
      <c r="D58" s="77">
        <v>221</v>
      </c>
      <c r="E58" s="78">
        <v>0</v>
      </c>
      <c r="F58" s="78">
        <v>0</v>
      </c>
      <c r="G58" s="78">
        <v>0</v>
      </c>
      <c r="H58" s="79">
        <f t="shared" ref="H58:H70" si="26">SUM(E58:G58)</f>
        <v>0</v>
      </c>
      <c r="I58" s="80">
        <f t="shared" ref="I58:I70" si="27">H58/D58*100</f>
        <v>0</v>
      </c>
      <c r="J58" s="78">
        <v>0</v>
      </c>
      <c r="K58" s="78">
        <v>0</v>
      </c>
      <c r="L58" s="78">
        <v>8</v>
      </c>
      <c r="M58" s="81">
        <f t="shared" ref="M58:M70" si="28">SUM(J58:L58)</f>
        <v>8</v>
      </c>
      <c r="N58" s="80">
        <f t="shared" ref="N58:N70" si="29">M58/D58*100</f>
        <v>3.6199095022624439</v>
      </c>
      <c r="O58" s="81">
        <f t="shared" ref="O58:O70" si="30">M58+H58</f>
        <v>8</v>
      </c>
      <c r="P58" s="80">
        <f t="shared" ref="P58:P70" si="31">O58/D58*100</f>
        <v>3.6199095022624439</v>
      </c>
    </row>
    <row r="59" spans="2:16" ht="15.75" customHeight="1">
      <c r="B59" s="79">
        <v>2</v>
      </c>
      <c r="C59" s="76" t="s">
        <v>3</v>
      </c>
      <c r="D59" s="77">
        <v>79</v>
      </c>
      <c r="E59" s="78">
        <v>0</v>
      </c>
      <c r="F59" s="78">
        <v>0</v>
      </c>
      <c r="G59" s="78">
        <v>0</v>
      </c>
      <c r="H59" s="79">
        <f t="shared" si="26"/>
        <v>0</v>
      </c>
      <c r="I59" s="80">
        <f t="shared" si="27"/>
        <v>0</v>
      </c>
      <c r="J59" s="78">
        <v>0</v>
      </c>
      <c r="K59" s="78">
        <v>2</v>
      </c>
      <c r="L59" s="78">
        <v>15</v>
      </c>
      <c r="M59" s="81">
        <f t="shared" si="28"/>
        <v>17</v>
      </c>
      <c r="N59" s="80">
        <f t="shared" si="29"/>
        <v>21.518987341772153</v>
      </c>
      <c r="O59" s="81">
        <f t="shared" si="30"/>
        <v>17</v>
      </c>
      <c r="P59" s="80">
        <f t="shared" si="31"/>
        <v>21.518987341772153</v>
      </c>
    </row>
    <row r="60" spans="2:16" ht="15.75" customHeight="1">
      <c r="B60" s="79">
        <v>3</v>
      </c>
      <c r="C60" s="76" t="s">
        <v>4</v>
      </c>
      <c r="D60" s="77">
        <v>147</v>
      </c>
      <c r="E60" s="78">
        <v>0</v>
      </c>
      <c r="F60" s="78">
        <v>0</v>
      </c>
      <c r="G60" s="78">
        <v>0</v>
      </c>
      <c r="H60" s="79">
        <f t="shared" si="26"/>
        <v>0</v>
      </c>
      <c r="I60" s="80">
        <f t="shared" si="27"/>
        <v>0</v>
      </c>
      <c r="J60" s="78">
        <v>0</v>
      </c>
      <c r="K60" s="78">
        <v>2</v>
      </c>
      <c r="L60" s="78">
        <v>4</v>
      </c>
      <c r="M60" s="81">
        <f t="shared" si="28"/>
        <v>6</v>
      </c>
      <c r="N60" s="80">
        <f t="shared" si="29"/>
        <v>4.0816326530612246</v>
      </c>
      <c r="O60" s="81">
        <f t="shared" si="30"/>
        <v>6</v>
      </c>
      <c r="P60" s="80">
        <f t="shared" si="31"/>
        <v>4.0816326530612246</v>
      </c>
    </row>
    <row r="61" spans="2:16" ht="15.75" customHeight="1">
      <c r="B61" s="79">
        <v>4</v>
      </c>
      <c r="C61" s="76" t="s">
        <v>5</v>
      </c>
      <c r="D61" s="77">
        <v>84</v>
      </c>
      <c r="E61" s="78">
        <v>0</v>
      </c>
      <c r="F61" s="78">
        <v>0</v>
      </c>
      <c r="G61" s="78">
        <v>0</v>
      </c>
      <c r="H61" s="79">
        <f t="shared" si="26"/>
        <v>0</v>
      </c>
      <c r="I61" s="80">
        <f t="shared" si="27"/>
        <v>0</v>
      </c>
      <c r="J61" s="78">
        <v>0</v>
      </c>
      <c r="K61" s="78">
        <v>0</v>
      </c>
      <c r="L61" s="78">
        <v>0</v>
      </c>
      <c r="M61" s="81">
        <f t="shared" si="28"/>
        <v>0</v>
      </c>
      <c r="N61" s="80">
        <f t="shared" si="29"/>
        <v>0</v>
      </c>
      <c r="O61" s="81">
        <f t="shared" si="30"/>
        <v>0</v>
      </c>
      <c r="P61" s="80">
        <f t="shared" si="31"/>
        <v>0</v>
      </c>
    </row>
    <row r="62" spans="2:16" ht="15.75" customHeight="1">
      <c r="B62" s="79">
        <v>5</v>
      </c>
      <c r="C62" s="76" t="s">
        <v>6</v>
      </c>
      <c r="D62" s="77">
        <v>155</v>
      </c>
      <c r="E62" s="78">
        <v>0</v>
      </c>
      <c r="F62" s="78">
        <v>0</v>
      </c>
      <c r="G62" s="78">
        <v>0</v>
      </c>
      <c r="H62" s="79">
        <f t="shared" si="26"/>
        <v>0</v>
      </c>
      <c r="I62" s="80">
        <f t="shared" si="27"/>
        <v>0</v>
      </c>
      <c r="J62" s="78">
        <v>0</v>
      </c>
      <c r="K62" s="78">
        <v>0</v>
      </c>
      <c r="L62" s="78">
        <v>0</v>
      </c>
      <c r="M62" s="81">
        <f t="shared" si="28"/>
        <v>0</v>
      </c>
      <c r="N62" s="80">
        <f t="shared" si="29"/>
        <v>0</v>
      </c>
      <c r="O62" s="81">
        <f t="shared" si="30"/>
        <v>0</v>
      </c>
      <c r="P62" s="80">
        <f t="shared" si="31"/>
        <v>0</v>
      </c>
    </row>
    <row r="63" spans="2:16" ht="15.75" customHeight="1">
      <c r="B63" s="79">
        <v>6</v>
      </c>
      <c r="C63" s="76" t="s">
        <v>7</v>
      </c>
      <c r="D63" s="77">
        <v>546</v>
      </c>
      <c r="E63" s="78">
        <v>0</v>
      </c>
      <c r="F63" s="78">
        <v>0</v>
      </c>
      <c r="G63" s="78">
        <v>0</v>
      </c>
      <c r="H63" s="79">
        <f t="shared" si="26"/>
        <v>0</v>
      </c>
      <c r="I63" s="80">
        <f t="shared" si="27"/>
        <v>0</v>
      </c>
      <c r="J63" s="78">
        <v>0</v>
      </c>
      <c r="K63" s="78">
        <v>0</v>
      </c>
      <c r="L63" s="78">
        <v>27</v>
      </c>
      <c r="M63" s="81">
        <f t="shared" si="28"/>
        <v>27</v>
      </c>
      <c r="N63" s="80">
        <f t="shared" si="29"/>
        <v>4.9450549450549453</v>
      </c>
      <c r="O63" s="81">
        <f t="shared" si="30"/>
        <v>27</v>
      </c>
      <c r="P63" s="80">
        <f t="shared" si="31"/>
        <v>4.9450549450549453</v>
      </c>
    </row>
    <row r="64" spans="2:16" ht="15.75" customHeight="1">
      <c r="B64" s="79">
        <v>7</v>
      </c>
      <c r="C64" s="76" t="s">
        <v>8</v>
      </c>
      <c r="D64" s="77">
        <v>96</v>
      </c>
      <c r="E64" s="78">
        <v>0</v>
      </c>
      <c r="F64" s="78">
        <v>0</v>
      </c>
      <c r="G64" s="78">
        <v>0</v>
      </c>
      <c r="H64" s="79">
        <f t="shared" si="26"/>
        <v>0</v>
      </c>
      <c r="I64" s="80">
        <f t="shared" si="27"/>
        <v>0</v>
      </c>
      <c r="J64" s="78">
        <v>0</v>
      </c>
      <c r="K64" s="78">
        <v>11</v>
      </c>
      <c r="L64" s="78">
        <v>9</v>
      </c>
      <c r="M64" s="81">
        <f t="shared" si="28"/>
        <v>20</v>
      </c>
      <c r="N64" s="80">
        <f t="shared" si="29"/>
        <v>20.833333333333336</v>
      </c>
      <c r="O64" s="81">
        <f t="shared" si="30"/>
        <v>20</v>
      </c>
      <c r="P64" s="80">
        <f t="shared" si="31"/>
        <v>20.833333333333336</v>
      </c>
    </row>
    <row r="65" spans="2:16" ht="15.75" customHeight="1">
      <c r="B65" s="79">
        <v>8</v>
      </c>
      <c r="C65" s="76" t="s">
        <v>9</v>
      </c>
      <c r="D65" s="77">
        <v>243</v>
      </c>
      <c r="E65" s="78">
        <v>0</v>
      </c>
      <c r="F65" s="78">
        <v>0</v>
      </c>
      <c r="G65" s="78">
        <v>0</v>
      </c>
      <c r="H65" s="79">
        <f t="shared" si="26"/>
        <v>0</v>
      </c>
      <c r="I65" s="80">
        <f t="shared" si="27"/>
        <v>0</v>
      </c>
      <c r="J65" s="78">
        <v>0</v>
      </c>
      <c r="K65" s="78">
        <v>19</v>
      </c>
      <c r="L65" s="78">
        <v>12</v>
      </c>
      <c r="M65" s="81">
        <f t="shared" si="28"/>
        <v>31</v>
      </c>
      <c r="N65" s="80">
        <f t="shared" si="29"/>
        <v>12.757201646090536</v>
      </c>
      <c r="O65" s="81">
        <f t="shared" si="30"/>
        <v>31</v>
      </c>
      <c r="P65" s="80">
        <f t="shared" si="31"/>
        <v>12.757201646090536</v>
      </c>
    </row>
    <row r="66" spans="2:16" ht="15.75" customHeight="1">
      <c r="B66" s="79">
        <v>9</v>
      </c>
      <c r="C66" s="76" t="s">
        <v>10</v>
      </c>
      <c r="D66" s="77">
        <v>170</v>
      </c>
      <c r="E66" s="78">
        <v>0</v>
      </c>
      <c r="F66" s="78">
        <v>0</v>
      </c>
      <c r="G66" s="78">
        <v>0</v>
      </c>
      <c r="H66" s="79">
        <f t="shared" si="26"/>
        <v>0</v>
      </c>
      <c r="I66" s="80">
        <f t="shared" si="27"/>
        <v>0</v>
      </c>
      <c r="J66" s="78">
        <v>22</v>
      </c>
      <c r="K66" s="78">
        <v>0</v>
      </c>
      <c r="L66" s="78">
        <v>0</v>
      </c>
      <c r="M66" s="81">
        <f t="shared" si="28"/>
        <v>22</v>
      </c>
      <c r="N66" s="80">
        <f t="shared" si="29"/>
        <v>12.941176470588237</v>
      </c>
      <c r="O66" s="81">
        <f t="shared" si="30"/>
        <v>22</v>
      </c>
      <c r="P66" s="80">
        <f t="shared" si="31"/>
        <v>12.941176470588237</v>
      </c>
    </row>
    <row r="67" spans="2:16" ht="15.75" customHeight="1">
      <c r="B67" s="79">
        <v>10</v>
      </c>
      <c r="C67" s="76" t="s">
        <v>11</v>
      </c>
      <c r="D67" s="77">
        <v>368</v>
      </c>
      <c r="E67" s="78">
        <v>0</v>
      </c>
      <c r="F67" s="78">
        <v>0</v>
      </c>
      <c r="G67" s="78">
        <v>0</v>
      </c>
      <c r="H67" s="79">
        <f t="shared" si="26"/>
        <v>0</v>
      </c>
      <c r="I67" s="80">
        <f t="shared" si="27"/>
        <v>0</v>
      </c>
      <c r="J67" s="78">
        <v>9</v>
      </c>
      <c r="K67" s="78">
        <v>14</v>
      </c>
      <c r="L67" s="78">
        <v>1</v>
      </c>
      <c r="M67" s="81">
        <f t="shared" si="28"/>
        <v>24</v>
      </c>
      <c r="N67" s="80">
        <f t="shared" si="29"/>
        <v>6.5217391304347823</v>
      </c>
      <c r="O67" s="81">
        <f t="shared" si="30"/>
        <v>24</v>
      </c>
      <c r="P67" s="80">
        <f t="shared" si="31"/>
        <v>6.5217391304347823</v>
      </c>
    </row>
    <row r="68" spans="2:16" ht="15.75" customHeight="1">
      <c r="B68" s="79">
        <v>11</v>
      </c>
      <c r="C68" s="76" t="s">
        <v>12</v>
      </c>
      <c r="D68" s="77">
        <v>157</v>
      </c>
      <c r="E68" s="78">
        <v>0</v>
      </c>
      <c r="F68" s="78">
        <v>0</v>
      </c>
      <c r="G68" s="78">
        <v>23</v>
      </c>
      <c r="H68" s="79">
        <f t="shared" si="26"/>
        <v>23</v>
      </c>
      <c r="I68" s="80">
        <f t="shared" si="27"/>
        <v>14.64968152866242</v>
      </c>
      <c r="J68" s="78">
        <v>0</v>
      </c>
      <c r="K68" s="78">
        <v>20</v>
      </c>
      <c r="L68" s="78">
        <v>0</v>
      </c>
      <c r="M68" s="81">
        <f t="shared" si="28"/>
        <v>20</v>
      </c>
      <c r="N68" s="80">
        <f t="shared" si="29"/>
        <v>12.738853503184714</v>
      </c>
      <c r="O68" s="81">
        <f t="shared" si="30"/>
        <v>43</v>
      </c>
      <c r="P68" s="80">
        <f t="shared" si="31"/>
        <v>27.388535031847134</v>
      </c>
    </row>
    <row r="69" spans="2:16" ht="15.75" customHeight="1">
      <c r="B69" s="79">
        <v>12</v>
      </c>
      <c r="C69" s="76" t="s">
        <v>13</v>
      </c>
      <c r="D69" s="77">
        <v>64</v>
      </c>
      <c r="E69" s="78">
        <v>0</v>
      </c>
      <c r="F69" s="78">
        <v>0</v>
      </c>
      <c r="G69" s="78">
        <v>0</v>
      </c>
      <c r="H69" s="79">
        <f t="shared" si="26"/>
        <v>0</v>
      </c>
      <c r="I69" s="80">
        <f t="shared" si="27"/>
        <v>0</v>
      </c>
      <c r="J69" s="78">
        <v>0</v>
      </c>
      <c r="K69" s="78">
        <v>0</v>
      </c>
      <c r="L69" s="78">
        <v>0</v>
      </c>
      <c r="M69" s="81">
        <f t="shared" si="28"/>
        <v>0</v>
      </c>
      <c r="N69" s="80">
        <f t="shared" si="29"/>
        <v>0</v>
      </c>
      <c r="O69" s="81">
        <f t="shared" si="30"/>
        <v>0</v>
      </c>
      <c r="P69" s="80">
        <f t="shared" si="31"/>
        <v>0</v>
      </c>
    </row>
    <row r="70" spans="2:16" ht="15.75" customHeight="1">
      <c r="B70" s="82"/>
      <c r="C70" s="83" t="s">
        <v>59</v>
      </c>
      <c r="D70" s="84">
        <f>SUM(D58:D69)</f>
        <v>2330</v>
      </c>
      <c r="E70" s="85">
        <f>SUM(E58:E69)</f>
        <v>0</v>
      </c>
      <c r="F70" s="85">
        <f>SUM(F58:F69)</f>
        <v>0</v>
      </c>
      <c r="G70" s="85">
        <f>SUM(G58:G69)</f>
        <v>23</v>
      </c>
      <c r="H70" s="86">
        <f t="shared" si="26"/>
        <v>23</v>
      </c>
      <c r="I70" s="87">
        <f t="shared" si="27"/>
        <v>0.98712446351931338</v>
      </c>
      <c r="J70" s="85">
        <f>SUM(J58:J69)</f>
        <v>31</v>
      </c>
      <c r="K70" s="85">
        <f>SUM(K58:K69)</f>
        <v>68</v>
      </c>
      <c r="L70" s="85">
        <f>SUM(L58:L69)</f>
        <v>76</v>
      </c>
      <c r="M70" s="88">
        <f t="shared" si="28"/>
        <v>175</v>
      </c>
      <c r="N70" s="89">
        <f t="shared" si="29"/>
        <v>7.5107296137339059</v>
      </c>
      <c r="O70" s="88">
        <f t="shared" si="30"/>
        <v>198</v>
      </c>
      <c r="P70" s="89">
        <f t="shared" si="31"/>
        <v>8.4978540772532174</v>
      </c>
    </row>
  </sheetData>
  <mergeCells count="14">
    <mergeCell ref="B22:B23"/>
    <mergeCell ref="C22:C23"/>
    <mergeCell ref="D22:P22"/>
    <mergeCell ref="B2:P2"/>
    <mergeCell ref="B3:P3"/>
    <mergeCell ref="B5:B6"/>
    <mergeCell ref="C5:C6"/>
    <mergeCell ref="D5:P5"/>
    <mergeCell ref="B39:B40"/>
    <mergeCell ref="C39:C40"/>
    <mergeCell ref="D39:P39"/>
    <mergeCell ref="B56:B57"/>
    <mergeCell ref="C56:C57"/>
    <mergeCell ref="D56:P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2026-08-23T16:16:19Z</dcterms:created>
  <dcterms:modified xsi:type="dcterms:W3CDTF">2026-08-31T07:16:47Z</dcterms:modified>
</cp:coreProperties>
</file>