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BOX\Downloads\"/>
    </mc:Choice>
  </mc:AlternateContent>
  <xr:revisionPtr revIDLastSave="0" documentId="13_ncr:1_{11089BBF-9CEB-48BF-9CC4-AAD2D83C26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STER_SIPANDA_2026" sheetId="19" r:id="rId1"/>
    <sheet name="2026" sheetId="2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0" i="21" l="1"/>
  <c r="N70" i="21" s="1"/>
  <c r="L70" i="21"/>
  <c r="K70" i="21"/>
  <c r="J70" i="21"/>
  <c r="G70" i="21"/>
  <c r="F70" i="21"/>
  <c r="E70" i="21"/>
  <c r="H70" i="21" s="1"/>
  <c r="D70" i="21"/>
  <c r="M69" i="21"/>
  <c r="O69" i="21" s="1"/>
  <c r="P69" i="21" s="1"/>
  <c r="H69" i="21"/>
  <c r="I69" i="21" s="1"/>
  <c r="N68" i="21"/>
  <c r="M68" i="21"/>
  <c r="O68" i="21" s="1"/>
  <c r="P68" i="21" s="1"/>
  <c r="H68" i="21"/>
  <c r="I68" i="21" s="1"/>
  <c r="N67" i="21"/>
  <c r="M67" i="21"/>
  <c r="O67" i="21" s="1"/>
  <c r="P67" i="21" s="1"/>
  <c r="I67" i="21"/>
  <c r="H67" i="21"/>
  <c r="M66" i="21"/>
  <c r="N66" i="21" s="1"/>
  <c r="I66" i="21"/>
  <c r="H66" i="21"/>
  <c r="M65" i="21"/>
  <c r="O65" i="21" s="1"/>
  <c r="P65" i="21" s="1"/>
  <c r="H65" i="21"/>
  <c r="I65" i="21" s="1"/>
  <c r="N64" i="21"/>
  <c r="M64" i="21"/>
  <c r="O64" i="21" s="1"/>
  <c r="P64" i="21" s="1"/>
  <c r="H64" i="21"/>
  <c r="I64" i="21" s="1"/>
  <c r="N63" i="21"/>
  <c r="M63" i="21"/>
  <c r="I63" i="21"/>
  <c r="H63" i="21"/>
  <c r="O63" i="21" s="1"/>
  <c r="P63" i="21" s="1"/>
  <c r="M62" i="21"/>
  <c r="O62" i="21" s="1"/>
  <c r="P62" i="21" s="1"/>
  <c r="I62" i="21"/>
  <c r="H62" i="21"/>
  <c r="M61" i="21"/>
  <c r="O61" i="21" s="1"/>
  <c r="P61" i="21" s="1"/>
  <c r="H61" i="21"/>
  <c r="I61" i="21" s="1"/>
  <c r="M60" i="21"/>
  <c r="O60" i="21" s="1"/>
  <c r="P60" i="21" s="1"/>
  <c r="H60" i="21"/>
  <c r="I60" i="21" s="1"/>
  <c r="O59" i="21"/>
  <c r="P59" i="21" s="1"/>
  <c r="N59" i="21"/>
  <c r="M59" i="21"/>
  <c r="I59" i="21"/>
  <c r="H59" i="21"/>
  <c r="M58" i="21"/>
  <c r="N58" i="21" s="1"/>
  <c r="I58" i="21"/>
  <c r="H58" i="21"/>
  <c r="L53" i="21"/>
  <c r="K53" i="21"/>
  <c r="J53" i="21"/>
  <c r="G53" i="21"/>
  <c r="F53" i="21"/>
  <c r="E53" i="21"/>
  <c r="D53" i="21"/>
  <c r="O52" i="21"/>
  <c r="P52" i="21" s="1"/>
  <c r="M52" i="21"/>
  <c r="N52" i="21" s="1"/>
  <c r="H52" i="21"/>
  <c r="I52" i="21" s="1"/>
  <c r="M51" i="21"/>
  <c r="N51" i="21" s="1"/>
  <c r="H51" i="21"/>
  <c r="I51" i="21" s="1"/>
  <c r="M50" i="21"/>
  <c r="H50" i="21"/>
  <c r="I50" i="21" s="1"/>
  <c r="M49" i="21"/>
  <c r="N49" i="21" s="1"/>
  <c r="H49" i="21"/>
  <c r="O48" i="21"/>
  <c r="P48" i="21" s="1"/>
  <c r="M48" i="21"/>
  <c r="N48" i="21" s="1"/>
  <c r="H48" i="21"/>
  <c r="I48" i="21" s="1"/>
  <c r="M47" i="21"/>
  <c r="H47" i="21"/>
  <c r="I47" i="21" s="1"/>
  <c r="M46" i="21"/>
  <c r="H46" i="21"/>
  <c r="I46" i="21" s="1"/>
  <c r="M45" i="21"/>
  <c r="N45" i="21" s="1"/>
  <c r="H45" i="21"/>
  <c r="M44" i="21"/>
  <c r="N44" i="21" s="1"/>
  <c r="H44" i="21"/>
  <c r="I44" i="21" s="1"/>
  <c r="M43" i="21"/>
  <c r="O43" i="21" s="1"/>
  <c r="P43" i="21" s="1"/>
  <c r="H43" i="21"/>
  <c r="I43" i="21" s="1"/>
  <c r="M42" i="21"/>
  <c r="N42" i="21" s="1"/>
  <c r="H42" i="21"/>
  <c r="I42" i="21" s="1"/>
  <c r="M41" i="21"/>
  <c r="N41" i="21" s="1"/>
  <c r="H41" i="21"/>
  <c r="L36" i="21"/>
  <c r="K36" i="21"/>
  <c r="J36" i="21"/>
  <c r="M36" i="21" s="1"/>
  <c r="N36" i="21" s="1"/>
  <c r="G36" i="21"/>
  <c r="F36" i="21"/>
  <c r="E36" i="21"/>
  <c r="D36" i="21"/>
  <c r="M35" i="21"/>
  <c r="H35" i="21"/>
  <c r="I35" i="21" s="1"/>
  <c r="M34" i="21"/>
  <c r="H34" i="21"/>
  <c r="I34" i="21" s="1"/>
  <c r="N33" i="21"/>
  <c r="M33" i="21"/>
  <c r="H33" i="21"/>
  <c r="I33" i="21" s="1"/>
  <c r="M32" i="21"/>
  <c r="O32" i="21" s="1"/>
  <c r="P32" i="21" s="1"/>
  <c r="H32" i="21"/>
  <c r="I32" i="21" s="1"/>
  <c r="M31" i="21"/>
  <c r="N31" i="21" s="1"/>
  <c r="H31" i="21"/>
  <c r="I31" i="21" s="1"/>
  <c r="M30" i="21"/>
  <c r="H30" i="21"/>
  <c r="I30" i="21" s="1"/>
  <c r="N29" i="21"/>
  <c r="M29" i="21"/>
  <c r="H29" i="21"/>
  <c r="I29" i="21" s="1"/>
  <c r="M28" i="21"/>
  <c r="N28" i="21" s="1"/>
  <c r="H28" i="21"/>
  <c r="I28" i="21" s="1"/>
  <c r="M27" i="21"/>
  <c r="N27" i="21" s="1"/>
  <c r="H27" i="21"/>
  <c r="I27" i="21" s="1"/>
  <c r="M26" i="21"/>
  <c r="O26" i="21" s="1"/>
  <c r="P26" i="21" s="1"/>
  <c r="H26" i="21"/>
  <c r="I26" i="21" s="1"/>
  <c r="N25" i="21"/>
  <c r="M25" i="21"/>
  <c r="H25" i="21"/>
  <c r="I25" i="21" s="1"/>
  <c r="M24" i="21"/>
  <c r="O24" i="21" s="1"/>
  <c r="P24" i="21" s="1"/>
  <c r="I24" i="21"/>
  <c r="H24" i="21"/>
  <c r="L19" i="21"/>
  <c r="K19" i="21"/>
  <c r="J19" i="21"/>
  <c r="G19" i="21"/>
  <c r="F19" i="21"/>
  <c r="E19" i="21"/>
  <c r="H19" i="21" s="1"/>
  <c r="I19" i="21" s="1"/>
  <c r="D19" i="21"/>
  <c r="M18" i="21"/>
  <c r="N18" i="21" s="1"/>
  <c r="H18" i="21"/>
  <c r="M17" i="21"/>
  <c r="N17" i="21" s="1"/>
  <c r="H17" i="21"/>
  <c r="O17" i="21" s="1"/>
  <c r="P17" i="21" s="1"/>
  <c r="M16" i="21"/>
  <c r="O16" i="21" s="1"/>
  <c r="P16" i="21" s="1"/>
  <c r="H16" i="21"/>
  <c r="I16" i="21" s="1"/>
  <c r="M15" i="21"/>
  <c r="N15" i="21" s="1"/>
  <c r="H15" i="21"/>
  <c r="M14" i="21"/>
  <c r="N14" i="21" s="1"/>
  <c r="H14" i="21"/>
  <c r="O13" i="21"/>
  <c r="P13" i="21" s="1"/>
  <c r="M13" i="21"/>
  <c r="N13" i="21" s="1"/>
  <c r="H13" i="21"/>
  <c r="I13" i="21" s="1"/>
  <c r="M12" i="21"/>
  <c r="H12" i="21"/>
  <c r="I12" i="21" s="1"/>
  <c r="M11" i="21"/>
  <c r="N11" i="21" s="1"/>
  <c r="H11" i="21"/>
  <c r="N10" i="21"/>
  <c r="M10" i="21"/>
  <c r="H10" i="21"/>
  <c r="M9" i="21"/>
  <c r="N9" i="21" s="1"/>
  <c r="H9" i="21"/>
  <c r="I9" i="21" s="1"/>
  <c r="M8" i="21"/>
  <c r="H8" i="21"/>
  <c r="I8" i="21" s="1"/>
  <c r="M7" i="21"/>
  <c r="N7" i="21" s="1"/>
  <c r="H7" i="21"/>
  <c r="I7" i="21" s="1"/>
  <c r="O9" i="21" l="1"/>
  <c r="P9" i="21" s="1"/>
  <c r="O28" i="21"/>
  <c r="P28" i="21" s="1"/>
  <c r="O49" i="21"/>
  <c r="P49" i="21" s="1"/>
  <c r="I70" i="21"/>
  <c r="O8" i="21"/>
  <c r="P8" i="21" s="1"/>
  <c r="O11" i="21"/>
  <c r="P11" i="21" s="1"/>
  <c r="O14" i="21"/>
  <c r="P14" i="21" s="1"/>
  <c r="I17" i="21"/>
  <c r="N24" i="21"/>
  <c r="O29" i="21"/>
  <c r="P29" i="21" s="1"/>
  <c r="O34" i="21"/>
  <c r="P34" i="21" s="1"/>
  <c r="O46" i="21"/>
  <c r="P46" i="21" s="1"/>
  <c r="N60" i="21"/>
  <c r="O50" i="21"/>
  <c r="P50" i="21" s="1"/>
  <c r="N32" i="21"/>
  <c r="O47" i="21"/>
  <c r="P47" i="21" s="1"/>
  <c r="O12" i="21"/>
  <c r="P12" i="21" s="1"/>
  <c r="O15" i="21"/>
  <c r="P15" i="21" s="1"/>
  <c r="O18" i="21"/>
  <c r="P18" i="21" s="1"/>
  <c r="O25" i="21"/>
  <c r="O30" i="21"/>
  <c r="P30" i="21" s="1"/>
  <c r="O35" i="21"/>
  <c r="P35" i="21" s="1"/>
  <c r="M53" i="21"/>
  <c r="N53" i="21" s="1"/>
  <c r="O44" i="21"/>
  <c r="P44" i="21" s="1"/>
  <c r="M19" i="21"/>
  <c r="N19" i="21" s="1"/>
  <c r="H53" i="21"/>
  <c r="I53" i="21" s="1"/>
  <c r="O10" i="21"/>
  <c r="P10" i="21" s="1"/>
  <c r="O33" i="21"/>
  <c r="P33" i="21" s="1"/>
  <c r="O45" i="21"/>
  <c r="P45" i="21" s="1"/>
  <c r="P25" i="21"/>
  <c r="O70" i="21"/>
  <c r="P70" i="21" s="1"/>
  <c r="N8" i="21"/>
  <c r="I11" i="21"/>
  <c r="I15" i="21"/>
  <c r="H36" i="21"/>
  <c r="I36" i="21" s="1"/>
  <c r="N43" i="21"/>
  <c r="N35" i="21"/>
  <c r="N62" i="21"/>
  <c r="I14" i="21"/>
  <c r="I18" i="21"/>
  <c r="O31" i="21"/>
  <c r="P31" i="21" s="1"/>
  <c r="I41" i="21"/>
  <c r="N46" i="21"/>
  <c r="I49" i="21"/>
  <c r="N50" i="21"/>
  <c r="O58" i="21"/>
  <c r="P58" i="21" s="1"/>
  <c r="O66" i="21"/>
  <c r="P66" i="21" s="1"/>
  <c r="O7" i="21"/>
  <c r="P7" i="21" s="1"/>
  <c r="N26" i="21"/>
  <c r="N30" i="21"/>
  <c r="N34" i="21"/>
  <c r="O42" i="21"/>
  <c r="P42" i="21" s="1"/>
  <c r="N61" i="21"/>
  <c r="N65" i="21"/>
  <c r="N69" i="21"/>
  <c r="N12" i="21"/>
  <c r="N47" i="21"/>
  <c r="O51" i="21"/>
  <c r="P51" i="21" s="1"/>
  <c r="I10" i="21"/>
  <c r="O27" i="21"/>
  <c r="P27" i="21" s="1"/>
  <c r="I45" i="21"/>
  <c r="N16" i="21"/>
  <c r="O41" i="21"/>
  <c r="O19" i="21" l="1"/>
  <c r="P19" i="21" s="1"/>
  <c r="P41" i="21"/>
  <c r="O53" i="21"/>
  <c r="P53" i="21" s="1"/>
  <c r="O36" i="21"/>
  <c r="P36" i="21" s="1"/>
  <c r="J577" i="19"/>
  <c r="J576" i="19"/>
  <c r="J575" i="19"/>
  <c r="J574" i="19"/>
  <c r="J573" i="19"/>
  <c r="J572" i="19"/>
  <c r="J571" i="19"/>
  <c r="J570" i="19"/>
  <c r="J569" i="19"/>
  <c r="J568" i="19"/>
  <c r="J567" i="19"/>
  <c r="J566" i="19"/>
  <c r="J565" i="19"/>
  <c r="J564" i="19"/>
  <c r="J563" i="19"/>
  <c r="J562" i="19"/>
  <c r="J561" i="19"/>
  <c r="J560" i="19"/>
  <c r="J559" i="19"/>
  <c r="J558" i="19"/>
  <c r="J557" i="19"/>
  <c r="J556" i="19"/>
  <c r="J555" i="19"/>
  <c r="J554" i="19"/>
  <c r="J553" i="19"/>
  <c r="J552" i="19"/>
  <c r="J551" i="19"/>
  <c r="J550" i="19"/>
  <c r="J549" i="19"/>
  <c r="J548" i="19"/>
  <c r="J547" i="19"/>
  <c r="J546" i="19"/>
  <c r="J545" i="19"/>
  <c r="J544" i="19"/>
  <c r="J543" i="19"/>
  <c r="J542" i="19"/>
  <c r="J541" i="19"/>
  <c r="J540" i="19"/>
  <c r="J539" i="19"/>
  <c r="J538" i="19"/>
  <c r="J537" i="19"/>
  <c r="J536" i="19"/>
  <c r="J535" i="19"/>
  <c r="J534" i="19"/>
  <c r="J533" i="19"/>
  <c r="J532" i="19"/>
  <c r="J531" i="19"/>
  <c r="J530" i="19"/>
  <c r="J529" i="19"/>
  <c r="J528" i="19"/>
  <c r="J527" i="19"/>
  <c r="J526" i="19"/>
  <c r="J525" i="19"/>
  <c r="J524" i="19"/>
  <c r="J523" i="19"/>
  <c r="J522" i="19"/>
  <c r="J521" i="19"/>
  <c r="J520" i="19"/>
  <c r="J519" i="19"/>
  <c r="J518" i="19"/>
  <c r="J517" i="19"/>
  <c r="J516" i="19"/>
  <c r="J515" i="19"/>
  <c r="J514" i="19"/>
  <c r="J513" i="19"/>
  <c r="J512" i="19"/>
  <c r="J511" i="19"/>
  <c r="J510" i="19"/>
  <c r="J509" i="19"/>
  <c r="J508" i="19"/>
  <c r="J507" i="19"/>
  <c r="J506" i="19"/>
  <c r="J505" i="19"/>
  <c r="J504" i="19"/>
  <c r="J503" i="19"/>
  <c r="J502" i="19"/>
  <c r="J501" i="19"/>
  <c r="J500" i="19"/>
  <c r="J499" i="19"/>
  <c r="J498" i="19"/>
  <c r="J497" i="19"/>
  <c r="J496" i="19"/>
  <c r="J495" i="19"/>
  <c r="J494" i="19"/>
  <c r="J493" i="19"/>
  <c r="J492" i="19"/>
  <c r="J491" i="19"/>
  <c r="J490" i="19"/>
  <c r="J489" i="19"/>
  <c r="J488" i="19"/>
  <c r="J487" i="19"/>
  <c r="J486" i="19"/>
  <c r="J485" i="19"/>
  <c r="J484" i="19"/>
  <c r="J483" i="19"/>
  <c r="J482" i="19"/>
  <c r="J481" i="19"/>
  <c r="J480" i="19"/>
  <c r="J479" i="19"/>
  <c r="J478" i="19"/>
  <c r="J477" i="19"/>
  <c r="J476" i="19"/>
  <c r="J475" i="19"/>
  <c r="J474" i="19"/>
  <c r="J473" i="19"/>
  <c r="J472" i="19"/>
  <c r="J471" i="19"/>
  <c r="J470" i="19"/>
  <c r="J469" i="19"/>
  <c r="J468" i="19"/>
  <c r="J467" i="19"/>
  <c r="J466" i="19"/>
  <c r="J465" i="19"/>
  <c r="J464" i="19"/>
  <c r="J463" i="19"/>
  <c r="J462" i="19"/>
  <c r="J461" i="19"/>
  <c r="J460" i="19"/>
  <c r="J459" i="19"/>
  <c r="J458" i="19"/>
  <c r="J457" i="19"/>
  <c r="J456" i="19"/>
  <c r="J455" i="19"/>
  <c r="J454" i="19"/>
  <c r="J453" i="19"/>
  <c r="J452" i="19"/>
  <c r="J451" i="19"/>
  <c r="J450" i="19"/>
  <c r="J449" i="19"/>
  <c r="J448" i="19"/>
  <c r="J447" i="19"/>
  <c r="J446" i="19"/>
  <c r="J445" i="19"/>
  <c r="J444" i="19"/>
  <c r="J443" i="19"/>
  <c r="J442" i="19"/>
  <c r="J441" i="19"/>
  <c r="J440" i="19"/>
  <c r="J439" i="19"/>
  <c r="J438" i="19"/>
  <c r="J437" i="19"/>
  <c r="J436" i="19"/>
  <c r="J435" i="19"/>
  <c r="J434" i="19"/>
  <c r="J433" i="19"/>
  <c r="J432" i="19"/>
  <c r="J431" i="19"/>
  <c r="J430" i="19"/>
  <c r="J429" i="19"/>
  <c r="J428" i="19"/>
  <c r="J427" i="19"/>
  <c r="J426" i="19"/>
  <c r="J425" i="19"/>
  <c r="J424" i="19"/>
  <c r="J423" i="19"/>
  <c r="J422" i="19"/>
  <c r="J421" i="19"/>
  <c r="J420" i="19"/>
  <c r="J419" i="19"/>
  <c r="J418" i="19"/>
  <c r="J417" i="19"/>
  <c r="J416" i="19"/>
  <c r="J415" i="19"/>
  <c r="J414" i="19"/>
  <c r="J413" i="19"/>
  <c r="J412" i="19"/>
  <c r="J411" i="19"/>
  <c r="J410" i="19"/>
  <c r="J409" i="19"/>
  <c r="J408" i="19"/>
  <c r="J407" i="19"/>
  <c r="J406" i="19"/>
  <c r="J405" i="19"/>
  <c r="J404" i="19"/>
  <c r="J403" i="19"/>
  <c r="J402" i="19"/>
  <c r="J401" i="19"/>
  <c r="J400" i="19"/>
  <c r="J399" i="19"/>
  <c r="J398" i="19"/>
  <c r="J397" i="19"/>
  <c r="J396" i="19"/>
  <c r="J395" i="19"/>
  <c r="J394" i="19"/>
  <c r="J393" i="19"/>
  <c r="J392" i="19"/>
  <c r="J391" i="19"/>
  <c r="J390" i="19"/>
  <c r="J389" i="19"/>
  <c r="J388" i="19"/>
  <c r="J387" i="19"/>
  <c r="J386" i="19"/>
  <c r="J385" i="19"/>
  <c r="J384" i="19"/>
  <c r="J383" i="19"/>
  <c r="J382" i="19"/>
  <c r="J381" i="19"/>
  <c r="J380" i="19"/>
  <c r="J379" i="19"/>
  <c r="J378" i="19"/>
  <c r="J377" i="19"/>
  <c r="J376" i="19"/>
  <c r="J375" i="19"/>
  <c r="J374" i="19"/>
  <c r="J373" i="19"/>
  <c r="J372" i="19"/>
  <c r="J371" i="19"/>
  <c r="J370" i="19"/>
  <c r="J369" i="19"/>
  <c r="J368" i="19"/>
  <c r="J367" i="19"/>
  <c r="J366" i="19"/>
  <c r="J365" i="19"/>
  <c r="J364" i="19"/>
  <c r="J363" i="19"/>
  <c r="J362" i="19"/>
  <c r="J361" i="19"/>
  <c r="J360" i="19"/>
  <c r="J359" i="19"/>
  <c r="J358" i="19"/>
  <c r="J357" i="19"/>
  <c r="J356" i="19"/>
  <c r="J355" i="19"/>
  <c r="J354" i="19"/>
  <c r="J353" i="19"/>
  <c r="J352" i="19"/>
  <c r="J351" i="19"/>
  <c r="J350" i="19"/>
  <c r="J349" i="19"/>
  <c r="J348" i="19"/>
  <c r="J347" i="19"/>
  <c r="J346" i="19"/>
  <c r="J345" i="19"/>
  <c r="J344" i="19"/>
  <c r="J343" i="19"/>
  <c r="J342" i="19"/>
  <c r="J341" i="19"/>
  <c r="J340" i="19"/>
  <c r="J339" i="19"/>
  <c r="J338" i="19"/>
  <c r="J337" i="19"/>
  <c r="J336" i="19"/>
  <c r="J335" i="19"/>
  <c r="J334" i="19"/>
  <c r="J333" i="19"/>
  <c r="J332" i="19"/>
  <c r="J331" i="19"/>
  <c r="J330" i="19"/>
  <c r="J329" i="19"/>
  <c r="J328" i="19"/>
  <c r="J327" i="19"/>
  <c r="J326" i="19"/>
  <c r="J325" i="19"/>
  <c r="J324" i="19"/>
  <c r="J323" i="19"/>
  <c r="J322" i="19"/>
  <c r="J321" i="19"/>
  <c r="J320" i="19"/>
  <c r="J319" i="19"/>
  <c r="J318" i="19"/>
  <c r="J317" i="19"/>
  <c r="J316" i="19"/>
  <c r="J315" i="19"/>
  <c r="J314" i="19"/>
  <c r="J313" i="19"/>
  <c r="J312" i="19"/>
  <c r="J311" i="19"/>
  <c r="J310" i="19"/>
  <c r="J309" i="19"/>
  <c r="J308" i="19"/>
  <c r="J307" i="19"/>
  <c r="J306" i="19"/>
  <c r="J305" i="19"/>
  <c r="J304" i="19"/>
  <c r="J303" i="19"/>
  <c r="J302" i="19"/>
  <c r="J301" i="19"/>
  <c r="J300" i="19"/>
  <c r="J299" i="19"/>
  <c r="J298" i="19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  <c r="J3" i="19"/>
  <c r="J2" i="19"/>
</calcChain>
</file>

<file path=xl/sharedStrings.xml><?xml version="1.0" encoding="utf-8"?>
<sst xmlns="http://schemas.openxmlformats.org/spreadsheetml/2006/main" count="1857" uniqueCount="59">
  <si>
    <t>PUSKESMAS</t>
  </si>
  <si>
    <t>TARGET TAHUNAN</t>
  </si>
  <si>
    <t>EAHUN</t>
  </si>
  <si>
    <t>SOTIMORI</t>
  </si>
  <si>
    <t>KORBAFO</t>
  </si>
  <si>
    <t>SONIMANU</t>
  </si>
  <si>
    <t>FEAPOPI</t>
  </si>
  <si>
    <t>BAA</t>
  </si>
  <si>
    <t>OELE</t>
  </si>
  <si>
    <t>BUSALANGGA</t>
  </si>
  <si>
    <t>OELABA</t>
  </si>
  <si>
    <t>BATUTUA</t>
  </si>
  <si>
    <t>DELHA</t>
  </si>
  <si>
    <t>NDAO</t>
  </si>
  <si>
    <t>Januari</t>
  </si>
  <si>
    <t>Februari</t>
  </si>
  <si>
    <t>Maret</t>
  </si>
  <si>
    <t>April</t>
  </si>
  <si>
    <t>Mei</t>
  </si>
  <si>
    <t>Juni</t>
  </si>
  <si>
    <t>USIA PRODUKTIF</t>
  </si>
  <si>
    <t>HIPERTENSI</t>
  </si>
  <si>
    <t>DIABETES MELLITUS</t>
  </si>
  <si>
    <t>PERSENTASE</t>
  </si>
  <si>
    <t>Juli</t>
  </si>
  <si>
    <t>TAHUN</t>
  </si>
  <si>
    <t>NO BULAN</t>
  </si>
  <si>
    <t>BULAN</t>
  </si>
  <si>
    <t>TRIWULAN</t>
  </si>
  <si>
    <t>SEMESTER</t>
  </si>
  <si>
    <t>INDIKATOR</t>
  </si>
  <si>
    <t>CAPAIAN</t>
  </si>
  <si>
    <t>Agustus</t>
  </si>
  <si>
    <t>September</t>
  </si>
  <si>
    <t>Oktober</t>
  </si>
  <si>
    <t>November</t>
  </si>
  <si>
    <t>Desember</t>
  </si>
  <si>
    <t>HPV DNA CO TESTING IVA</t>
  </si>
  <si>
    <t>S</t>
  </si>
  <si>
    <t>CAPAIAN SKRINING PTM</t>
  </si>
  <si>
    <t>KABUPATEN ROTE NDAO TAHUN 2026</t>
  </si>
  <si>
    <t>NO</t>
  </si>
  <si>
    <t>USIA PRODUKTIF (USIA 15 - 59 TAHUN)</t>
  </si>
  <si>
    <t>JANUARI</t>
  </si>
  <si>
    <t>FEBRUARI</t>
  </si>
  <si>
    <t>MARET</t>
  </si>
  <si>
    <t>TRIWULAN I</t>
  </si>
  <si>
    <t>% TRIWULAN I</t>
  </si>
  <si>
    <t xml:space="preserve">APRIL </t>
  </si>
  <si>
    <t>MEI</t>
  </si>
  <si>
    <t>JUNI</t>
  </si>
  <si>
    <t>TRIWULAN II</t>
  </si>
  <si>
    <t>% TRIWULAN II</t>
  </si>
  <si>
    <t>SEMESTER 1</t>
  </si>
  <si>
    <t>% SEMESTER 1</t>
  </si>
  <si>
    <t>KABUPATEN</t>
  </si>
  <si>
    <t>HIPERTENSI (usia ≥ 15 tahun)</t>
  </si>
  <si>
    <t>DIABETES MELLITUS (usia ≥ 15 tahun)</t>
  </si>
  <si>
    <t>PEMERIKSAAN HPV DNA CO TESTING IVA (WUS 30 - 69 TAHUN)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</si>
</sst>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color rgb="FF000000"/>
      <name val="&quot;Aptos Narrow&quot;"/>
    </font>
    <font>
      <b/>
      <sz val="14"/>
      <color rgb="FF000000"/>
      <name val="Arial"/>
    </font>
    <font>
      <b/>
      <sz val="14"/>
      <color rgb="FF000000"/>
      <name val="&quot;Aptos Narrow&quot;"/>
    </font>
    <font>
      <b/>
      <sz val="10"/>
      <name val="Arial"/>
      <family val="2"/>
    </font>
    <font>
      <b/>
      <sz val="12"/>
      <color rgb="FF000000"/>
      <name val="&quot;Aptos Narrow&quot;"/>
    </font>
    <font>
      <b/>
      <sz val="12"/>
      <color rgb="FF000000"/>
      <name val="Arial"/>
    </font>
    <font>
      <sz val="11"/>
      <color theme="1"/>
      <name val="Calibri"/>
      <scheme val="minor"/>
    </font>
    <font>
      <sz val="12"/>
      <color theme="1"/>
      <name val="Arial"/>
      <family val="2"/>
    </font>
    <font>
      <sz val="11"/>
      <color theme="1"/>
      <name val="Arial"/>
    </font>
    <font>
      <b/>
      <sz val="11"/>
      <color rgb="FF000000"/>
      <name val="&quot;Aptos Narrow&quot;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</font>
    <font>
      <sz val="10"/>
      <color theme="1"/>
      <name val="Calibri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7C7AC"/>
      </patternFill>
    </fill>
    <fill>
      <patternFill patternType="solid">
        <fgColor theme="7" tint="0.79998168889431442"/>
        <bgColor rgb="FF00FFFF"/>
      </patternFill>
    </fill>
    <fill>
      <patternFill patternType="solid">
        <fgColor theme="7" tint="0.79998168889431442"/>
        <bgColor rgb="FFF9C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7C7AC"/>
      </patternFill>
    </fill>
    <fill>
      <patternFill patternType="solid">
        <fgColor theme="8" tint="0.59999389629810485"/>
        <bgColor rgb="FFC5E0B3"/>
      </patternFill>
    </fill>
    <fill>
      <patternFill patternType="solid">
        <fgColor theme="8" tint="0.59999389629810485"/>
        <bgColor rgb="FF00FFFF"/>
      </patternFill>
    </fill>
    <fill>
      <patternFill patternType="solid">
        <fgColor theme="8" tint="0.59999389629810485"/>
        <bgColor rgb="FFF9C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7C7AC"/>
      </patternFill>
    </fill>
    <fill>
      <patternFill patternType="solid">
        <fgColor theme="9" tint="0.59999389629810485"/>
        <bgColor rgb="FFFFE598"/>
      </patternFill>
    </fill>
    <fill>
      <patternFill patternType="solid">
        <fgColor theme="9" tint="0.59999389629810485"/>
        <bgColor rgb="FF00FFFF"/>
      </patternFill>
    </fill>
    <fill>
      <patternFill patternType="solid">
        <fgColor theme="9" tint="0.59999389629810485"/>
        <bgColor rgb="FFF9CB9C"/>
      </patternFill>
    </fill>
    <fill>
      <patternFill patternType="solid">
        <fgColor rgb="FFDEB6D1"/>
        <bgColor indexed="64"/>
      </patternFill>
    </fill>
    <fill>
      <patternFill patternType="solid">
        <fgColor rgb="FFDEB6D1"/>
        <bgColor rgb="FFF7C7AC"/>
      </patternFill>
    </fill>
    <fill>
      <patternFill patternType="solid">
        <fgColor rgb="FFDEB6D1"/>
        <bgColor rgb="FFFFE598"/>
      </patternFill>
    </fill>
    <fill>
      <patternFill patternType="solid">
        <fgColor rgb="FFDEB6D1"/>
        <bgColor rgb="FF00FFFF"/>
      </patternFill>
    </fill>
    <fill>
      <patternFill patternType="solid">
        <fgColor rgb="FFDEB6D1"/>
        <bgColor rgb="FFF9CB9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0" fontId="1" fillId="0" borderId="1"/>
    <xf numFmtId="0" fontId="5" fillId="0" borderId="1"/>
    <xf numFmtId="0" fontId="12" fillId="0" borderId="1"/>
  </cellStyleXfs>
  <cellXfs count="9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5" fillId="0" borderId="1" xfId="3"/>
    <xf numFmtId="0" fontId="6" fillId="0" borderId="1" xfId="3" applyFont="1"/>
    <xf numFmtId="0" fontId="10" fillId="4" borderId="4" xfId="3" applyFont="1" applyFill="1" applyBorder="1" applyAlignment="1">
      <alignment horizontal="center" wrapText="1"/>
    </xf>
    <xf numFmtId="0" fontId="10" fillId="4" borderId="5" xfId="3" applyFont="1" applyFill="1" applyBorder="1" applyAlignment="1">
      <alignment horizontal="center" vertical="center" wrapText="1"/>
    </xf>
    <xf numFmtId="0" fontId="10" fillId="4" borderId="5" xfId="3" applyFont="1" applyFill="1" applyBorder="1" applyAlignment="1">
      <alignment horizontal="center" vertical="center"/>
    </xf>
    <xf numFmtId="0" fontId="11" fillId="4" borderId="5" xfId="3" applyFont="1" applyFill="1" applyBorder="1" applyAlignment="1">
      <alignment horizontal="center" vertical="center"/>
    </xf>
    <xf numFmtId="0" fontId="6" fillId="3" borderId="6" xfId="3" applyFont="1" applyFill="1" applyBorder="1" applyAlignment="1">
      <alignment horizontal="center"/>
    </xf>
    <xf numFmtId="0" fontId="6" fillId="3" borderId="7" xfId="3" applyFont="1" applyFill="1" applyBorder="1" applyAlignment="1">
      <alignment horizontal="center"/>
    </xf>
    <xf numFmtId="0" fontId="13" fillId="3" borderId="5" xfId="4" applyFont="1" applyFill="1" applyBorder="1" applyAlignment="1">
      <alignment horizontal="center" vertical="center"/>
    </xf>
    <xf numFmtId="0" fontId="14" fillId="3" borderId="5" xfId="4" applyFont="1" applyFill="1" applyBorder="1" applyAlignment="1">
      <alignment horizontal="center" vertical="center"/>
    </xf>
    <xf numFmtId="0" fontId="6" fillId="3" borderId="5" xfId="3" applyFont="1" applyFill="1" applyBorder="1" applyAlignment="1">
      <alignment horizontal="center"/>
    </xf>
    <xf numFmtId="2" fontId="6" fillId="3" borderId="5" xfId="3" applyNumberFormat="1" applyFont="1" applyFill="1" applyBorder="1" applyAlignment="1">
      <alignment horizontal="center"/>
    </xf>
    <xf numFmtId="1" fontId="6" fillId="3" borderId="5" xfId="3" applyNumberFormat="1" applyFont="1" applyFill="1" applyBorder="1" applyAlignment="1">
      <alignment horizontal="center"/>
    </xf>
    <xf numFmtId="0" fontId="15" fillId="3" borderId="5" xfId="3" applyFont="1" applyFill="1" applyBorder="1"/>
    <xf numFmtId="0" fontId="15" fillId="5" borderId="7" xfId="3" applyFont="1" applyFill="1" applyBorder="1" applyAlignment="1">
      <alignment horizontal="center"/>
    </xf>
    <xf numFmtId="0" fontId="16" fillId="3" borderId="5" xfId="4" applyFont="1" applyFill="1" applyBorder="1" applyAlignment="1">
      <alignment horizontal="center"/>
    </xf>
    <xf numFmtId="0" fontId="17" fillId="3" borderId="5" xfId="4" applyFont="1" applyFill="1" applyBorder="1" applyAlignment="1">
      <alignment horizontal="center" vertical="center"/>
    </xf>
    <xf numFmtId="0" fontId="15" fillId="3" borderId="5" xfId="3" applyFont="1" applyFill="1" applyBorder="1" applyAlignment="1">
      <alignment horizontal="center"/>
    </xf>
    <xf numFmtId="2" fontId="15" fillId="3" borderId="5" xfId="3" applyNumberFormat="1" applyFont="1" applyFill="1" applyBorder="1" applyAlignment="1">
      <alignment horizontal="center"/>
    </xf>
    <xf numFmtId="0" fontId="18" fillId="3" borderId="5" xfId="4" applyFont="1" applyFill="1" applyBorder="1" applyAlignment="1">
      <alignment horizontal="center" vertical="center"/>
    </xf>
    <xf numFmtId="1" fontId="15" fillId="6" borderId="5" xfId="3" applyNumberFormat="1" applyFont="1" applyFill="1" applyBorder="1" applyAlignment="1">
      <alignment horizontal="center"/>
    </xf>
    <xf numFmtId="2" fontId="15" fillId="6" borderId="5" xfId="3" applyNumberFormat="1" applyFont="1" applyFill="1" applyBorder="1" applyAlignment="1">
      <alignment horizontal="center"/>
    </xf>
    <xf numFmtId="0" fontId="19" fillId="0" borderId="1" xfId="3" applyFont="1"/>
    <xf numFmtId="0" fontId="10" fillId="8" borderId="4" xfId="3" applyFont="1" applyFill="1" applyBorder="1" applyAlignment="1">
      <alignment horizontal="center" wrapText="1"/>
    </xf>
    <xf numFmtId="0" fontId="10" fillId="8" borderId="5" xfId="3" applyFont="1" applyFill="1" applyBorder="1" applyAlignment="1">
      <alignment horizontal="center" vertical="center" wrapText="1"/>
    </xf>
    <xf numFmtId="0" fontId="10" fillId="8" borderId="5" xfId="3" applyFont="1" applyFill="1" applyBorder="1" applyAlignment="1">
      <alignment horizontal="center" vertical="center"/>
    </xf>
    <xf numFmtId="0" fontId="11" fillId="8" borderId="5" xfId="3" applyFont="1" applyFill="1" applyBorder="1" applyAlignment="1">
      <alignment horizontal="center" vertical="center"/>
    </xf>
    <xf numFmtId="0" fontId="6" fillId="7" borderId="6" xfId="3" applyFont="1" applyFill="1" applyBorder="1" applyAlignment="1">
      <alignment horizontal="center"/>
    </xf>
    <xf numFmtId="0" fontId="6" fillId="7" borderId="7" xfId="3" applyFont="1" applyFill="1" applyBorder="1" applyAlignment="1">
      <alignment horizontal="center"/>
    </xf>
    <xf numFmtId="0" fontId="13" fillId="7" borderId="5" xfId="4" applyFont="1" applyFill="1" applyBorder="1" applyAlignment="1">
      <alignment horizontal="center" vertical="center"/>
    </xf>
    <xf numFmtId="0" fontId="14" fillId="9" borderId="5" xfId="4" applyFont="1" applyFill="1" applyBorder="1" applyAlignment="1">
      <alignment horizontal="center" vertical="center"/>
    </xf>
    <xf numFmtId="0" fontId="6" fillId="7" borderId="5" xfId="3" applyFont="1" applyFill="1" applyBorder="1" applyAlignment="1">
      <alignment horizontal="center"/>
    </xf>
    <xf numFmtId="2" fontId="6" fillId="7" borderId="5" xfId="3" applyNumberFormat="1" applyFont="1" applyFill="1" applyBorder="1" applyAlignment="1">
      <alignment horizontal="center"/>
    </xf>
    <xf numFmtId="1" fontId="6" fillId="7" borderId="5" xfId="3" applyNumberFormat="1" applyFont="1" applyFill="1" applyBorder="1" applyAlignment="1">
      <alignment horizontal="center"/>
    </xf>
    <xf numFmtId="0" fontId="15" fillId="7" borderId="5" xfId="3" applyFont="1" applyFill="1" applyBorder="1"/>
    <xf numFmtId="0" fontId="15" fillId="10" borderId="7" xfId="3" applyFont="1" applyFill="1" applyBorder="1" applyAlignment="1">
      <alignment horizontal="center"/>
    </xf>
    <xf numFmtId="0" fontId="16" fillId="7" borderId="5" xfId="4" applyFont="1" applyFill="1" applyBorder="1" applyAlignment="1">
      <alignment horizontal="center"/>
    </xf>
    <xf numFmtId="0" fontId="18" fillId="9" borderId="5" xfId="4" applyFont="1" applyFill="1" applyBorder="1" applyAlignment="1">
      <alignment horizontal="center" vertical="center"/>
    </xf>
    <xf numFmtId="0" fontId="15" fillId="7" borderId="5" xfId="3" applyFont="1" applyFill="1" applyBorder="1" applyAlignment="1">
      <alignment horizontal="center"/>
    </xf>
    <xf numFmtId="2" fontId="15" fillId="7" borderId="5" xfId="3" applyNumberFormat="1" applyFont="1" applyFill="1" applyBorder="1" applyAlignment="1">
      <alignment horizontal="center"/>
    </xf>
    <xf numFmtId="1" fontId="15" fillId="11" borderId="5" xfId="3" applyNumberFormat="1" applyFont="1" applyFill="1" applyBorder="1" applyAlignment="1">
      <alignment horizontal="center"/>
    </xf>
    <xf numFmtId="2" fontId="15" fillId="11" borderId="5" xfId="3" applyNumberFormat="1" applyFont="1" applyFill="1" applyBorder="1" applyAlignment="1">
      <alignment horizontal="center"/>
    </xf>
    <xf numFmtId="0" fontId="10" fillId="13" borderId="4" xfId="3" applyFont="1" applyFill="1" applyBorder="1" applyAlignment="1">
      <alignment horizontal="center" wrapText="1"/>
    </xf>
    <xf numFmtId="0" fontId="10" fillId="13" borderId="5" xfId="3" applyFont="1" applyFill="1" applyBorder="1" applyAlignment="1">
      <alignment horizontal="center" vertical="center" wrapText="1"/>
    </xf>
    <xf numFmtId="0" fontId="10" fillId="13" borderId="5" xfId="3" applyFont="1" applyFill="1" applyBorder="1" applyAlignment="1">
      <alignment horizontal="center" vertical="center"/>
    </xf>
    <xf numFmtId="0" fontId="11" fillId="13" borderId="5" xfId="3" applyFont="1" applyFill="1" applyBorder="1" applyAlignment="1">
      <alignment horizontal="center" vertical="center"/>
    </xf>
    <xf numFmtId="0" fontId="6" fillId="12" borderId="6" xfId="3" applyFont="1" applyFill="1" applyBorder="1" applyAlignment="1">
      <alignment horizontal="center"/>
    </xf>
    <xf numFmtId="0" fontId="6" fillId="12" borderId="7" xfId="3" applyFont="1" applyFill="1" applyBorder="1" applyAlignment="1">
      <alignment horizontal="center"/>
    </xf>
    <xf numFmtId="0" fontId="13" fillId="12" borderId="5" xfId="4" applyFont="1" applyFill="1" applyBorder="1" applyAlignment="1">
      <alignment horizontal="center" vertical="center"/>
    </xf>
    <xf numFmtId="0" fontId="14" fillId="14" borderId="5" xfId="4" applyFont="1" applyFill="1" applyBorder="1" applyAlignment="1">
      <alignment horizontal="center" vertical="center"/>
    </xf>
    <xf numFmtId="0" fontId="6" fillId="12" borderId="5" xfId="3" applyFont="1" applyFill="1" applyBorder="1" applyAlignment="1">
      <alignment horizontal="center"/>
    </xf>
    <xf numFmtId="2" fontId="6" fillId="12" borderId="5" xfId="3" applyNumberFormat="1" applyFont="1" applyFill="1" applyBorder="1" applyAlignment="1">
      <alignment horizontal="center"/>
    </xf>
    <xf numFmtId="1" fontId="6" fillId="12" borderId="5" xfId="3" applyNumberFormat="1" applyFont="1" applyFill="1" applyBorder="1" applyAlignment="1">
      <alignment horizontal="center"/>
    </xf>
    <xf numFmtId="0" fontId="15" fillId="12" borderId="5" xfId="3" applyFont="1" applyFill="1" applyBorder="1"/>
    <xf numFmtId="0" fontId="15" fillId="15" borderId="7" xfId="3" applyFont="1" applyFill="1" applyBorder="1" applyAlignment="1">
      <alignment horizontal="center"/>
    </xf>
    <xf numFmtId="0" fontId="16" fillId="12" borderId="5" xfId="4" applyFont="1" applyFill="1" applyBorder="1" applyAlignment="1">
      <alignment horizontal="center"/>
    </xf>
    <xf numFmtId="0" fontId="18" fillId="14" borderId="5" xfId="4" applyFont="1" applyFill="1" applyBorder="1" applyAlignment="1">
      <alignment horizontal="center" vertical="center"/>
    </xf>
    <xf numFmtId="0" fontId="15" fillId="12" borderId="5" xfId="3" applyFont="1" applyFill="1" applyBorder="1" applyAlignment="1">
      <alignment horizontal="center"/>
    </xf>
    <xf numFmtId="2" fontId="15" fillId="12" borderId="5" xfId="3" applyNumberFormat="1" applyFont="1" applyFill="1" applyBorder="1" applyAlignment="1">
      <alignment horizontal="center"/>
    </xf>
    <xf numFmtId="1" fontId="15" fillId="16" borderId="5" xfId="3" applyNumberFormat="1" applyFont="1" applyFill="1" applyBorder="1" applyAlignment="1">
      <alignment horizontal="center"/>
    </xf>
    <xf numFmtId="2" fontId="15" fillId="16" borderId="5" xfId="3" applyNumberFormat="1" applyFont="1" applyFill="1" applyBorder="1" applyAlignment="1">
      <alignment horizontal="center"/>
    </xf>
    <xf numFmtId="0" fontId="10" fillId="18" borderId="4" xfId="3" applyFont="1" applyFill="1" applyBorder="1" applyAlignment="1">
      <alignment horizontal="center" wrapText="1"/>
    </xf>
    <xf numFmtId="0" fontId="10" fillId="18" borderId="5" xfId="3" applyFont="1" applyFill="1" applyBorder="1" applyAlignment="1">
      <alignment horizontal="center" vertical="center" wrapText="1"/>
    </xf>
    <xf numFmtId="0" fontId="10" fillId="18" borderId="5" xfId="3" applyFont="1" applyFill="1" applyBorder="1" applyAlignment="1">
      <alignment horizontal="center" vertical="center"/>
    </xf>
    <xf numFmtId="0" fontId="11" fillId="18" borderId="5" xfId="3" applyFont="1" applyFill="1" applyBorder="1" applyAlignment="1">
      <alignment horizontal="center" vertical="center"/>
    </xf>
    <xf numFmtId="0" fontId="6" fillId="17" borderId="6" xfId="3" applyFont="1" applyFill="1" applyBorder="1" applyAlignment="1">
      <alignment horizontal="center"/>
    </xf>
    <xf numFmtId="0" fontId="6" fillId="17" borderId="7" xfId="3" applyFont="1" applyFill="1" applyBorder="1" applyAlignment="1">
      <alignment horizontal="center"/>
    </xf>
    <xf numFmtId="0" fontId="12" fillId="17" borderId="2" xfId="4" applyFill="1" applyBorder="1"/>
    <xf numFmtId="0" fontId="14" fillId="19" borderId="5" xfId="4" applyFont="1" applyFill="1" applyBorder="1" applyAlignment="1">
      <alignment horizontal="center" vertical="center"/>
    </xf>
    <xf numFmtId="0" fontId="6" fillId="17" borderId="5" xfId="3" applyFont="1" applyFill="1" applyBorder="1" applyAlignment="1">
      <alignment horizontal="center"/>
    </xf>
    <xf numFmtId="2" fontId="6" fillId="17" borderId="5" xfId="3" applyNumberFormat="1" applyFont="1" applyFill="1" applyBorder="1" applyAlignment="1">
      <alignment horizontal="center"/>
    </xf>
    <xf numFmtId="1" fontId="6" fillId="17" borderId="5" xfId="3" applyNumberFormat="1" applyFont="1" applyFill="1" applyBorder="1" applyAlignment="1">
      <alignment horizontal="center"/>
    </xf>
    <xf numFmtId="0" fontId="15" fillId="17" borderId="5" xfId="3" applyFont="1" applyFill="1" applyBorder="1"/>
    <xf numFmtId="0" fontId="15" fillId="20" borderId="7" xfId="3" applyFont="1" applyFill="1" applyBorder="1" applyAlignment="1">
      <alignment horizontal="center"/>
    </xf>
    <xf numFmtId="0" fontId="4" fillId="17" borderId="2" xfId="4" applyFont="1" applyFill="1" applyBorder="1"/>
    <xf numFmtId="0" fontId="18" fillId="19" borderId="5" xfId="4" applyFont="1" applyFill="1" applyBorder="1" applyAlignment="1">
      <alignment horizontal="center" vertical="center"/>
    </xf>
    <xf numFmtId="0" fontId="15" fillId="17" borderId="5" xfId="3" applyFont="1" applyFill="1" applyBorder="1" applyAlignment="1">
      <alignment horizontal="center"/>
    </xf>
    <xf numFmtId="2" fontId="15" fillId="17" borderId="5" xfId="3" applyNumberFormat="1" applyFont="1" applyFill="1" applyBorder="1" applyAlignment="1">
      <alignment horizontal="center"/>
    </xf>
    <xf numFmtId="1" fontId="15" fillId="21" borderId="5" xfId="3" applyNumberFormat="1" applyFont="1" applyFill="1" applyBorder="1" applyAlignment="1">
      <alignment horizontal="center"/>
    </xf>
    <xf numFmtId="2" fontId="15" fillId="21" borderId="5" xfId="3" applyNumberFormat="1" applyFont="1" applyFill="1" applyBorder="1" applyAlignment="1">
      <alignment horizontal="center"/>
    </xf>
    <xf numFmtId="0" fontId="9" fillId="12" borderId="2" xfId="3" applyFont="1" applyFill="1" applyBorder="1" applyAlignment="1">
      <alignment horizontal="center" vertical="center"/>
    </xf>
    <xf numFmtId="0" fontId="10" fillId="13" borderId="3" xfId="3" applyFont="1" applyFill="1" applyBorder="1" applyAlignment="1">
      <alignment horizontal="center"/>
    </xf>
    <xf numFmtId="0" fontId="9" fillId="17" borderId="2" xfId="3" applyFont="1" applyFill="1" applyBorder="1" applyAlignment="1">
      <alignment horizontal="center" vertical="center"/>
    </xf>
    <xf numFmtId="0" fontId="10" fillId="18" borderId="3" xfId="3" applyFont="1" applyFill="1" applyBorder="1" applyAlignment="1">
      <alignment horizontal="center"/>
    </xf>
    <xf numFmtId="0" fontId="7" fillId="0" borderId="1" xfId="3" applyFont="1" applyAlignment="1">
      <alignment horizontal="center"/>
    </xf>
    <xf numFmtId="0" fontId="5" fillId="0" borderId="1" xfId="3"/>
    <xf numFmtId="0" fontId="8" fillId="0" borderId="1" xfId="3" applyFont="1" applyAlignment="1">
      <alignment horizontal="center"/>
    </xf>
    <xf numFmtId="0" fontId="9" fillId="3" borderId="2" xfId="3" applyFont="1" applyFill="1" applyBorder="1" applyAlignment="1">
      <alignment horizontal="center" vertical="center"/>
    </xf>
    <xf numFmtId="0" fontId="10" fillId="4" borderId="3" xfId="3" applyFont="1" applyFill="1" applyBorder="1" applyAlignment="1">
      <alignment horizontal="center"/>
    </xf>
    <xf numFmtId="0" fontId="9" fillId="7" borderId="2" xfId="3" applyFont="1" applyFill="1" applyBorder="1" applyAlignment="1">
      <alignment horizontal="center" vertical="center"/>
    </xf>
    <xf numFmtId="0" fontId="10" fillId="8" borderId="3" xfId="3" applyFont="1" applyFill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2" xfId="3" xr:uid="{C26AB550-30BE-442A-A355-2A5C6398963A}"/>
    <cellStyle name="Normal 3" xfId="2" xr:uid="{0FA7BD36-D057-4123-915E-FD5DA050BD82}"/>
    <cellStyle name="Normal 4" xfId="4" xr:uid="{F7D156BA-4817-4653-B406-36660C1389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SIPANDA2026" displayName="MasterSIPANDA2026" ref="A1:J577" totalsRowShown="0">
  <tableColumns count="10">
    <tableColumn id="1" xr3:uid="{00000000-0010-0000-0000-000001000000}" name="TAHUN"/>
    <tableColumn id="2" xr3:uid="{00000000-0010-0000-0000-000002000000}" name="NO BULAN"/>
    <tableColumn id="3" xr3:uid="{00000000-0010-0000-0000-000003000000}" name="BULAN"/>
    <tableColumn id="4" xr3:uid="{00000000-0010-0000-0000-000004000000}" name="TRIWULAN"/>
    <tableColumn id="5" xr3:uid="{00000000-0010-0000-0000-000005000000}" name="SEMESTER"/>
    <tableColumn id="6" xr3:uid="{00000000-0010-0000-0000-000006000000}" name="PUSKESMAS"/>
    <tableColumn id="7" xr3:uid="{00000000-0010-0000-0000-000007000000}" name="INDIKATOR"/>
    <tableColumn id="8" xr3:uid="{00000000-0010-0000-0000-000008000000}" name="TARGET TAHUNAN"/>
    <tableColumn id="9" xr3:uid="{00000000-0010-0000-0000-000009000000}" name="CAPAIAN"/>
    <tableColumn id="10" xr3:uid="{00000000-0010-0000-0000-00000A000000}" name="PERSENT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77"/>
  <sheetViews>
    <sheetView tabSelected="1" topLeftCell="A45" workbookViewId="0">
      <selection activeCell="E25" sqref="E25"/>
    </sheetView>
  </sheetViews>
  <sheetFormatPr defaultRowHeight="15"/>
  <cols>
    <col min="1" max="1" width="10" customWidth="1"/>
    <col min="2" max="2" width="11" customWidth="1"/>
    <col min="3" max="3" width="14" customWidth="1"/>
    <col min="4" max="5" width="11" customWidth="1"/>
    <col min="6" max="6" width="18" customWidth="1"/>
    <col min="7" max="7" width="27" customWidth="1"/>
    <col min="8" max="8" width="17" customWidth="1"/>
    <col min="9" max="10" width="14" customWidth="1"/>
  </cols>
  <sheetData>
    <row r="1" spans="1:10" ht="20.100000000000001" customHeight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0</v>
      </c>
      <c r="G1" s="1" t="s">
        <v>30</v>
      </c>
      <c r="H1" s="1" t="s">
        <v>1</v>
      </c>
      <c r="I1" s="1" t="s">
        <v>31</v>
      </c>
      <c r="J1" s="1" t="s">
        <v>23</v>
      </c>
    </row>
    <row r="2" spans="1:10">
      <c r="A2" s="2">
        <v>2026</v>
      </c>
      <c r="B2" s="2">
        <v>1</v>
      </c>
      <c r="C2" s="2" t="s">
        <v>14</v>
      </c>
      <c r="D2" s="2">
        <v>1</v>
      </c>
      <c r="E2" s="2">
        <v>1</v>
      </c>
      <c r="F2" s="5" t="s">
        <v>2</v>
      </c>
      <c r="G2" s="5" t="s">
        <v>20</v>
      </c>
      <c r="H2" s="3">
        <v>8998</v>
      </c>
      <c r="I2" s="3">
        <v>15</v>
      </c>
      <c r="J2" s="4">
        <f t="shared" ref="J2:J65" si="0">IF(I2="","",IFERROR(I2/H2,0))</f>
        <v>1.6670371193598578E-3</v>
      </c>
    </row>
    <row r="3" spans="1:10">
      <c r="A3" s="2">
        <v>2026</v>
      </c>
      <c r="B3" s="2">
        <v>2</v>
      </c>
      <c r="C3" s="2" t="s">
        <v>15</v>
      </c>
      <c r="D3" s="2">
        <v>1</v>
      </c>
      <c r="E3" s="2">
        <v>1</v>
      </c>
      <c r="F3" s="5" t="s">
        <v>2</v>
      </c>
      <c r="G3" s="5" t="s">
        <v>20</v>
      </c>
      <c r="H3" s="3">
        <v>8998</v>
      </c>
      <c r="I3" s="3">
        <v>58</v>
      </c>
      <c r="J3" s="4">
        <f t="shared" si="0"/>
        <v>6.4458768615247835E-3</v>
      </c>
    </row>
    <row r="4" spans="1:10">
      <c r="A4" s="2">
        <v>2026</v>
      </c>
      <c r="B4" s="2">
        <v>3</v>
      </c>
      <c r="C4" s="2" t="s">
        <v>16</v>
      </c>
      <c r="D4" s="2">
        <v>1</v>
      </c>
      <c r="E4" s="2">
        <v>1</v>
      </c>
      <c r="F4" s="5" t="s">
        <v>2</v>
      </c>
      <c r="G4" s="5" t="s">
        <v>20</v>
      </c>
      <c r="H4" s="3">
        <v>8998</v>
      </c>
      <c r="I4" s="3">
        <v>46</v>
      </c>
      <c r="J4" s="4">
        <f t="shared" si="0"/>
        <v>5.1122471660368972E-3</v>
      </c>
    </row>
    <row r="5" spans="1:10">
      <c r="A5" s="2">
        <v>2026</v>
      </c>
      <c r="B5" s="2">
        <v>4</v>
      </c>
      <c r="C5" s="2" t="s">
        <v>17</v>
      </c>
      <c r="D5" s="2">
        <v>2</v>
      </c>
      <c r="E5" s="2">
        <v>1</v>
      </c>
      <c r="F5" s="5" t="s">
        <v>2</v>
      </c>
      <c r="G5" s="5" t="s">
        <v>20</v>
      </c>
      <c r="H5" s="3">
        <v>8998</v>
      </c>
      <c r="I5" s="3">
        <v>222</v>
      </c>
      <c r="J5" s="4">
        <f t="shared" si="0"/>
        <v>2.4672149366525894E-2</v>
      </c>
    </row>
    <row r="6" spans="1:10">
      <c r="A6" s="2">
        <v>2026</v>
      </c>
      <c r="B6" s="2">
        <v>5</v>
      </c>
      <c r="C6" s="2" t="s">
        <v>18</v>
      </c>
      <c r="D6" s="2">
        <v>2</v>
      </c>
      <c r="E6" s="2">
        <v>1</v>
      </c>
      <c r="F6" s="5" t="s">
        <v>2</v>
      </c>
      <c r="G6" s="5" t="s">
        <v>20</v>
      </c>
      <c r="H6" s="3">
        <v>8998</v>
      </c>
      <c r="I6" s="3">
        <v>295</v>
      </c>
      <c r="J6" s="4">
        <f t="shared" si="0"/>
        <v>3.2785063347410534E-2</v>
      </c>
    </row>
    <row r="7" spans="1:10">
      <c r="A7" s="2">
        <v>2026</v>
      </c>
      <c r="B7" s="2">
        <v>6</v>
      </c>
      <c r="C7" s="2" t="s">
        <v>19</v>
      </c>
      <c r="D7" s="2">
        <v>2</v>
      </c>
      <c r="E7" s="2">
        <v>1</v>
      </c>
      <c r="F7" s="5" t="s">
        <v>2</v>
      </c>
      <c r="G7" s="5" t="s">
        <v>20</v>
      </c>
      <c r="H7" s="3">
        <v>8998</v>
      </c>
      <c r="I7" s="3">
        <v>481</v>
      </c>
      <c r="J7" s="4">
        <f t="shared" si="0"/>
        <v>5.3456323627472775E-2</v>
      </c>
    </row>
    <row r="8" spans="1:10">
      <c r="A8" s="2">
        <v>2026</v>
      </c>
      <c r="B8" s="2">
        <v>7</v>
      </c>
      <c r="C8" s="2" t="s">
        <v>24</v>
      </c>
      <c r="D8" s="2">
        <v>3</v>
      </c>
      <c r="E8" s="2">
        <v>2</v>
      </c>
      <c r="F8" s="5" t="s">
        <v>2</v>
      </c>
      <c r="G8" s="5" t="s">
        <v>20</v>
      </c>
      <c r="H8" s="3">
        <v>8998</v>
      </c>
      <c r="I8" s="3"/>
      <c r="J8" s="4" t="str">
        <f t="shared" si="0"/>
        <v/>
      </c>
    </row>
    <row r="9" spans="1:10">
      <c r="A9" s="2">
        <v>2026</v>
      </c>
      <c r="B9" s="2">
        <v>8</v>
      </c>
      <c r="C9" s="2" t="s">
        <v>32</v>
      </c>
      <c r="D9" s="2">
        <v>3</v>
      </c>
      <c r="E9" s="2">
        <v>2</v>
      </c>
      <c r="F9" s="5" t="s">
        <v>2</v>
      </c>
      <c r="G9" s="5" t="s">
        <v>20</v>
      </c>
      <c r="H9" s="3">
        <v>8998</v>
      </c>
      <c r="I9" s="3"/>
      <c r="J9" s="4" t="str">
        <f t="shared" si="0"/>
        <v/>
      </c>
    </row>
    <row r="10" spans="1:10">
      <c r="A10" s="2">
        <v>2026</v>
      </c>
      <c r="B10" s="2">
        <v>9</v>
      </c>
      <c r="C10" s="2" t="s">
        <v>33</v>
      </c>
      <c r="D10" s="2">
        <v>3</v>
      </c>
      <c r="E10" s="2">
        <v>2</v>
      </c>
      <c r="F10" s="5" t="s">
        <v>2</v>
      </c>
      <c r="G10" s="5" t="s">
        <v>20</v>
      </c>
      <c r="H10" s="3">
        <v>8998</v>
      </c>
      <c r="I10" s="3"/>
      <c r="J10" s="4" t="str">
        <f t="shared" si="0"/>
        <v/>
      </c>
    </row>
    <row r="11" spans="1:10">
      <c r="A11" s="2">
        <v>2026</v>
      </c>
      <c r="B11" s="2">
        <v>10</v>
      </c>
      <c r="C11" s="2" t="s">
        <v>34</v>
      </c>
      <c r="D11" s="2">
        <v>4</v>
      </c>
      <c r="E11" s="2">
        <v>2</v>
      </c>
      <c r="F11" s="5" t="s">
        <v>2</v>
      </c>
      <c r="G11" s="5" t="s">
        <v>20</v>
      </c>
      <c r="H11" s="3">
        <v>8998</v>
      </c>
      <c r="I11" s="3"/>
      <c r="J11" s="4" t="str">
        <f t="shared" si="0"/>
        <v/>
      </c>
    </row>
    <row r="12" spans="1:10">
      <c r="A12" s="2">
        <v>2026</v>
      </c>
      <c r="B12" s="2">
        <v>11</v>
      </c>
      <c r="C12" s="2" t="s">
        <v>35</v>
      </c>
      <c r="D12" s="2">
        <v>4</v>
      </c>
      <c r="E12" s="2">
        <v>2</v>
      </c>
      <c r="F12" s="5" t="s">
        <v>2</v>
      </c>
      <c r="G12" s="5" t="s">
        <v>20</v>
      </c>
      <c r="H12" s="3">
        <v>8998</v>
      </c>
      <c r="I12" s="3"/>
      <c r="J12" s="4" t="str">
        <f t="shared" si="0"/>
        <v/>
      </c>
    </row>
    <row r="13" spans="1:10">
      <c r="A13" s="2">
        <v>2026</v>
      </c>
      <c r="B13" s="2">
        <v>12</v>
      </c>
      <c r="C13" s="2" t="s">
        <v>36</v>
      </c>
      <c r="D13" s="2">
        <v>4</v>
      </c>
      <c r="E13" s="2">
        <v>2</v>
      </c>
      <c r="F13" s="5" t="s">
        <v>2</v>
      </c>
      <c r="G13" s="5" t="s">
        <v>20</v>
      </c>
      <c r="H13" s="3">
        <v>8998</v>
      </c>
      <c r="I13" s="3"/>
      <c r="J13" s="4" t="str">
        <f t="shared" si="0"/>
        <v/>
      </c>
    </row>
    <row r="14" spans="1:10">
      <c r="A14" s="2">
        <v>2026</v>
      </c>
      <c r="B14" s="2">
        <v>1</v>
      </c>
      <c r="C14" s="2" t="s">
        <v>14</v>
      </c>
      <c r="D14" s="2">
        <v>1</v>
      </c>
      <c r="E14" s="2">
        <v>1</v>
      </c>
      <c r="F14" s="5" t="s">
        <v>3</v>
      </c>
      <c r="G14" s="5" t="s">
        <v>20</v>
      </c>
      <c r="H14" s="3">
        <v>3234</v>
      </c>
      <c r="I14" s="3">
        <v>112</v>
      </c>
      <c r="J14" s="4">
        <f t="shared" si="0"/>
        <v>3.4632034632034632E-2</v>
      </c>
    </row>
    <row r="15" spans="1:10">
      <c r="A15" s="2">
        <v>2026</v>
      </c>
      <c r="B15" s="2">
        <v>2</v>
      </c>
      <c r="C15" s="2" t="s">
        <v>15</v>
      </c>
      <c r="D15" s="2">
        <v>1</v>
      </c>
      <c r="E15" s="2">
        <v>1</v>
      </c>
      <c r="F15" s="5" t="s">
        <v>3</v>
      </c>
      <c r="G15" s="5" t="s">
        <v>20</v>
      </c>
      <c r="H15" s="3">
        <v>3234</v>
      </c>
      <c r="I15" s="3">
        <v>244</v>
      </c>
      <c r="J15" s="4">
        <f t="shared" si="0"/>
        <v>7.5448361162646874E-2</v>
      </c>
    </row>
    <row r="16" spans="1:10">
      <c r="A16" s="2">
        <v>2026</v>
      </c>
      <c r="B16" s="2">
        <v>3</v>
      </c>
      <c r="C16" s="2" t="s">
        <v>16</v>
      </c>
      <c r="D16" s="2">
        <v>1</v>
      </c>
      <c r="E16" s="2">
        <v>1</v>
      </c>
      <c r="F16" s="5" t="s">
        <v>3</v>
      </c>
      <c r="G16" s="5" t="s">
        <v>20</v>
      </c>
      <c r="H16" s="3">
        <v>3234</v>
      </c>
      <c r="I16" s="3">
        <v>120</v>
      </c>
      <c r="J16" s="4">
        <f t="shared" si="0"/>
        <v>3.7105751391465679E-2</v>
      </c>
    </row>
    <row r="17" spans="1:10">
      <c r="A17" s="2">
        <v>2026</v>
      </c>
      <c r="B17" s="2">
        <v>4</v>
      </c>
      <c r="C17" s="2" t="s">
        <v>17</v>
      </c>
      <c r="D17" s="2">
        <v>2</v>
      </c>
      <c r="E17" s="2">
        <v>1</v>
      </c>
      <c r="F17" s="5" t="s">
        <v>3</v>
      </c>
      <c r="G17" s="5" t="s">
        <v>20</v>
      </c>
      <c r="H17" s="3">
        <v>3234</v>
      </c>
      <c r="I17" s="3">
        <v>133</v>
      </c>
      <c r="J17" s="4">
        <f t="shared" si="0"/>
        <v>4.1125541125541128E-2</v>
      </c>
    </row>
    <row r="18" spans="1:10">
      <c r="A18" s="2">
        <v>2026</v>
      </c>
      <c r="B18" s="2">
        <v>5</v>
      </c>
      <c r="C18" s="2" t="s">
        <v>18</v>
      </c>
      <c r="D18" s="2">
        <v>2</v>
      </c>
      <c r="E18" s="2">
        <v>1</v>
      </c>
      <c r="F18" s="5" t="s">
        <v>3</v>
      </c>
      <c r="G18" s="5" t="s">
        <v>20</v>
      </c>
      <c r="H18" s="3">
        <v>3234</v>
      </c>
      <c r="I18" s="3">
        <v>117</v>
      </c>
      <c r="J18" s="4">
        <f t="shared" si="0"/>
        <v>3.6178107606679034E-2</v>
      </c>
    </row>
    <row r="19" spans="1:10">
      <c r="A19" s="2">
        <v>2026</v>
      </c>
      <c r="B19" s="2">
        <v>6</v>
      </c>
      <c r="C19" s="2" t="s">
        <v>19</v>
      </c>
      <c r="D19" s="2">
        <v>2</v>
      </c>
      <c r="E19" s="2">
        <v>1</v>
      </c>
      <c r="F19" s="5" t="s">
        <v>3</v>
      </c>
      <c r="G19" s="5" t="s">
        <v>20</v>
      </c>
      <c r="H19" s="3">
        <v>3234</v>
      </c>
      <c r="I19" s="3">
        <v>214</v>
      </c>
      <c r="J19" s="4">
        <f t="shared" si="0"/>
        <v>6.6171923314780459E-2</v>
      </c>
    </row>
    <row r="20" spans="1:10">
      <c r="A20" s="2">
        <v>2026</v>
      </c>
      <c r="B20" s="2">
        <v>7</v>
      </c>
      <c r="C20" s="2" t="s">
        <v>24</v>
      </c>
      <c r="D20" s="2">
        <v>3</v>
      </c>
      <c r="E20" s="2">
        <v>2</v>
      </c>
      <c r="F20" s="5" t="s">
        <v>3</v>
      </c>
      <c r="G20" s="5" t="s">
        <v>20</v>
      </c>
      <c r="H20" s="3">
        <v>3234</v>
      </c>
      <c r="I20" s="3"/>
      <c r="J20" s="4" t="str">
        <f t="shared" si="0"/>
        <v/>
      </c>
    </row>
    <row r="21" spans="1:10">
      <c r="A21" s="2">
        <v>2026</v>
      </c>
      <c r="B21" s="2">
        <v>8</v>
      </c>
      <c r="C21" s="2" t="s">
        <v>32</v>
      </c>
      <c r="D21" s="2">
        <v>3</v>
      </c>
      <c r="E21" s="2">
        <v>2</v>
      </c>
      <c r="F21" s="5" t="s">
        <v>3</v>
      </c>
      <c r="G21" s="5" t="s">
        <v>20</v>
      </c>
      <c r="H21" s="3">
        <v>3234</v>
      </c>
      <c r="I21" s="3"/>
      <c r="J21" s="4" t="str">
        <f t="shared" si="0"/>
        <v/>
      </c>
    </row>
    <row r="22" spans="1:10">
      <c r="A22" s="2">
        <v>2026</v>
      </c>
      <c r="B22" s="2">
        <v>9</v>
      </c>
      <c r="C22" s="2" t="s">
        <v>33</v>
      </c>
      <c r="D22" s="2">
        <v>3</v>
      </c>
      <c r="E22" s="2">
        <v>2</v>
      </c>
      <c r="F22" s="5" t="s">
        <v>3</v>
      </c>
      <c r="G22" s="5" t="s">
        <v>20</v>
      </c>
      <c r="H22" s="3">
        <v>3234</v>
      </c>
      <c r="I22" s="3"/>
      <c r="J22" s="4" t="str">
        <f t="shared" si="0"/>
        <v/>
      </c>
    </row>
    <row r="23" spans="1:10">
      <c r="A23" s="2">
        <v>2026</v>
      </c>
      <c r="B23" s="2">
        <v>10</v>
      </c>
      <c r="C23" s="2" t="s">
        <v>34</v>
      </c>
      <c r="D23" s="2">
        <v>4</v>
      </c>
      <c r="E23" s="2">
        <v>2</v>
      </c>
      <c r="F23" s="5" t="s">
        <v>3</v>
      </c>
      <c r="G23" s="5" t="s">
        <v>20</v>
      </c>
      <c r="H23" s="3">
        <v>3234</v>
      </c>
      <c r="I23" s="3"/>
      <c r="J23" s="4" t="str">
        <f t="shared" si="0"/>
        <v/>
      </c>
    </row>
    <row r="24" spans="1:10">
      <c r="A24" s="2">
        <v>2026</v>
      </c>
      <c r="B24" s="2">
        <v>11</v>
      </c>
      <c r="C24" s="2" t="s">
        <v>35</v>
      </c>
      <c r="D24" s="2">
        <v>4</v>
      </c>
      <c r="E24" s="2">
        <v>2</v>
      </c>
      <c r="F24" s="5" t="s">
        <v>3</v>
      </c>
      <c r="G24" s="5" t="s">
        <v>20</v>
      </c>
      <c r="H24" s="3">
        <v>3234</v>
      </c>
      <c r="I24" s="3"/>
      <c r="J24" s="4" t="str">
        <f t="shared" si="0"/>
        <v/>
      </c>
    </row>
    <row r="25" spans="1:10">
      <c r="A25" s="2">
        <v>2026</v>
      </c>
      <c r="B25" s="2">
        <v>12</v>
      </c>
      <c r="C25" s="2" t="s">
        <v>36</v>
      </c>
      <c r="D25" s="2">
        <v>4</v>
      </c>
      <c r="E25" s="2">
        <v>2</v>
      </c>
      <c r="F25" s="5" t="s">
        <v>3</v>
      </c>
      <c r="G25" s="5" t="s">
        <v>20</v>
      </c>
      <c r="H25" s="3">
        <v>3234</v>
      </c>
      <c r="I25" s="3"/>
      <c r="J25" s="4" t="str">
        <f t="shared" si="0"/>
        <v/>
      </c>
    </row>
    <row r="26" spans="1:10">
      <c r="A26" s="2">
        <v>2026</v>
      </c>
      <c r="B26" s="2">
        <v>1</v>
      </c>
      <c r="C26" s="2" t="s">
        <v>14</v>
      </c>
      <c r="D26" s="2">
        <v>1</v>
      </c>
      <c r="E26" s="2">
        <v>1</v>
      </c>
      <c r="F26" s="5" t="s">
        <v>4</v>
      </c>
      <c r="G26" s="5" t="s">
        <v>20</v>
      </c>
      <c r="H26" s="3">
        <v>5429</v>
      </c>
      <c r="I26" s="3">
        <v>107</v>
      </c>
      <c r="J26" s="4">
        <f t="shared" si="0"/>
        <v>1.9708970344446491E-2</v>
      </c>
    </row>
    <row r="27" spans="1:10">
      <c r="A27" s="2">
        <v>2026</v>
      </c>
      <c r="B27" s="2">
        <v>2</v>
      </c>
      <c r="C27" s="2" t="s">
        <v>15</v>
      </c>
      <c r="D27" s="2">
        <v>1</v>
      </c>
      <c r="E27" s="2">
        <v>1</v>
      </c>
      <c r="F27" s="5" t="s">
        <v>4</v>
      </c>
      <c r="G27" s="5" t="s">
        <v>20</v>
      </c>
      <c r="H27" s="3">
        <v>5429</v>
      </c>
      <c r="I27" s="3">
        <v>105</v>
      </c>
      <c r="J27" s="4">
        <f t="shared" si="0"/>
        <v>1.9340578375391416E-2</v>
      </c>
    </row>
    <row r="28" spans="1:10">
      <c r="A28" s="2">
        <v>2026</v>
      </c>
      <c r="B28" s="2">
        <v>3</v>
      </c>
      <c r="C28" s="2" t="s">
        <v>16</v>
      </c>
      <c r="D28" s="2">
        <v>1</v>
      </c>
      <c r="E28" s="2">
        <v>1</v>
      </c>
      <c r="F28" s="5" t="s">
        <v>4</v>
      </c>
      <c r="G28" s="5" t="s">
        <v>20</v>
      </c>
      <c r="H28" s="3">
        <v>5429</v>
      </c>
      <c r="I28" s="3">
        <v>86</v>
      </c>
      <c r="J28" s="4">
        <f t="shared" si="0"/>
        <v>1.5840854669368208E-2</v>
      </c>
    </row>
    <row r="29" spans="1:10">
      <c r="A29" s="2">
        <v>2026</v>
      </c>
      <c r="B29" s="2">
        <v>4</v>
      </c>
      <c r="C29" s="2" t="s">
        <v>17</v>
      </c>
      <c r="D29" s="2">
        <v>2</v>
      </c>
      <c r="E29" s="2">
        <v>1</v>
      </c>
      <c r="F29" s="5" t="s">
        <v>4</v>
      </c>
      <c r="G29" s="5" t="s">
        <v>20</v>
      </c>
      <c r="H29" s="3">
        <v>5429</v>
      </c>
      <c r="I29" s="3">
        <v>129</v>
      </c>
      <c r="J29" s="4">
        <f t="shared" si="0"/>
        <v>2.3761282004052312E-2</v>
      </c>
    </row>
    <row r="30" spans="1:10">
      <c r="A30" s="2">
        <v>2026</v>
      </c>
      <c r="B30" s="2">
        <v>5</v>
      </c>
      <c r="C30" s="2" t="s">
        <v>18</v>
      </c>
      <c r="D30" s="2">
        <v>2</v>
      </c>
      <c r="E30" s="2">
        <v>1</v>
      </c>
      <c r="F30" s="5" t="s">
        <v>4</v>
      </c>
      <c r="G30" s="5" t="s">
        <v>20</v>
      </c>
      <c r="H30" s="3">
        <v>5429</v>
      </c>
      <c r="I30" s="3">
        <v>90</v>
      </c>
      <c r="J30" s="4">
        <f t="shared" si="0"/>
        <v>1.6577638607478358E-2</v>
      </c>
    </row>
    <row r="31" spans="1:10">
      <c r="A31" s="2">
        <v>2026</v>
      </c>
      <c r="B31" s="2">
        <v>6</v>
      </c>
      <c r="C31" s="2" t="s">
        <v>19</v>
      </c>
      <c r="D31" s="2">
        <v>2</v>
      </c>
      <c r="E31" s="2">
        <v>1</v>
      </c>
      <c r="F31" s="5" t="s">
        <v>4</v>
      </c>
      <c r="G31" s="5" t="s">
        <v>20</v>
      </c>
      <c r="H31" s="3">
        <v>5429</v>
      </c>
      <c r="I31" s="3">
        <v>117</v>
      </c>
      <c r="J31" s="4">
        <f t="shared" si="0"/>
        <v>2.1550930189721863E-2</v>
      </c>
    </row>
    <row r="32" spans="1:10">
      <c r="A32" s="2">
        <v>2026</v>
      </c>
      <c r="B32" s="2">
        <v>7</v>
      </c>
      <c r="C32" s="2" t="s">
        <v>24</v>
      </c>
      <c r="D32" s="2">
        <v>3</v>
      </c>
      <c r="E32" s="2">
        <v>2</v>
      </c>
      <c r="F32" s="5" t="s">
        <v>4</v>
      </c>
      <c r="G32" s="5" t="s">
        <v>20</v>
      </c>
      <c r="H32" s="3">
        <v>5429</v>
      </c>
      <c r="I32" s="3"/>
      <c r="J32" s="4" t="str">
        <f t="shared" si="0"/>
        <v/>
      </c>
    </row>
    <row r="33" spans="1:10">
      <c r="A33" s="2">
        <v>2026</v>
      </c>
      <c r="B33" s="2">
        <v>8</v>
      </c>
      <c r="C33" s="2" t="s">
        <v>32</v>
      </c>
      <c r="D33" s="2">
        <v>3</v>
      </c>
      <c r="E33" s="2">
        <v>2</v>
      </c>
      <c r="F33" s="5" t="s">
        <v>4</v>
      </c>
      <c r="G33" s="5" t="s">
        <v>20</v>
      </c>
      <c r="H33" s="3">
        <v>5429</v>
      </c>
      <c r="I33" s="3"/>
      <c r="J33" s="4" t="str">
        <f t="shared" si="0"/>
        <v/>
      </c>
    </row>
    <row r="34" spans="1:10">
      <c r="A34" s="2">
        <v>2026</v>
      </c>
      <c r="B34" s="2">
        <v>9</v>
      </c>
      <c r="C34" s="2" t="s">
        <v>33</v>
      </c>
      <c r="D34" s="2">
        <v>3</v>
      </c>
      <c r="E34" s="2">
        <v>2</v>
      </c>
      <c r="F34" s="5" t="s">
        <v>4</v>
      </c>
      <c r="G34" s="5" t="s">
        <v>20</v>
      </c>
      <c r="H34" s="3">
        <v>5429</v>
      </c>
      <c r="I34" s="3"/>
      <c r="J34" s="4" t="str">
        <f t="shared" si="0"/>
        <v/>
      </c>
    </row>
    <row r="35" spans="1:10">
      <c r="A35" s="2">
        <v>2026</v>
      </c>
      <c r="B35" s="2">
        <v>10</v>
      </c>
      <c r="C35" s="2" t="s">
        <v>34</v>
      </c>
      <c r="D35" s="2">
        <v>4</v>
      </c>
      <c r="E35" s="2">
        <v>2</v>
      </c>
      <c r="F35" s="5" t="s">
        <v>4</v>
      </c>
      <c r="G35" s="5" t="s">
        <v>20</v>
      </c>
      <c r="H35" s="3">
        <v>5429</v>
      </c>
      <c r="I35" s="3"/>
      <c r="J35" s="4" t="str">
        <f t="shared" si="0"/>
        <v/>
      </c>
    </row>
    <row r="36" spans="1:10">
      <c r="A36" s="2">
        <v>2026</v>
      </c>
      <c r="B36" s="2">
        <v>11</v>
      </c>
      <c r="C36" s="2" t="s">
        <v>35</v>
      </c>
      <c r="D36" s="2">
        <v>4</v>
      </c>
      <c r="E36" s="2">
        <v>2</v>
      </c>
      <c r="F36" s="5" t="s">
        <v>4</v>
      </c>
      <c r="G36" s="5" t="s">
        <v>20</v>
      </c>
      <c r="H36" s="3">
        <v>5429</v>
      </c>
      <c r="I36" s="3"/>
      <c r="J36" s="4" t="str">
        <f t="shared" si="0"/>
        <v/>
      </c>
    </row>
    <row r="37" spans="1:10">
      <c r="A37" s="2">
        <v>2026</v>
      </c>
      <c r="B37" s="2">
        <v>12</v>
      </c>
      <c r="C37" s="2" t="s">
        <v>36</v>
      </c>
      <c r="D37" s="2">
        <v>4</v>
      </c>
      <c r="E37" s="2">
        <v>2</v>
      </c>
      <c r="F37" s="5" t="s">
        <v>4</v>
      </c>
      <c r="G37" s="5" t="s">
        <v>20</v>
      </c>
      <c r="H37" s="3">
        <v>5429</v>
      </c>
      <c r="I37" s="3"/>
      <c r="J37" s="4" t="str">
        <f t="shared" si="0"/>
        <v/>
      </c>
    </row>
    <row r="38" spans="1:10">
      <c r="A38" s="2">
        <v>2026</v>
      </c>
      <c r="B38" s="2">
        <v>1</v>
      </c>
      <c r="C38" s="2" t="s">
        <v>14</v>
      </c>
      <c r="D38" s="2">
        <v>1</v>
      </c>
      <c r="E38" s="2">
        <v>1</v>
      </c>
      <c r="F38" s="5" t="s">
        <v>5</v>
      </c>
      <c r="G38" s="5" t="s">
        <v>20</v>
      </c>
      <c r="H38" s="3">
        <v>3480</v>
      </c>
      <c r="I38" s="3">
        <v>14</v>
      </c>
      <c r="J38" s="4">
        <f t="shared" si="0"/>
        <v>4.0229885057471264E-3</v>
      </c>
    </row>
    <row r="39" spans="1:10">
      <c r="A39" s="2">
        <v>2026</v>
      </c>
      <c r="B39" s="2">
        <v>2</v>
      </c>
      <c r="C39" s="2" t="s">
        <v>15</v>
      </c>
      <c r="D39" s="2">
        <v>1</v>
      </c>
      <c r="E39" s="2">
        <v>1</v>
      </c>
      <c r="F39" s="5" t="s">
        <v>5</v>
      </c>
      <c r="G39" s="5" t="s">
        <v>20</v>
      </c>
      <c r="H39" s="3">
        <v>3480</v>
      </c>
      <c r="I39" s="3">
        <v>42</v>
      </c>
      <c r="J39" s="4">
        <f t="shared" si="0"/>
        <v>1.2068965517241379E-2</v>
      </c>
    </row>
    <row r="40" spans="1:10">
      <c r="A40" s="2">
        <v>2026</v>
      </c>
      <c r="B40" s="2">
        <v>3</v>
      </c>
      <c r="C40" s="2" t="s">
        <v>16</v>
      </c>
      <c r="D40" s="2">
        <v>1</v>
      </c>
      <c r="E40" s="2">
        <v>1</v>
      </c>
      <c r="F40" s="5" t="s">
        <v>5</v>
      </c>
      <c r="G40" s="5" t="s">
        <v>20</v>
      </c>
      <c r="H40" s="3">
        <v>3480</v>
      </c>
      <c r="I40" s="3">
        <v>16</v>
      </c>
      <c r="J40" s="4">
        <f t="shared" si="0"/>
        <v>4.5977011494252873E-3</v>
      </c>
    </row>
    <row r="41" spans="1:10">
      <c r="A41" s="2">
        <v>2026</v>
      </c>
      <c r="B41" s="2">
        <v>4</v>
      </c>
      <c r="C41" s="2" t="s">
        <v>17</v>
      </c>
      <c r="D41" s="2">
        <v>2</v>
      </c>
      <c r="E41" s="2">
        <v>1</v>
      </c>
      <c r="F41" s="5" t="s">
        <v>5</v>
      </c>
      <c r="G41" s="5" t="s">
        <v>20</v>
      </c>
      <c r="H41" s="3">
        <v>3480</v>
      </c>
      <c r="I41" s="3">
        <v>148</v>
      </c>
      <c r="J41" s="4">
        <f t="shared" si="0"/>
        <v>4.2528735632183907E-2</v>
      </c>
    </row>
    <row r="42" spans="1:10">
      <c r="A42" s="2">
        <v>2026</v>
      </c>
      <c r="B42" s="2">
        <v>5</v>
      </c>
      <c r="C42" s="2" t="s">
        <v>18</v>
      </c>
      <c r="D42" s="2">
        <v>2</v>
      </c>
      <c r="E42" s="2">
        <v>1</v>
      </c>
      <c r="F42" s="5" t="s">
        <v>5</v>
      </c>
      <c r="G42" s="5" t="s">
        <v>20</v>
      </c>
      <c r="H42" s="3">
        <v>3480</v>
      </c>
      <c r="I42" s="3">
        <v>231</v>
      </c>
      <c r="J42" s="4">
        <f t="shared" si="0"/>
        <v>6.637931034482758E-2</v>
      </c>
    </row>
    <row r="43" spans="1:10">
      <c r="A43" s="2">
        <v>2026</v>
      </c>
      <c r="B43" s="2">
        <v>6</v>
      </c>
      <c r="C43" s="2" t="s">
        <v>19</v>
      </c>
      <c r="D43" s="2">
        <v>2</v>
      </c>
      <c r="E43" s="2">
        <v>1</v>
      </c>
      <c r="F43" s="5" t="s">
        <v>5</v>
      </c>
      <c r="G43" s="5" t="s">
        <v>20</v>
      </c>
      <c r="H43" s="3">
        <v>3480</v>
      </c>
      <c r="I43" s="3">
        <v>618</v>
      </c>
      <c r="J43" s="4">
        <f t="shared" si="0"/>
        <v>0.17758620689655172</v>
      </c>
    </row>
    <row r="44" spans="1:10">
      <c r="A44" s="2">
        <v>2026</v>
      </c>
      <c r="B44" s="2">
        <v>7</v>
      </c>
      <c r="C44" s="2" t="s">
        <v>24</v>
      </c>
      <c r="D44" s="2">
        <v>3</v>
      </c>
      <c r="E44" s="2">
        <v>2</v>
      </c>
      <c r="F44" s="5" t="s">
        <v>5</v>
      </c>
      <c r="G44" s="5" t="s">
        <v>20</v>
      </c>
      <c r="H44" s="3">
        <v>3480</v>
      </c>
      <c r="I44" s="3"/>
      <c r="J44" s="4" t="str">
        <f t="shared" si="0"/>
        <v/>
      </c>
    </row>
    <row r="45" spans="1:10">
      <c r="A45" s="2">
        <v>2026</v>
      </c>
      <c r="B45" s="2">
        <v>8</v>
      </c>
      <c r="C45" s="2" t="s">
        <v>32</v>
      </c>
      <c r="D45" s="2">
        <v>3</v>
      </c>
      <c r="E45" s="2">
        <v>2</v>
      </c>
      <c r="F45" s="5" t="s">
        <v>5</v>
      </c>
      <c r="G45" s="5" t="s">
        <v>20</v>
      </c>
      <c r="H45" s="3">
        <v>3480</v>
      </c>
      <c r="I45" s="3"/>
      <c r="J45" s="4" t="str">
        <f t="shared" si="0"/>
        <v/>
      </c>
    </row>
    <row r="46" spans="1:10">
      <c r="A46" s="2">
        <v>2026</v>
      </c>
      <c r="B46" s="2">
        <v>9</v>
      </c>
      <c r="C46" s="2" t="s">
        <v>33</v>
      </c>
      <c r="D46" s="2">
        <v>3</v>
      </c>
      <c r="E46" s="2">
        <v>2</v>
      </c>
      <c r="F46" s="5" t="s">
        <v>5</v>
      </c>
      <c r="G46" s="5" t="s">
        <v>20</v>
      </c>
      <c r="H46" s="3">
        <v>3480</v>
      </c>
      <c r="I46" s="3"/>
      <c r="J46" s="4" t="str">
        <f t="shared" si="0"/>
        <v/>
      </c>
    </row>
    <row r="47" spans="1:10">
      <c r="A47" s="2">
        <v>2026</v>
      </c>
      <c r="B47" s="2">
        <v>10</v>
      </c>
      <c r="C47" s="2" t="s">
        <v>34</v>
      </c>
      <c r="D47" s="2">
        <v>4</v>
      </c>
      <c r="E47" s="2">
        <v>2</v>
      </c>
      <c r="F47" s="5" t="s">
        <v>5</v>
      </c>
      <c r="G47" s="5" t="s">
        <v>20</v>
      </c>
      <c r="H47" s="3">
        <v>3480</v>
      </c>
      <c r="I47" s="3"/>
      <c r="J47" s="4" t="str">
        <f t="shared" si="0"/>
        <v/>
      </c>
    </row>
    <row r="48" spans="1:10">
      <c r="A48" s="2">
        <v>2026</v>
      </c>
      <c r="B48" s="2">
        <v>11</v>
      </c>
      <c r="C48" s="2" t="s">
        <v>35</v>
      </c>
      <c r="D48" s="2">
        <v>4</v>
      </c>
      <c r="E48" s="2">
        <v>2</v>
      </c>
      <c r="F48" s="5" t="s">
        <v>5</v>
      </c>
      <c r="G48" s="5" t="s">
        <v>20</v>
      </c>
      <c r="H48" s="3">
        <v>3480</v>
      </c>
      <c r="I48" s="3"/>
      <c r="J48" s="4" t="str">
        <f t="shared" si="0"/>
        <v/>
      </c>
    </row>
    <row r="49" spans="1:10">
      <c r="A49" s="2">
        <v>2026</v>
      </c>
      <c r="B49" s="2">
        <v>12</v>
      </c>
      <c r="C49" s="2" t="s">
        <v>36</v>
      </c>
      <c r="D49" s="2">
        <v>4</v>
      </c>
      <c r="E49" s="2">
        <v>2</v>
      </c>
      <c r="F49" s="5" t="s">
        <v>5</v>
      </c>
      <c r="G49" s="5" t="s">
        <v>20</v>
      </c>
      <c r="H49" s="3">
        <v>3480</v>
      </c>
      <c r="I49" s="3"/>
      <c r="J49" s="4" t="str">
        <f t="shared" si="0"/>
        <v/>
      </c>
    </row>
    <row r="50" spans="1:10">
      <c r="A50" s="2">
        <v>2026</v>
      </c>
      <c r="B50" s="2">
        <v>1</v>
      </c>
      <c r="C50" s="2" t="s">
        <v>14</v>
      </c>
      <c r="D50" s="2">
        <v>1</v>
      </c>
      <c r="E50" s="2">
        <v>1</v>
      </c>
      <c r="F50" s="5" t="s">
        <v>6</v>
      </c>
      <c r="G50" s="5" t="s">
        <v>20</v>
      </c>
      <c r="H50" s="3">
        <v>5856</v>
      </c>
      <c r="I50" s="3">
        <v>475</v>
      </c>
      <c r="J50" s="4">
        <f t="shared" si="0"/>
        <v>8.1113387978142076E-2</v>
      </c>
    </row>
    <row r="51" spans="1:10">
      <c r="A51" s="2">
        <v>2026</v>
      </c>
      <c r="B51" s="2">
        <v>2</v>
      </c>
      <c r="C51" s="2" t="s">
        <v>15</v>
      </c>
      <c r="D51" s="2">
        <v>1</v>
      </c>
      <c r="E51" s="2">
        <v>1</v>
      </c>
      <c r="F51" s="5" t="s">
        <v>6</v>
      </c>
      <c r="G51" s="5" t="s">
        <v>20</v>
      </c>
      <c r="H51" s="3">
        <v>5856</v>
      </c>
      <c r="I51" s="3">
        <v>198</v>
      </c>
      <c r="J51" s="4">
        <f t="shared" si="0"/>
        <v>3.3811475409836068E-2</v>
      </c>
    </row>
    <row r="52" spans="1:10">
      <c r="A52" s="2">
        <v>2026</v>
      </c>
      <c r="B52" s="2">
        <v>3</v>
      </c>
      <c r="C52" s="2" t="s">
        <v>16</v>
      </c>
      <c r="D52" s="2">
        <v>1</v>
      </c>
      <c r="E52" s="2">
        <v>1</v>
      </c>
      <c r="F52" s="5" t="s">
        <v>6</v>
      </c>
      <c r="G52" s="5" t="s">
        <v>20</v>
      </c>
      <c r="H52" s="3">
        <v>5856</v>
      </c>
      <c r="I52" s="3">
        <v>139</v>
      </c>
      <c r="J52" s="4">
        <f t="shared" si="0"/>
        <v>2.3736338797814206E-2</v>
      </c>
    </row>
    <row r="53" spans="1:10">
      <c r="A53" s="2">
        <v>2026</v>
      </c>
      <c r="B53" s="2">
        <v>4</v>
      </c>
      <c r="C53" s="2" t="s">
        <v>17</v>
      </c>
      <c r="D53" s="2">
        <v>2</v>
      </c>
      <c r="E53" s="2">
        <v>1</v>
      </c>
      <c r="F53" s="5" t="s">
        <v>6</v>
      </c>
      <c r="G53" s="5" t="s">
        <v>20</v>
      </c>
      <c r="H53" s="3">
        <v>5856</v>
      </c>
      <c r="I53" s="3">
        <v>228</v>
      </c>
      <c r="J53" s="4">
        <f t="shared" si="0"/>
        <v>3.8934426229508198E-2</v>
      </c>
    </row>
    <row r="54" spans="1:10">
      <c r="A54" s="2">
        <v>2026</v>
      </c>
      <c r="B54" s="2">
        <v>5</v>
      </c>
      <c r="C54" s="2" t="s">
        <v>18</v>
      </c>
      <c r="D54" s="2">
        <v>2</v>
      </c>
      <c r="E54" s="2">
        <v>1</v>
      </c>
      <c r="F54" s="5" t="s">
        <v>6</v>
      </c>
      <c r="G54" s="5" t="s">
        <v>20</v>
      </c>
      <c r="H54" s="3">
        <v>5856</v>
      </c>
      <c r="I54" s="3">
        <v>204</v>
      </c>
      <c r="J54" s="4">
        <f t="shared" si="0"/>
        <v>3.4836065573770489E-2</v>
      </c>
    </row>
    <row r="55" spans="1:10">
      <c r="A55" s="2">
        <v>2026</v>
      </c>
      <c r="B55" s="2">
        <v>6</v>
      </c>
      <c r="C55" s="2" t="s">
        <v>19</v>
      </c>
      <c r="D55" s="2">
        <v>2</v>
      </c>
      <c r="E55" s="2">
        <v>1</v>
      </c>
      <c r="F55" s="5" t="s">
        <v>6</v>
      </c>
      <c r="G55" s="5" t="s">
        <v>20</v>
      </c>
      <c r="H55" s="3">
        <v>5856</v>
      </c>
      <c r="I55" s="3">
        <v>113</v>
      </c>
      <c r="J55" s="4">
        <f t="shared" si="0"/>
        <v>1.9296448087431695E-2</v>
      </c>
    </row>
    <row r="56" spans="1:10">
      <c r="A56" s="2">
        <v>2026</v>
      </c>
      <c r="B56" s="2">
        <v>7</v>
      </c>
      <c r="C56" s="2" t="s">
        <v>24</v>
      </c>
      <c r="D56" s="2">
        <v>3</v>
      </c>
      <c r="E56" s="2">
        <v>2</v>
      </c>
      <c r="F56" s="5" t="s">
        <v>6</v>
      </c>
      <c r="G56" s="5" t="s">
        <v>20</v>
      </c>
      <c r="H56" s="3">
        <v>5856</v>
      </c>
      <c r="I56" s="3"/>
      <c r="J56" s="4" t="str">
        <f t="shared" si="0"/>
        <v/>
      </c>
    </row>
    <row r="57" spans="1:10">
      <c r="A57" s="2">
        <v>2026</v>
      </c>
      <c r="B57" s="2">
        <v>8</v>
      </c>
      <c r="C57" s="2" t="s">
        <v>32</v>
      </c>
      <c r="D57" s="2">
        <v>3</v>
      </c>
      <c r="E57" s="2">
        <v>2</v>
      </c>
      <c r="F57" s="5" t="s">
        <v>6</v>
      </c>
      <c r="G57" s="5" t="s">
        <v>20</v>
      </c>
      <c r="H57" s="3">
        <v>5856</v>
      </c>
      <c r="I57" s="3"/>
      <c r="J57" s="4" t="str">
        <f t="shared" si="0"/>
        <v/>
      </c>
    </row>
    <row r="58" spans="1:10">
      <c r="A58" s="2">
        <v>2026</v>
      </c>
      <c r="B58" s="2">
        <v>9</v>
      </c>
      <c r="C58" s="2" t="s">
        <v>33</v>
      </c>
      <c r="D58" s="2">
        <v>3</v>
      </c>
      <c r="E58" s="2">
        <v>2</v>
      </c>
      <c r="F58" s="5" t="s">
        <v>6</v>
      </c>
      <c r="G58" s="5" t="s">
        <v>20</v>
      </c>
      <c r="H58" s="3">
        <v>5856</v>
      </c>
      <c r="I58" s="3"/>
      <c r="J58" s="4" t="str">
        <f t="shared" si="0"/>
        <v/>
      </c>
    </row>
    <row r="59" spans="1:10">
      <c r="A59" s="2">
        <v>2026</v>
      </c>
      <c r="B59" s="2">
        <v>10</v>
      </c>
      <c r="C59" s="2" t="s">
        <v>34</v>
      </c>
      <c r="D59" s="2">
        <v>4</v>
      </c>
      <c r="E59" s="2">
        <v>2</v>
      </c>
      <c r="F59" s="5" t="s">
        <v>6</v>
      </c>
      <c r="G59" s="5" t="s">
        <v>20</v>
      </c>
      <c r="H59" s="3">
        <v>5856</v>
      </c>
      <c r="I59" s="3"/>
      <c r="J59" s="4" t="str">
        <f t="shared" si="0"/>
        <v/>
      </c>
    </row>
    <row r="60" spans="1:10">
      <c r="A60" s="2">
        <v>2026</v>
      </c>
      <c r="B60" s="2">
        <v>11</v>
      </c>
      <c r="C60" s="2" t="s">
        <v>35</v>
      </c>
      <c r="D60" s="2">
        <v>4</v>
      </c>
      <c r="E60" s="2">
        <v>2</v>
      </c>
      <c r="F60" s="5" t="s">
        <v>6</v>
      </c>
      <c r="G60" s="5" t="s">
        <v>20</v>
      </c>
      <c r="H60" s="3">
        <v>5856</v>
      </c>
      <c r="I60" s="3"/>
      <c r="J60" s="4" t="str">
        <f t="shared" si="0"/>
        <v/>
      </c>
    </row>
    <row r="61" spans="1:10">
      <c r="A61" s="2">
        <v>2026</v>
      </c>
      <c r="B61" s="2">
        <v>12</v>
      </c>
      <c r="C61" s="2" t="s">
        <v>36</v>
      </c>
      <c r="D61" s="2">
        <v>4</v>
      </c>
      <c r="E61" s="2">
        <v>2</v>
      </c>
      <c r="F61" s="5" t="s">
        <v>6</v>
      </c>
      <c r="G61" s="5" t="s">
        <v>20</v>
      </c>
      <c r="H61" s="3">
        <v>5856</v>
      </c>
      <c r="I61" s="3"/>
      <c r="J61" s="4" t="str">
        <f t="shared" si="0"/>
        <v/>
      </c>
    </row>
    <row r="62" spans="1:10">
      <c r="A62" s="2">
        <v>2026</v>
      </c>
      <c r="B62" s="2">
        <v>1</v>
      </c>
      <c r="C62" s="2" t="s">
        <v>14</v>
      </c>
      <c r="D62" s="2">
        <v>1</v>
      </c>
      <c r="E62" s="2">
        <v>1</v>
      </c>
      <c r="F62" s="5" t="s">
        <v>7</v>
      </c>
      <c r="G62" s="5" t="s">
        <v>20</v>
      </c>
      <c r="H62" s="3">
        <v>19105</v>
      </c>
      <c r="I62" s="3">
        <v>1120</v>
      </c>
      <c r="J62" s="4">
        <f t="shared" si="0"/>
        <v>5.8623397016487833E-2</v>
      </c>
    </row>
    <row r="63" spans="1:10">
      <c r="A63" s="2">
        <v>2026</v>
      </c>
      <c r="B63" s="2">
        <v>2</v>
      </c>
      <c r="C63" s="2" t="s">
        <v>15</v>
      </c>
      <c r="D63" s="2">
        <v>1</v>
      </c>
      <c r="E63" s="2">
        <v>1</v>
      </c>
      <c r="F63" s="5" t="s">
        <v>7</v>
      </c>
      <c r="G63" s="5" t="s">
        <v>20</v>
      </c>
      <c r="H63" s="3">
        <v>19105</v>
      </c>
      <c r="I63" s="3">
        <v>778</v>
      </c>
      <c r="J63" s="4">
        <f t="shared" si="0"/>
        <v>4.0722323998953154E-2</v>
      </c>
    </row>
    <row r="64" spans="1:10">
      <c r="A64" s="2">
        <v>2026</v>
      </c>
      <c r="B64" s="2">
        <v>3</v>
      </c>
      <c r="C64" s="2" t="s">
        <v>16</v>
      </c>
      <c r="D64" s="2">
        <v>1</v>
      </c>
      <c r="E64" s="2">
        <v>1</v>
      </c>
      <c r="F64" s="5" t="s">
        <v>7</v>
      </c>
      <c r="G64" s="5" t="s">
        <v>20</v>
      </c>
      <c r="H64" s="3">
        <v>19105</v>
      </c>
      <c r="I64" s="3">
        <v>843</v>
      </c>
      <c r="J64" s="4">
        <f t="shared" si="0"/>
        <v>4.4124574718660034E-2</v>
      </c>
    </row>
    <row r="65" spans="1:10">
      <c r="A65" s="2">
        <v>2026</v>
      </c>
      <c r="B65" s="2">
        <v>4</v>
      </c>
      <c r="C65" s="2" t="s">
        <v>17</v>
      </c>
      <c r="D65" s="2">
        <v>2</v>
      </c>
      <c r="E65" s="2">
        <v>1</v>
      </c>
      <c r="F65" s="5" t="s">
        <v>7</v>
      </c>
      <c r="G65" s="5" t="s">
        <v>20</v>
      </c>
      <c r="H65" s="3">
        <v>19105</v>
      </c>
      <c r="I65" s="3">
        <v>770</v>
      </c>
      <c r="J65" s="4">
        <f t="shared" si="0"/>
        <v>4.0303585448835381E-2</v>
      </c>
    </row>
    <row r="66" spans="1:10">
      <c r="A66" s="2">
        <v>2026</v>
      </c>
      <c r="B66" s="2">
        <v>5</v>
      </c>
      <c r="C66" s="2" t="s">
        <v>18</v>
      </c>
      <c r="D66" s="2">
        <v>2</v>
      </c>
      <c r="E66" s="2">
        <v>1</v>
      </c>
      <c r="F66" s="5" t="s">
        <v>7</v>
      </c>
      <c r="G66" s="5" t="s">
        <v>20</v>
      </c>
      <c r="H66" s="3">
        <v>19105</v>
      </c>
      <c r="I66" s="3">
        <v>535</v>
      </c>
      <c r="J66" s="4">
        <f t="shared" ref="J66:J129" si="1">IF(I66="","",IFERROR(I66/H66,0))</f>
        <v>2.8003140539125882E-2</v>
      </c>
    </row>
    <row r="67" spans="1:10">
      <c r="A67" s="2">
        <v>2026</v>
      </c>
      <c r="B67" s="2">
        <v>6</v>
      </c>
      <c r="C67" s="2" t="s">
        <v>19</v>
      </c>
      <c r="D67" s="2">
        <v>2</v>
      </c>
      <c r="E67" s="2">
        <v>1</v>
      </c>
      <c r="F67" s="5" t="s">
        <v>7</v>
      </c>
      <c r="G67" s="5" t="s">
        <v>20</v>
      </c>
      <c r="H67" s="3">
        <v>19105</v>
      </c>
      <c r="I67" s="3">
        <v>943</v>
      </c>
      <c r="J67" s="4">
        <f t="shared" si="1"/>
        <v>4.9358806595132164E-2</v>
      </c>
    </row>
    <row r="68" spans="1:10">
      <c r="A68" s="2">
        <v>2026</v>
      </c>
      <c r="B68" s="2">
        <v>7</v>
      </c>
      <c r="C68" s="2" t="s">
        <v>24</v>
      </c>
      <c r="D68" s="2">
        <v>3</v>
      </c>
      <c r="E68" s="2">
        <v>2</v>
      </c>
      <c r="F68" s="5" t="s">
        <v>7</v>
      </c>
      <c r="G68" s="5" t="s">
        <v>20</v>
      </c>
      <c r="H68" s="3">
        <v>19105</v>
      </c>
      <c r="I68" s="3"/>
      <c r="J68" s="4" t="str">
        <f t="shared" si="1"/>
        <v/>
      </c>
    </row>
    <row r="69" spans="1:10">
      <c r="A69" s="2">
        <v>2026</v>
      </c>
      <c r="B69" s="2">
        <v>8</v>
      </c>
      <c r="C69" s="2" t="s">
        <v>32</v>
      </c>
      <c r="D69" s="2">
        <v>3</v>
      </c>
      <c r="E69" s="2">
        <v>2</v>
      </c>
      <c r="F69" s="5" t="s">
        <v>7</v>
      </c>
      <c r="G69" s="5" t="s">
        <v>20</v>
      </c>
      <c r="H69" s="3">
        <v>19105</v>
      </c>
      <c r="I69" s="3"/>
      <c r="J69" s="4" t="str">
        <f t="shared" si="1"/>
        <v/>
      </c>
    </row>
    <row r="70" spans="1:10">
      <c r="A70" s="2">
        <v>2026</v>
      </c>
      <c r="B70" s="2">
        <v>9</v>
      </c>
      <c r="C70" s="2" t="s">
        <v>33</v>
      </c>
      <c r="D70" s="2">
        <v>3</v>
      </c>
      <c r="E70" s="2">
        <v>2</v>
      </c>
      <c r="F70" s="5" t="s">
        <v>7</v>
      </c>
      <c r="G70" s="5" t="s">
        <v>20</v>
      </c>
      <c r="H70" s="3">
        <v>19105</v>
      </c>
      <c r="I70" s="3"/>
      <c r="J70" s="4" t="str">
        <f t="shared" si="1"/>
        <v/>
      </c>
    </row>
    <row r="71" spans="1:10">
      <c r="A71" s="2">
        <v>2026</v>
      </c>
      <c r="B71" s="2">
        <v>10</v>
      </c>
      <c r="C71" s="2" t="s">
        <v>34</v>
      </c>
      <c r="D71" s="2">
        <v>4</v>
      </c>
      <c r="E71" s="2">
        <v>2</v>
      </c>
      <c r="F71" s="5" t="s">
        <v>7</v>
      </c>
      <c r="G71" s="5" t="s">
        <v>20</v>
      </c>
      <c r="H71" s="3">
        <v>19105</v>
      </c>
      <c r="I71" s="3"/>
      <c r="J71" s="4" t="str">
        <f t="shared" si="1"/>
        <v/>
      </c>
    </row>
    <row r="72" spans="1:10">
      <c r="A72" s="2">
        <v>2026</v>
      </c>
      <c r="B72" s="2">
        <v>11</v>
      </c>
      <c r="C72" s="2" t="s">
        <v>35</v>
      </c>
      <c r="D72" s="2">
        <v>4</v>
      </c>
      <c r="E72" s="2">
        <v>2</v>
      </c>
      <c r="F72" s="5" t="s">
        <v>7</v>
      </c>
      <c r="G72" s="5" t="s">
        <v>20</v>
      </c>
      <c r="H72" s="3">
        <v>19105</v>
      </c>
      <c r="I72" s="3"/>
      <c r="J72" s="4" t="str">
        <f t="shared" si="1"/>
        <v/>
      </c>
    </row>
    <row r="73" spans="1:10">
      <c r="A73" s="2">
        <v>2026</v>
      </c>
      <c r="B73" s="2">
        <v>12</v>
      </c>
      <c r="C73" s="2" t="s">
        <v>36</v>
      </c>
      <c r="D73" s="2">
        <v>4</v>
      </c>
      <c r="E73" s="2">
        <v>2</v>
      </c>
      <c r="F73" s="5" t="s">
        <v>7</v>
      </c>
      <c r="G73" s="5" t="s">
        <v>20</v>
      </c>
      <c r="H73" s="3">
        <v>19105</v>
      </c>
      <c r="I73" s="3"/>
      <c r="J73" s="4" t="str">
        <f t="shared" si="1"/>
        <v/>
      </c>
    </row>
    <row r="74" spans="1:10">
      <c r="A74" s="2">
        <v>2026</v>
      </c>
      <c r="B74" s="2">
        <v>1</v>
      </c>
      <c r="C74" s="2" t="s">
        <v>14</v>
      </c>
      <c r="D74" s="2">
        <v>1</v>
      </c>
      <c r="E74" s="2">
        <v>1</v>
      </c>
      <c r="F74" s="5" t="s">
        <v>8</v>
      </c>
      <c r="G74" s="5" t="s">
        <v>20</v>
      </c>
      <c r="H74" s="3">
        <v>3923</v>
      </c>
      <c r="I74" s="3">
        <v>48</v>
      </c>
      <c r="J74" s="4">
        <f t="shared" si="1"/>
        <v>1.2235534030079022E-2</v>
      </c>
    </row>
    <row r="75" spans="1:10">
      <c r="A75" s="2">
        <v>2026</v>
      </c>
      <c r="B75" s="2">
        <v>2</v>
      </c>
      <c r="C75" s="2" t="s">
        <v>15</v>
      </c>
      <c r="D75" s="2">
        <v>1</v>
      </c>
      <c r="E75" s="2">
        <v>1</v>
      </c>
      <c r="F75" s="5" t="s">
        <v>8</v>
      </c>
      <c r="G75" s="5" t="s">
        <v>20</v>
      </c>
      <c r="H75" s="3">
        <v>3923</v>
      </c>
      <c r="I75" s="3">
        <v>70</v>
      </c>
      <c r="J75" s="4">
        <f t="shared" si="1"/>
        <v>1.7843487127198573E-2</v>
      </c>
    </row>
    <row r="76" spans="1:10">
      <c r="A76" s="2">
        <v>2026</v>
      </c>
      <c r="B76" s="2">
        <v>3</v>
      </c>
      <c r="C76" s="2" t="s">
        <v>16</v>
      </c>
      <c r="D76" s="2">
        <v>1</v>
      </c>
      <c r="E76" s="2">
        <v>1</v>
      </c>
      <c r="F76" s="5" t="s">
        <v>8</v>
      </c>
      <c r="G76" s="5" t="s">
        <v>20</v>
      </c>
      <c r="H76" s="3">
        <v>3923</v>
      </c>
      <c r="I76" s="3">
        <v>231</v>
      </c>
      <c r="J76" s="4">
        <f t="shared" si="1"/>
        <v>5.8883507519755289E-2</v>
      </c>
    </row>
    <row r="77" spans="1:10">
      <c r="A77" s="2">
        <v>2026</v>
      </c>
      <c r="B77" s="2">
        <v>4</v>
      </c>
      <c r="C77" s="2" t="s">
        <v>17</v>
      </c>
      <c r="D77" s="2">
        <v>2</v>
      </c>
      <c r="E77" s="2">
        <v>1</v>
      </c>
      <c r="F77" s="5" t="s">
        <v>8</v>
      </c>
      <c r="G77" s="5" t="s">
        <v>20</v>
      </c>
      <c r="H77" s="3">
        <v>3923</v>
      </c>
      <c r="I77" s="3">
        <v>257</v>
      </c>
      <c r="J77" s="4">
        <f t="shared" si="1"/>
        <v>6.5511088452714764E-2</v>
      </c>
    </row>
    <row r="78" spans="1:10">
      <c r="A78" s="2">
        <v>2026</v>
      </c>
      <c r="B78" s="2">
        <v>5</v>
      </c>
      <c r="C78" s="2" t="s">
        <v>18</v>
      </c>
      <c r="D78" s="2">
        <v>2</v>
      </c>
      <c r="E78" s="2">
        <v>1</v>
      </c>
      <c r="F78" s="5" t="s">
        <v>8</v>
      </c>
      <c r="G78" s="5" t="s">
        <v>20</v>
      </c>
      <c r="H78" s="3">
        <v>3923</v>
      </c>
      <c r="I78" s="3">
        <v>311</v>
      </c>
      <c r="J78" s="4">
        <f t="shared" si="1"/>
        <v>7.9276064236553659E-2</v>
      </c>
    </row>
    <row r="79" spans="1:10">
      <c r="A79" s="2">
        <v>2026</v>
      </c>
      <c r="B79" s="2">
        <v>6</v>
      </c>
      <c r="C79" s="2" t="s">
        <v>19</v>
      </c>
      <c r="D79" s="2">
        <v>2</v>
      </c>
      <c r="E79" s="2">
        <v>1</v>
      </c>
      <c r="F79" s="5" t="s">
        <v>8</v>
      </c>
      <c r="G79" s="5" t="s">
        <v>20</v>
      </c>
      <c r="H79" s="3">
        <v>3923</v>
      </c>
      <c r="I79" s="3">
        <v>55</v>
      </c>
      <c r="J79" s="4">
        <f t="shared" si="1"/>
        <v>1.4019882742798879E-2</v>
      </c>
    </row>
    <row r="80" spans="1:10">
      <c r="A80" s="2">
        <v>2026</v>
      </c>
      <c r="B80" s="2">
        <v>7</v>
      </c>
      <c r="C80" s="2" t="s">
        <v>24</v>
      </c>
      <c r="D80" s="2">
        <v>3</v>
      </c>
      <c r="E80" s="2">
        <v>2</v>
      </c>
      <c r="F80" s="5" t="s">
        <v>8</v>
      </c>
      <c r="G80" s="5" t="s">
        <v>20</v>
      </c>
      <c r="H80" s="3">
        <v>3923</v>
      </c>
      <c r="I80" s="3"/>
      <c r="J80" s="4" t="str">
        <f t="shared" si="1"/>
        <v/>
      </c>
    </row>
    <row r="81" spans="1:10">
      <c r="A81" s="2">
        <v>2026</v>
      </c>
      <c r="B81" s="2">
        <v>8</v>
      </c>
      <c r="C81" s="2" t="s">
        <v>32</v>
      </c>
      <c r="D81" s="2">
        <v>3</v>
      </c>
      <c r="E81" s="2">
        <v>2</v>
      </c>
      <c r="F81" s="5" t="s">
        <v>8</v>
      </c>
      <c r="G81" s="5" t="s">
        <v>20</v>
      </c>
      <c r="H81" s="3">
        <v>3923</v>
      </c>
      <c r="I81" s="3"/>
      <c r="J81" s="4" t="str">
        <f t="shared" si="1"/>
        <v/>
      </c>
    </row>
    <row r="82" spans="1:10">
      <c r="A82" s="2">
        <v>2026</v>
      </c>
      <c r="B82" s="2">
        <v>9</v>
      </c>
      <c r="C82" s="2" t="s">
        <v>33</v>
      </c>
      <c r="D82" s="2">
        <v>3</v>
      </c>
      <c r="E82" s="2">
        <v>2</v>
      </c>
      <c r="F82" s="5" t="s">
        <v>8</v>
      </c>
      <c r="G82" s="5" t="s">
        <v>20</v>
      </c>
      <c r="H82" s="3">
        <v>3923</v>
      </c>
      <c r="I82" s="3"/>
      <c r="J82" s="4" t="str">
        <f t="shared" si="1"/>
        <v/>
      </c>
    </row>
    <row r="83" spans="1:10">
      <c r="A83" s="2">
        <v>2026</v>
      </c>
      <c r="B83" s="2">
        <v>10</v>
      </c>
      <c r="C83" s="2" t="s">
        <v>34</v>
      </c>
      <c r="D83" s="2">
        <v>4</v>
      </c>
      <c r="E83" s="2">
        <v>2</v>
      </c>
      <c r="F83" s="5" t="s">
        <v>8</v>
      </c>
      <c r="G83" s="5" t="s">
        <v>20</v>
      </c>
      <c r="H83" s="3">
        <v>3923</v>
      </c>
      <c r="I83" s="3"/>
      <c r="J83" s="4" t="str">
        <f t="shared" si="1"/>
        <v/>
      </c>
    </row>
    <row r="84" spans="1:10">
      <c r="A84" s="2">
        <v>2026</v>
      </c>
      <c r="B84" s="2">
        <v>11</v>
      </c>
      <c r="C84" s="2" t="s">
        <v>35</v>
      </c>
      <c r="D84" s="2">
        <v>4</v>
      </c>
      <c r="E84" s="2">
        <v>2</v>
      </c>
      <c r="F84" s="5" t="s">
        <v>8</v>
      </c>
      <c r="G84" s="5" t="s">
        <v>20</v>
      </c>
      <c r="H84" s="3">
        <v>3923</v>
      </c>
      <c r="I84" s="3"/>
      <c r="J84" s="4" t="str">
        <f t="shared" si="1"/>
        <v/>
      </c>
    </row>
    <row r="85" spans="1:10">
      <c r="A85" s="2">
        <v>2026</v>
      </c>
      <c r="B85" s="2">
        <v>12</v>
      </c>
      <c r="C85" s="2" t="s">
        <v>36</v>
      </c>
      <c r="D85" s="2">
        <v>4</v>
      </c>
      <c r="E85" s="2">
        <v>2</v>
      </c>
      <c r="F85" s="5" t="s">
        <v>8</v>
      </c>
      <c r="G85" s="5" t="s">
        <v>20</v>
      </c>
      <c r="H85" s="3">
        <v>3923</v>
      </c>
      <c r="I85" s="3"/>
      <c r="J85" s="4" t="str">
        <f t="shared" si="1"/>
        <v/>
      </c>
    </row>
    <row r="86" spans="1:10">
      <c r="A86" s="2">
        <v>2026</v>
      </c>
      <c r="B86" s="2">
        <v>1</v>
      </c>
      <c r="C86" s="2" t="s">
        <v>14</v>
      </c>
      <c r="D86" s="2">
        <v>1</v>
      </c>
      <c r="E86" s="2">
        <v>1</v>
      </c>
      <c r="F86" s="5" t="s">
        <v>9</v>
      </c>
      <c r="G86" s="5" t="s">
        <v>20</v>
      </c>
      <c r="H86" s="3">
        <v>10052</v>
      </c>
      <c r="I86" s="3">
        <v>114</v>
      </c>
      <c r="J86" s="4">
        <f t="shared" si="1"/>
        <v>1.1341026661360923E-2</v>
      </c>
    </row>
    <row r="87" spans="1:10">
      <c r="A87" s="2">
        <v>2026</v>
      </c>
      <c r="B87" s="2">
        <v>2</v>
      </c>
      <c r="C87" s="2" t="s">
        <v>15</v>
      </c>
      <c r="D87" s="2">
        <v>1</v>
      </c>
      <c r="E87" s="2">
        <v>1</v>
      </c>
      <c r="F87" s="5" t="s">
        <v>9</v>
      </c>
      <c r="G87" s="5" t="s">
        <v>20</v>
      </c>
      <c r="H87" s="3">
        <v>10052</v>
      </c>
      <c r="I87" s="3">
        <v>106</v>
      </c>
      <c r="J87" s="4">
        <f t="shared" si="1"/>
        <v>1.054516514126542E-2</v>
      </c>
    </row>
    <row r="88" spans="1:10">
      <c r="A88" s="2">
        <v>2026</v>
      </c>
      <c r="B88" s="2">
        <v>3</v>
      </c>
      <c r="C88" s="2" t="s">
        <v>16</v>
      </c>
      <c r="D88" s="2">
        <v>1</v>
      </c>
      <c r="E88" s="2">
        <v>1</v>
      </c>
      <c r="F88" s="5" t="s">
        <v>9</v>
      </c>
      <c r="G88" s="5" t="s">
        <v>20</v>
      </c>
      <c r="H88" s="3">
        <v>10052</v>
      </c>
      <c r="I88" s="3">
        <v>148</v>
      </c>
      <c r="J88" s="4">
        <f t="shared" si="1"/>
        <v>1.4723438121766812E-2</v>
      </c>
    </row>
    <row r="89" spans="1:10">
      <c r="A89" s="2">
        <v>2026</v>
      </c>
      <c r="B89" s="2">
        <v>4</v>
      </c>
      <c r="C89" s="2" t="s">
        <v>17</v>
      </c>
      <c r="D89" s="2">
        <v>2</v>
      </c>
      <c r="E89" s="2">
        <v>1</v>
      </c>
      <c r="F89" s="5" t="s">
        <v>9</v>
      </c>
      <c r="G89" s="5" t="s">
        <v>20</v>
      </c>
      <c r="H89" s="3">
        <v>10052</v>
      </c>
      <c r="I89" s="3">
        <v>941</v>
      </c>
      <c r="J89" s="4">
        <f t="shared" si="1"/>
        <v>9.3613211301233581E-2</v>
      </c>
    </row>
    <row r="90" spans="1:10">
      <c r="A90" s="2">
        <v>2026</v>
      </c>
      <c r="B90" s="2">
        <v>5</v>
      </c>
      <c r="C90" s="2" t="s">
        <v>18</v>
      </c>
      <c r="D90" s="2">
        <v>2</v>
      </c>
      <c r="E90" s="2">
        <v>1</v>
      </c>
      <c r="F90" s="5" t="s">
        <v>9</v>
      </c>
      <c r="G90" s="5" t="s">
        <v>20</v>
      </c>
      <c r="H90" s="3">
        <v>10052</v>
      </c>
      <c r="I90" s="3">
        <v>122</v>
      </c>
      <c r="J90" s="4">
        <f t="shared" si="1"/>
        <v>1.2136888181456426E-2</v>
      </c>
    </row>
    <row r="91" spans="1:10">
      <c r="A91" s="2">
        <v>2026</v>
      </c>
      <c r="B91" s="2">
        <v>6</v>
      </c>
      <c r="C91" s="2" t="s">
        <v>19</v>
      </c>
      <c r="D91" s="2">
        <v>2</v>
      </c>
      <c r="E91" s="2">
        <v>1</v>
      </c>
      <c r="F91" s="5" t="s">
        <v>9</v>
      </c>
      <c r="G91" s="5" t="s">
        <v>20</v>
      </c>
      <c r="H91" s="3">
        <v>10052</v>
      </c>
      <c r="I91" s="3">
        <v>122</v>
      </c>
      <c r="J91" s="4">
        <f t="shared" si="1"/>
        <v>1.2136888181456426E-2</v>
      </c>
    </row>
    <row r="92" spans="1:10">
      <c r="A92" s="2">
        <v>2026</v>
      </c>
      <c r="B92" s="2">
        <v>7</v>
      </c>
      <c r="C92" s="2" t="s">
        <v>24</v>
      </c>
      <c r="D92" s="2">
        <v>3</v>
      </c>
      <c r="E92" s="2">
        <v>2</v>
      </c>
      <c r="F92" s="5" t="s">
        <v>9</v>
      </c>
      <c r="G92" s="5" t="s">
        <v>20</v>
      </c>
      <c r="H92" s="3">
        <v>10052</v>
      </c>
      <c r="I92" s="3"/>
      <c r="J92" s="4" t="str">
        <f t="shared" si="1"/>
        <v/>
      </c>
    </row>
    <row r="93" spans="1:10">
      <c r="A93" s="2">
        <v>2026</v>
      </c>
      <c r="B93" s="2">
        <v>8</v>
      </c>
      <c r="C93" s="2" t="s">
        <v>32</v>
      </c>
      <c r="D93" s="2">
        <v>3</v>
      </c>
      <c r="E93" s="2">
        <v>2</v>
      </c>
      <c r="F93" s="5" t="s">
        <v>9</v>
      </c>
      <c r="G93" s="5" t="s">
        <v>20</v>
      </c>
      <c r="H93" s="3">
        <v>10052</v>
      </c>
      <c r="I93" s="3"/>
      <c r="J93" s="4" t="str">
        <f t="shared" si="1"/>
        <v/>
      </c>
    </row>
    <row r="94" spans="1:10">
      <c r="A94" s="2">
        <v>2026</v>
      </c>
      <c r="B94" s="2">
        <v>9</v>
      </c>
      <c r="C94" s="2" t="s">
        <v>33</v>
      </c>
      <c r="D94" s="2">
        <v>3</v>
      </c>
      <c r="E94" s="2">
        <v>2</v>
      </c>
      <c r="F94" s="5" t="s">
        <v>9</v>
      </c>
      <c r="G94" s="5" t="s">
        <v>20</v>
      </c>
      <c r="H94" s="3">
        <v>10052</v>
      </c>
      <c r="I94" s="3"/>
      <c r="J94" s="4" t="str">
        <f t="shared" si="1"/>
        <v/>
      </c>
    </row>
    <row r="95" spans="1:10">
      <c r="A95" s="2">
        <v>2026</v>
      </c>
      <c r="B95" s="2">
        <v>10</v>
      </c>
      <c r="C95" s="2" t="s">
        <v>34</v>
      </c>
      <c r="D95" s="2">
        <v>4</v>
      </c>
      <c r="E95" s="2">
        <v>2</v>
      </c>
      <c r="F95" s="5" t="s">
        <v>9</v>
      </c>
      <c r="G95" s="5" t="s">
        <v>20</v>
      </c>
      <c r="H95" s="3">
        <v>10052</v>
      </c>
      <c r="I95" s="3"/>
      <c r="J95" s="4" t="str">
        <f t="shared" si="1"/>
        <v/>
      </c>
    </row>
    <row r="96" spans="1:10">
      <c r="A96" s="2">
        <v>2026</v>
      </c>
      <c r="B96" s="2">
        <v>11</v>
      </c>
      <c r="C96" s="2" t="s">
        <v>35</v>
      </c>
      <c r="D96" s="2">
        <v>4</v>
      </c>
      <c r="E96" s="2">
        <v>2</v>
      </c>
      <c r="F96" s="5" t="s">
        <v>9</v>
      </c>
      <c r="G96" s="5" t="s">
        <v>20</v>
      </c>
      <c r="H96" s="3">
        <v>10052</v>
      </c>
      <c r="I96" s="3"/>
      <c r="J96" s="4" t="str">
        <f t="shared" si="1"/>
        <v/>
      </c>
    </row>
    <row r="97" spans="1:10">
      <c r="A97" s="2">
        <v>2026</v>
      </c>
      <c r="B97" s="2">
        <v>12</v>
      </c>
      <c r="C97" s="2" t="s">
        <v>36</v>
      </c>
      <c r="D97" s="2">
        <v>4</v>
      </c>
      <c r="E97" s="2">
        <v>2</v>
      </c>
      <c r="F97" s="5" t="s">
        <v>9</v>
      </c>
      <c r="G97" s="5" t="s">
        <v>20</v>
      </c>
      <c r="H97" s="3">
        <v>10052</v>
      </c>
      <c r="I97" s="3"/>
      <c r="J97" s="4" t="str">
        <f t="shared" si="1"/>
        <v/>
      </c>
    </row>
    <row r="98" spans="1:10">
      <c r="A98" s="2">
        <v>2026</v>
      </c>
      <c r="B98" s="2">
        <v>1</v>
      </c>
      <c r="C98" s="2" t="s">
        <v>14</v>
      </c>
      <c r="D98" s="2">
        <v>1</v>
      </c>
      <c r="E98" s="2">
        <v>1</v>
      </c>
      <c r="F98" s="5" t="s">
        <v>10</v>
      </c>
      <c r="G98" s="5" t="s">
        <v>20</v>
      </c>
      <c r="H98" s="3">
        <v>7502</v>
      </c>
      <c r="I98" s="3">
        <v>0</v>
      </c>
      <c r="J98" s="4">
        <f t="shared" si="1"/>
        <v>0</v>
      </c>
    </row>
    <row r="99" spans="1:10">
      <c r="A99" s="2">
        <v>2026</v>
      </c>
      <c r="B99" s="2">
        <v>2</v>
      </c>
      <c r="C99" s="2" t="s">
        <v>15</v>
      </c>
      <c r="D99" s="2">
        <v>1</v>
      </c>
      <c r="E99" s="2">
        <v>1</v>
      </c>
      <c r="F99" s="5" t="s">
        <v>10</v>
      </c>
      <c r="G99" s="5" t="s">
        <v>20</v>
      </c>
      <c r="H99" s="3">
        <v>7502</v>
      </c>
      <c r="I99" s="3">
        <v>1493</v>
      </c>
      <c r="J99" s="4">
        <f t="shared" si="1"/>
        <v>0.19901359637430019</v>
      </c>
    </row>
    <row r="100" spans="1:10">
      <c r="A100" s="2">
        <v>2026</v>
      </c>
      <c r="B100" s="2">
        <v>3</v>
      </c>
      <c r="C100" s="2" t="s">
        <v>16</v>
      </c>
      <c r="D100" s="2">
        <v>1</v>
      </c>
      <c r="E100" s="2">
        <v>1</v>
      </c>
      <c r="F100" s="5" t="s">
        <v>10</v>
      </c>
      <c r="G100" s="5" t="s">
        <v>20</v>
      </c>
      <c r="H100" s="3">
        <v>7502</v>
      </c>
      <c r="I100" s="3">
        <v>15</v>
      </c>
      <c r="J100" s="4">
        <f t="shared" si="1"/>
        <v>1.9994668088509733E-3</v>
      </c>
    </row>
    <row r="101" spans="1:10">
      <c r="A101" s="2">
        <v>2026</v>
      </c>
      <c r="B101" s="2">
        <v>4</v>
      </c>
      <c r="C101" s="2" t="s">
        <v>17</v>
      </c>
      <c r="D101" s="2">
        <v>2</v>
      </c>
      <c r="E101" s="2">
        <v>1</v>
      </c>
      <c r="F101" s="5" t="s">
        <v>10</v>
      </c>
      <c r="G101" s="5" t="s">
        <v>20</v>
      </c>
      <c r="H101" s="3">
        <v>7502</v>
      </c>
      <c r="I101" s="3">
        <v>1082</v>
      </c>
      <c r="J101" s="4">
        <f t="shared" si="1"/>
        <v>0.14422820581178353</v>
      </c>
    </row>
    <row r="102" spans="1:10">
      <c r="A102" s="2">
        <v>2026</v>
      </c>
      <c r="B102" s="2">
        <v>5</v>
      </c>
      <c r="C102" s="2" t="s">
        <v>18</v>
      </c>
      <c r="D102" s="2">
        <v>2</v>
      </c>
      <c r="E102" s="2">
        <v>1</v>
      </c>
      <c r="F102" s="5" t="s">
        <v>10</v>
      </c>
      <c r="G102" s="5" t="s">
        <v>20</v>
      </c>
      <c r="H102" s="3">
        <v>7502</v>
      </c>
      <c r="I102" s="3">
        <v>980</v>
      </c>
      <c r="J102" s="4">
        <f t="shared" si="1"/>
        <v>0.13063183151159691</v>
      </c>
    </row>
    <row r="103" spans="1:10">
      <c r="A103" s="2">
        <v>2026</v>
      </c>
      <c r="B103" s="2">
        <v>6</v>
      </c>
      <c r="C103" s="2" t="s">
        <v>19</v>
      </c>
      <c r="D103" s="2">
        <v>2</v>
      </c>
      <c r="E103" s="2">
        <v>1</v>
      </c>
      <c r="F103" s="5" t="s">
        <v>10</v>
      </c>
      <c r="G103" s="5" t="s">
        <v>20</v>
      </c>
      <c r="H103" s="3">
        <v>7502</v>
      </c>
      <c r="I103" s="3">
        <v>587</v>
      </c>
      <c r="J103" s="4">
        <f t="shared" si="1"/>
        <v>7.8245801119701419E-2</v>
      </c>
    </row>
    <row r="104" spans="1:10">
      <c r="A104" s="2">
        <v>2026</v>
      </c>
      <c r="B104" s="2">
        <v>7</v>
      </c>
      <c r="C104" s="2" t="s">
        <v>24</v>
      </c>
      <c r="D104" s="2">
        <v>3</v>
      </c>
      <c r="E104" s="2">
        <v>2</v>
      </c>
      <c r="F104" s="5" t="s">
        <v>10</v>
      </c>
      <c r="G104" s="5" t="s">
        <v>20</v>
      </c>
      <c r="H104" s="3">
        <v>7502</v>
      </c>
      <c r="I104" s="3"/>
      <c r="J104" s="4" t="str">
        <f t="shared" si="1"/>
        <v/>
      </c>
    </row>
    <row r="105" spans="1:10">
      <c r="A105" s="2">
        <v>2026</v>
      </c>
      <c r="B105" s="2">
        <v>8</v>
      </c>
      <c r="C105" s="2" t="s">
        <v>32</v>
      </c>
      <c r="D105" s="2">
        <v>3</v>
      </c>
      <c r="E105" s="2">
        <v>2</v>
      </c>
      <c r="F105" s="5" t="s">
        <v>10</v>
      </c>
      <c r="G105" s="5" t="s">
        <v>20</v>
      </c>
      <c r="H105" s="3">
        <v>7502</v>
      </c>
      <c r="I105" s="3"/>
      <c r="J105" s="4" t="str">
        <f t="shared" si="1"/>
        <v/>
      </c>
    </row>
    <row r="106" spans="1:10">
      <c r="A106" s="2">
        <v>2026</v>
      </c>
      <c r="B106" s="2">
        <v>9</v>
      </c>
      <c r="C106" s="2" t="s">
        <v>33</v>
      </c>
      <c r="D106" s="2">
        <v>3</v>
      </c>
      <c r="E106" s="2">
        <v>2</v>
      </c>
      <c r="F106" s="5" t="s">
        <v>10</v>
      </c>
      <c r="G106" s="5" t="s">
        <v>20</v>
      </c>
      <c r="H106" s="3">
        <v>7502</v>
      </c>
      <c r="I106" s="3"/>
      <c r="J106" s="4" t="str">
        <f t="shared" si="1"/>
        <v/>
      </c>
    </row>
    <row r="107" spans="1:10">
      <c r="A107" s="2">
        <v>2026</v>
      </c>
      <c r="B107" s="2">
        <v>10</v>
      </c>
      <c r="C107" s="2" t="s">
        <v>34</v>
      </c>
      <c r="D107" s="2">
        <v>4</v>
      </c>
      <c r="E107" s="2">
        <v>2</v>
      </c>
      <c r="F107" s="5" t="s">
        <v>10</v>
      </c>
      <c r="G107" s="5" t="s">
        <v>20</v>
      </c>
      <c r="H107" s="3">
        <v>7502</v>
      </c>
      <c r="I107" s="3"/>
      <c r="J107" s="4" t="str">
        <f t="shared" si="1"/>
        <v/>
      </c>
    </row>
    <row r="108" spans="1:10">
      <c r="A108" s="2">
        <v>2026</v>
      </c>
      <c r="B108" s="2">
        <v>11</v>
      </c>
      <c r="C108" s="2" t="s">
        <v>35</v>
      </c>
      <c r="D108" s="2">
        <v>4</v>
      </c>
      <c r="E108" s="2">
        <v>2</v>
      </c>
      <c r="F108" s="5" t="s">
        <v>10</v>
      </c>
      <c r="G108" s="5" t="s">
        <v>20</v>
      </c>
      <c r="H108" s="3">
        <v>7502</v>
      </c>
      <c r="I108" s="3"/>
      <c r="J108" s="4" t="str">
        <f t="shared" si="1"/>
        <v/>
      </c>
    </row>
    <row r="109" spans="1:10">
      <c r="A109" s="2">
        <v>2026</v>
      </c>
      <c r="B109" s="2">
        <v>12</v>
      </c>
      <c r="C109" s="2" t="s">
        <v>36</v>
      </c>
      <c r="D109" s="2">
        <v>4</v>
      </c>
      <c r="E109" s="2">
        <v>2</v>
      </c>
      <c r="F109" s="5" t="s">
        <v>10</v>
      </c>
      <c r="G109" s="5" t="s">
        <v>20</v>
      </c>
      <c r="H109" s="3">
        <v>7502</v>
      </c>
      <c r="I109" s="3"/>
      <c r="J109" s="4" t="str">
        <f t="shared" si="1"/>
        <v/>
      </c>
    </row>
    <row r="110" spans="1:10">
      <c r="A110" s="2">
        <v>2026</v>
      </c>
      <c r="B110" s="2">
        <v>1</v>
      </c>
      <c r="C110" s="2" t="s">
        <v>14</v>
      </c>
      <c r="D110" s="2">
        <v>1</v>
      </c>
      <c r="E110" s="2">
        <v>1</v>
      </c>
      <c r="F110" s="5" t="s">
        <v>11</v>
      </c>
      <c r="G110" s="5" t="s">
        <v>20</v>
      </c>
      <c r="H110" s="3">
        <v>16392</v>
      </c>
      <c r="I110" s="3">
        <v>138</v>
      </c>
      <c r="J110" s="4">
        <f t="shared" si="1"/>
        <v>8.4187408491947294E-3</v>
      </c>
    </row>
    <row r="111" spans="1:10">
      <c r="A111" s="2">
        <v>2026</v>
      </c>
      <c r="B111" s="2">
        <v>2</v>
      </c>
      <c r="C111" s="2" t="s">
        <v>15</v>
      </c>
      <c r="D111" s="2">
        <v>1</v>
      </c>
      <c r="E111" s="2">
        <v>1</v>
      </c>
      <c r="F111" s="5" t="s">
        <v>11</v>
      </c>
      <c r="G111" s="5" t="s">
        <v>20</v>
      </c>
      <c r="H111" s="3">
        <v>16392</v>
      </c>
      <c r="I111" s="3">
        <v>108</v>
      </c>
      <c r="J111" s="4">
        <f t="shared" si="1"/>
        <v>6.5885797950219621E-3</v>
      </c>
    </row>
    <row r="112" spans="1:10">
      <c r="A112" s="2">
        <v>2026</v>
      </c>
      <c r="B112" s="2">
        <v>3</v>
      </c>
      <c r="C112" s="2" t="s">
        <v>16</v>
      </c>
      <c r="D112" s="2">
        <v>1</v>
      </c>
      <c r="E112" s="2">
        <v>1</v>
      </c>
      <c r="F112" s="5" t="s">
        <v>11</v>
      </c>
      <c r="G112" s="5" t="s">
        <v>20</v>
      </c>
      <c r="H112" s="3">
        <v>16392</v>
      </c>
      <c r="I112" s="3">
        <v>121</v>
      </c>
      <c r="J112" s="4">
        <f t="shared" si="1"/>
        <v>7.3816495851634946E-3</v>
      </c>
    </row>
    <row r="113" spans="1:10">
      <c r="A113" s="2">
        <v>2026</v>
      </c>
      <c r="B113" s="2">
        <v>4</v>
      </c>
      <c r="C113" s="2" t="s">
        <v>17</v>
      </c>
      <c r="D113" s="2">
        <v>2</v>
      </c>
      <c r="E113" s="2">
        <v>1</v>
      </c>
      <c r="F113" s="5" t="s">
        <v>11</v>
      </c>
      <c r="G113" s="5" t="s">
        <v>20</v>
      </c>
      <c r="H113" s="3">
        <v>16392</v>
      </c>
      <c r="I113" s="3">
        <v>1218</v>
      </c>
      <c r="J113" s="4">
        <f t="shared" si="1"/>
        <v>7.4304538799414344E-2</v>
      </c>
    </row>
    <row r="114" spans="1:10">
      <c r="A114" s="2">
        <v>2026</v>
      </c>
      <c r="B114" s="2">
        <v>5</v>
      </c>
      <c r="C114" s="2" t="s">
        <v>18</v>
      </c>
      <c r="D114" s="2">
        <v>2</v>
      </c>
      <c r="E114" s="2">
        <v>1</v>
      </c>
      <c r="F114" s="5" t="s">
        <v>11</v>
      </c>
      <c r="G114" s="5" t="s">
        <v>20</v>
      </c>
      <c r="H114" s="3">
        <v>16392</v>
      </c>
      <c r="I114" s="3">
        <v>342</v>
      </c>
      <c r="J114" s="4">
        <f t="shared" si="1"/>
        <v>2.0863836017569547E-2</v>
      </c>
    </row>
    <row r="115" spans="1:10">
      <c r="A115" s="2">
        <v>2026</v>
      </c>
      <c r="B115" s="2">
        <v>6</v>
      </c>
      <c r="C115" s="2" t="s">
        <v>19</v>
      </c>
      <c r="D115" s="2">
        <v>2</v>
      </c>
      <c r="E115" s="2">
        <v>1</v>
      </c>
      <c r="F115" s="5" t="s">
        <v>11</v>
      </c>
      <c r="G115" s="5" t="s">
        <v>20</v>
      </c>
      <c r="H115" s="3">
        <v>16392</v>
      </c>
      <c r="I115" s="3">
        <v>13</v>
      </c>
      <c r="J115" s="4">
        <f t="shared" si="1"/>
        <v>7.9306979014153248E-4</v>
      </c>
    </row>
    <row r="116" spans="1:10">
      <c r="A116" s="2">
        <v>2026</v>
      </c>
      <c r="B116" s="2">
        <v>7</v>
      </c>
      <c r="C116" s="2" t="s">
        <v>24</v>
      </c>
      <c r="D116" s="2">
        <v>3</v>
      </c>
      <c r="E116" s="2">
        <v>2</v>
      </c>
      <c r="F116" s="5" t="s">
        <v>11</v>
      </c>
      <c r="G116" s="5" t="s">
        <v>20</v>
      </c>
      <c r="H116" s="3">
        <v>16392</v>
      </c>
      <c r="I116" s="3"/>
      <c r="J116" s="4" t="str">
        <f t="shared" si="1"/>
        <v/>
      </c>
    </row>
    <row r="117" spans="1:10">
      <c r="A117" s="2">
        <v>2026</v>
      </c>
      <c r="B117" s="2">
        <v>8</v>
      </c>
      <c r="C117" s="2" t="s">
        <v>32</v>
      </c>
      <c r="D117" s="2">
        <v>3</v>
      </c>
      <c r="E117" s="2">
        <v>2</v>
      </c>
      <c r="F117" s="5" t="s">
        <v>11</v>
      </c>
      <c r="G117" s="5" t="s">
        <v>20</v>
      </c>
      <c r="H117" s="3">
        <v>16392</v>
      </c>
      <c r="I117" s="3"/>
      <c r="J117" s="4" t="str">
        <f t="shared" si="1"/>
        <v/>
      </c>
    </row>
    <row r="118" spans="1:10">
      <c r="A118" s="2">
        <v>2026</v>
      </c>
      <c r="B118" s="2">
        <v>9</v>
      </c>
      <c r="C118" s="2" t="s">
        <v>33</v>
      </c>
      <c r="D118" s="2">
        <v>3</v>
      </c>
      <c r="E118" s="2">
        <v>2</v>
      </c>
      <c r="F118" s="5" t="s">
        <v>11</v>
      </c>
      <c r="G118" s="5" t="s">
        <v>20</v>
      </c>
      <c r="H118" s="3">
        <v>16392</v>
      </c>
      <c r="I118" s="3"/>
      <c r="J118" s="4" t="str">
        <f t="shared" si="1"/>
        <v/>
      </c>
    </row>
    <row r="119" spans="1:10">
      <c r="A119" s="2">
        <v>2026</v>
      </c>
      <c r="B119" s="2">
        <v>10</v>
      </c>
      <c r="C119" s="2" t="s">
        <v>34</v>
      </c>
      <c r="D119" s="2">
        <v>4</v>
      </c>
      <c r="E119" s="2">
        <v>2</v>
      </c>
      <c r="F119" s="5" t="s">
        <v>11</v>
      </c>
      <c r="G119" s="5" t="s">
        <v>20</v>
      </c>
      <c r="H119" s="3">
        <v>16392</v>
      </c>
      <c r="I119" s="3"/>
      <c r="J119" s="4" t="str">
        <f t="shared" si="1"/>
        <v/>
      </c>
    </row>
    <row r="120" spans="1:10">
      <c r="A120" s="2">
        <v>2026</v>
      </c>
      <c r="B120" s="2">
        <v>11</v>
      </c>
      <c r="C120" s="2" t="s">
        <v>35</v>
      </c>
      <c r="D120" s="2">
        <v>4</v>
      </c>
      <c r="E120" s="2">
        <v>2</v>
      </c>
      <c r="F120" s="5" t="s">
        <v>11</v>
      </c>
      <c r="G120" s="5" t="s">
        <v>20</v>
      </c>
      <c r="H120" s="3">
        <v>16392</v>
      </c>
      <c r="I120" s="3"/>
      <c r="J120" s="4" t="str">
        <f t="shared" si="1"/>
        <v/>
      </c>
    </row>
    <row r="121" spans="1:10">
      <c r="A121" s="2">
        <v>2026</v>
      </c>
      <c r="B121" s="2">
        <v>12</v>
      </c>
      <c r="C121" s="2" t="s">
        <v>36</v>
      </c>
      <c r="D121" s="2">
        <v>4</v>
      </c>
      <c r="E121" s="2">
        <v>2</v>
      </c>
      <c r="F121" s="5" t="s">
        <v>11</v>
      </c>
      <c r="G121" s="5" t="s">
        <v>20</v>
      </c>
      <c r="H121" s="3">
        <v>16392</v>
      </c>
      <c r="I121" s="3"/>
      <c r="J121" s="4" t="str">
        <f t="shared" si="1"/>
        <v/>
      </c>
    </row>
    <row r="122" spans="1:10">
      <c r="A122" s="2">
        <v>2026</v>
      </c>
      <c r="B122" s="2">
        <v>1</v>
      </c>
      <c r="C122" s="2" t="s">
        <v>14</v>
      </c>
      <c r="D122" s="2">
        <v>1</v>
      </c>
      <c r="E122" s="2">
        <v>1</v>
      </c>
      <c r="F122" s="5" t="s">
        <v>12</v>
      </c>
      <c r="G122" s="5" t="s">
        <v>20</v>
      </c>
      <c r="H122" s="3">
        <v>6154</v>
      </c>
      <c r="I122" s="3">
        <v>302</v>
      </c>
      <c r="J122" s="4">
        <f t="shared" si="1"/>
        <v>4.9073773155671109E-2</v>
      </c>
    </row>
    <row r="123" spans="1:10">
      <c r="A123" s="2">
        <v>2026</v>
      </c>
      <c r="B123" s="2">
        <v>2</v>
      </c>
      <c r="C123" s="2" t="s">
        <v>15</v>
      </c>
      <c r="D123" s="2">
        <v>1</v>
      </c>
      <c r="E123" s="2">
        <v>1</v>
      </c>
      <c r="F123" s="5" t="s">
        <v>12</v>
      </c>
      <c r="G123" s="5" t="s">
        <v>20</v>
      </c>
      <c r="H123" s="3">
        <v>6154</v>
      </c>
      <c r="I123" s="3">
        <v>273</v>
      </c>
      <c r="J123" s="4">
        <f t="shared" si="1"/>
        <v>4.4361390965225872E-2</v>
      </c>
    </row>
    <row r="124" spans="1:10">
      <c r="A124" s="2">
        <v>2026</v>
      </c>
      <c r="B124" s="2">
        <v>3</v>
      </c>
      <c r="C124" s="2" t="s">
        <v>16</v>
      </c>
      <c r="D124" s="2">
        <v>1</v>
      </c>
      <c r="E124" s="2">
        <v>1</v>
      </c>
      <c r="F124" s="5" t="s">
        <v>12</v>
      </c>
      <c r="G124" s="5" t="s">
        <v>20</v>
      </c>
      <c r="H124" s="3">
        <v>6154</v>
      </c>
      <c r="I124" s="3">
        <v>373</v>
      </c>
      <c r="J124" s="4">
        <f t="shared" si="1"/>
        <v>6.0610984725381865E-2</v>
      </c>
    </row>
    <row r="125" spans="1:10">
      <c r="A125" s="2">
        <v>2026</v>
      </c>
      <c r="B125" s="2">
        <v>4</v>
      </c>
      <c r="C125" s="2" t="s">
        <v>17</v>
      </c>
      <c r="D125" s="2">
        <v>2</v>
      </c>
      <c r="E125" s="2">
        <v>1</v>
      </c>
      <c r="F125" s="5" t="s">
        <v>12</v>
      </c>
      <c r="G125" s="5" t="s">
        <v>20</v>
      </c>
      <c r="H125" s="3">
        <v>6154</v>
      </c>
      <c r="I125" s="3">
        <v>261</v>
      </c>
      <c r="J125" s="4">
        <f t="shared" si="1"/>
        <v>4.2411439714007147E-2</v>
      </c>
    </row>
    <row r="126" spans="1:10">
      <c r="A126" s="2">
        <v>2026</v>
      </c>
      <c r="B126" s="2">
        <v>5</v>
      </c>
      <c r="C126" s="2" t="s">
        <v>18</v>
      </c>
      <c r="D126" s="2">
        <v>2</v>
      </c>
      <c r="E126" s="2">
        <v>1</v>
      </c>
      <c r="F126" s="5" t="s">
        <v>12</v>
      </c>
      <c r="G126" s="5" t="s">
        <v>20</v>
      </c>
      <c r="H126" s="3">
        <v>6154</v>
      </c>
      <c r="I126" s="3">
        <v>172</v>
      </c>
      <c r="J126" s="4">
        <f t="shared" si="1"/>
        <v>2.7949301267468314E-2</v>
      </c>
    </row>
    <row r="127" spans="1:10">
      <c r="A127" s="2">
        <v>2026</v>
      </c>
      <c r="B127" s="2">
        <v>6</v>
      </c>
      <c r="C127" s="2" t="s">
        <v>19</v>
      </c>
      <c r="D127" s="2">
        <v>2</v>
      </c>
      <c r="E127" s="2">
        <v>1</v>
      </c>
      <c r="F127" s="5" t="s">
        <v>12</v>
      </c>
      <c r="G127" s="5" t="s">
        <v>20</v>
      </c>
      <c r="H127" s="3">
        <v>6154</v>
      </c>
      <c r="I127" s="3">
        <v>157</v>
      </c>
      <c r="J127" s="4">
        <f t="shared" si="1"/>
        <v>2.5511862203444913E-2</v>
      </c>
    </row>
    <row r="128" spans="1:10">
      <c r="A128" s="2">
        <v>2026</v>
      </c>
      <c r="B128" s="2">
        <v>7</v>
      </c>
      <c r="C128" s="2" t="s">
        <v>24</v>
      </c>
      <c r="D128" s="2">
        <v>3</v>
      </c>
      <c r="E128" s="2">
        <v>2</v>
      </c>
      <c r="F128" s="5" t="s">
        <v>12</v>
      </c>
      <c r="G128" s="5" t="s">
        <v>20</v>
      </c>
      <c r="H128" s="3">
        <v>6154</v>
      </c>
      <c r="I128" s="3"/>
      <c r="J128" s="4" t="str">
        <f t="shared" si="1"/>
        <v/>
      </c>
    </row>
    <row r="129" spans="1:10">
      <c r="A129" s="2">
        <v>2026</v>
      </c>
      <c r="B129" s="2">
        <v>8</v>
      </c>
      <c r="C129" s="2" t="s">
        <v>32</v>
      </c>
      <c r="D129" s="2">
        <v>3</v>
      </c>
      <c r="E129" s="2">
        <v>2</v>
      </c>
      <c r="F129" s="5" t="s">
        <v>12</v>
      </c>
      <c r="G129" s="5" t="s">
        <v>20</v>
      </c>
      <c r="H129" s="3">
        <v>6154</v>
      </c>
      <c r="I129" s="3"/>
      <c r="J129" s="4" t="str">
        <f t="shared" si="1"/>
        <v/>
      </c>
    </row>
    <row r="130" spans="1:10">
      <c r="A130" s="2">
        <v>2026</v>
      </c>
      <c r="B130" s="2">
        <v>9</v>
      </c>
      <c r="C130" s="2" t="s">
        <v>33</v>
      </c>
      <c r="D130" s="2">
        <v>3</v>
      </c>
      <c r="E130" s="2">
        <v>2</v>
      </c>
      <c r="F130" s="5" t="s">
        <v>12</v>
      </c>
      <c r="G130" s="5" t="s">
        <v>20</v>
      </c>
      <c r="H130" s="3">
        <v>6154</v>
      </c>
      <c r="I130" s="3"/>
      <c r="J130" s="4" t="str">
        <f t="shared" ref="J130:J193" si="2">IF(I130="","",IFERROR(I130/H130,0))</f>
        <v/>
      </c>
    </row>
    <row r="131" spans="1:10">
      <c r="A131" s="2">
        <v>2026</v>
      </c>
      <c r="B131" s="2">
        <v>10</v>
      </c>
      <c r="C131" s="2" t="s">
        <v>34</v>
      </c>
      <c r="D131" s="2">
        <v>4</v>
      </c>
      <c r="E131" s="2">
        <v>2</v>
      </c>
      <c r="F131" s="5" t="s">
        <v>12</v>
      </c>
      <c r="G131" s="5" t="s">
        <v>20</v>
      </c>
      <c r="H131" s="3">
        <v>6154</v>
      </c>
      <c r="I131" s="3"/>
      <c r="J131" s="4" t="str">
        <f t="shared" si="2"/>
        <v/>
      </c>
    </row>
    <row r="132" spans="1:10">
      <c r="A132" s="2">
        <v>2026</v>
      </c>
      <c r="B132" s="2">
        <v>11</v>
      </c>
      <c r="C132" s="2" t="s">
        <v>35</v>
      </c>
      <c r="D132" s="2">
        <v>4</v>
      </c>
      <c r="E132" s="2">
        <v>2</v>
      </c>
      <c r="F132" s="5" t="s">
        <v>12</v>
      </c>
      <c r="G132" s="5" t="s">
        <v>20</v>
      </c>
      <c r="H132" s="3">
        <v>6154</v>
      </c>
      <c r="I132" s="3"/>
      <c r="J132" s="4" t="str">
        <f t="shared" si="2"/>
        <v/>
      </c>
    </row>
    <row r="133" spans="1:10">
      <c r="A133" s="2">
        <v>2026</v>
      </c>
      <c r="B133" s="2">
        <v>12</v>
      </c>
      <c r="C133" s="2" t="s">
        <v>36</v>
      </c>
      <c r="D133" s="2">
        <v>4</v>
      </c>
      <c r="E133" s="2">
        <v>2</v>
      </c>
      <c r="F133" s="5" t="s">
        <v>12</v>
      </c>
      <c r="G133" s="5" t="s">
        <v>20</v>
      </c>
      <c r="H133" s="3">
        <v>6154</v>
      </c>
      <c r="I133" s="3"/>
      <c r="J133" s="4" t="str">
        <f t="shared" si="2"/>
        <v/>
      </c>
    </row>
    <row r="134" spans="1:10">
      <c r="A134" s="2">
        <v>2026</v>
      </c>
      <c r="B134" s="2">
        <v>1</v>
      </c>
      <c r="C134" s="2" t="s">
        <v>14</v>
      </c>
      <c r="D134" s="2">
        <v>1</v>
      </c>
      <c r="E134" s="2">
        <v>1</v>
      </c>
      <c r="F134" s="5" t="s">
        <v>13</v>
      </c>
      <c r="G134" s="5" t="s">
        <v>20</v>
      </c>
      <c r="H134" s="3">
        <v>2274</v>
      </c>
      <c r="I134" s="3">
        <v>66</v>
      </c>
      <c r="J134" s="4">
        <f t="shared" si="2"/>
        <v>2.9023746701846966E-2</v>
      </c>
    </row>
    <row r="135" spans="1:10">
      <c r="A135" s="2">
        <v>2026</v>
      </c>
      <c r="B135" s="2">
        <v>2</v>
      </c>
      <c r="C135" s="2" t="s">
        <v>15</v>
      </c>
      <c r="D135" s="2">
        <v>1</v>
      </c>
      <c r="E135" s="2">
        <v>1</v>
      </c>
      <c r="F135" s="5" t="s">
        <v>13</v>
      </c>
      <c r="G135" s="5" t="s">
        <v>20</v>
      </c>
      <c r="H135" s="3">
        <v>2274</v>
      </c>
      <c r="I135" s="3">
        <v>15</v>
      </c>
      <c r="J135" s="4">
        <f t="shared" si="2"/>
        <v>6.5963060686015833E-3</v>
      </c>
    </row>
    <row r="136" spans="1:10">
      <c r="A136" s="2">
        <v>2026</v>
      </c>
      <c r="B136" s="2">
        <v>3</v>
      </c>
      <c r="C136" s="2" t="s">
        <v>16</v>
      </c>
      <c r="D136" s="2">
        <v>1</v>
      </c>
      <c r="E136" s="2">
        <v>1</v>
      </c>
      <c r="F136" s="5" t="s">
        <v>13</v>
      </c>
      <c r="G136" s="5" t="s">
        <v>20</v>
      </c>
      <c r="H136" s="3">
        <v>2274</v>
      </c>
      <c r="I136" s="3">
        <v>22</v>
      </c>
      <c r="J136" s="4">
        <f t="shared" si="2"/>
        <v>9.6745822339489879E-3</v>
      </c>
    </row>
    <row r="137" spans="1:10">
      <c r="A137" s="2">
        <v>2026</v>
      </c>
      <c r="B137" s="2">
        <v>4</v>
      </c>
      <c r="C137" s="2" t="s">
        <v>17</v>
      </c>
      <c r="D137" s="2">
        <v>2</v>
      </c>
      <c r="E137" s="2">
        <v>1</v>
      </c>
      <c r="F137" s="5" t="s">
        <v>13</v>
      </c>
      <c r="G137" s="5" t="s">
        <v>20</v>
      </c>
      <c r="H137" s="3">
        <v>2274</v>
      </c>
      <c r="I137" s="3">
        <v>25</v>
      </c>
      <c r="J137" s="4">
        <f t="shared" si="2"/>
        <v>1.0993843447669306E-2</v>
      </c>
    </row>
    <row r="138" spans="1:10">
      <c r="A138" s="2">
        <v>2026</v>
      </c>
      <c r="B138" s="2">
        <v>5</v>
      </c>
      <c r="C138" s="2" t="s">
        <v>18</v>
      </c>
      <c r="D138" s="2">
        <v>2</v>
      </c>
      <c r="E138" s="2">
        <v>1</v>
      </c>
      <c r="F138" s="5" t="s">
        <v>13</v>
      </c>
      <c r="G138" s="5" t="s">
        <v>20</v>
      </c>
      <c r="H138" s="3">
        <v>2274</v>
      </c>
      <c r="I138" s="3">
        <v>22</v>
      </c>
      <c r="J138" s="4">
        <f t="shared" si="2"/>
        <v>9.6745822339489879E-3</v>
      </c>
    </row>
    <row r="139" spans="1:10">
      <c r="A139" s="2">
        <v>2026</v>
      </c>
      <c r="B139" s="2">
        <v>6</v>
      </c>
      <c r="C139" s="2" t="s">
        <v>19</v>
      </c>
      <c r="D139" s="2">
        <v>2</v>
      </c>
      <c r="E139" s="2">
        <v>1</v>
      </c>
      <c r="F139" s="5" t="s">
        <v>13</v>
      </c>
      <c r="G139" s="5" t="s">
        <v>20</v>
      </c>
      <c r="H139" s="3">
        <v>2274</v>
      </c>
      <c r="I139" s="3">
        <v>20</v>
      </c>
      <c r="J139" s="4">
        <f t="shared" si="2"/>
        <v>8.795074758135445E-3</v>
      </c>
    </row>
    <row r="140" spans="1:10">
      <c r="A140" s="2">
        <v>2026</v>
      </c>
      <c r="B140" s="2">
        <v>7</v>
      </c>
      <c r="C140" s="2" t="s">
        <v>24</v>
      </c>
      <c r="D140" s="2">
        <v>3</v>
      </c>
      <c r="E140" s="2">
        <v>2</v>
      </c>
      <c r="F140" s="5" t="s">
        <v>13</v>
      </c>
      <c r="G140" s="5" t="s">
        <v>20</v>
      </c>
      <c r="H140" s="3">
        <v>2274</v>
      </c>
      <c r="I140" s="3"/>
      <c r="J140" s="4" t="str">
        <f t="shared" si="2"/>
        <v/>
      </c>
    </row>
    <row r="141" spans="1:10">
      <c r="A141" s="2">
        <v>2026</v>
      </c>
      <c r="B141" s="2">
        <v>8</v>
      </c>
      <c r="C141" s="2" t="s">
        <v>32</v>
      </c>
      <c r="D141" s="2">
        <v>3</v>
      </c>
      <c r="E141" s="2">
        <v>2</v>
      </c>
      <c r="F141" s="5" t="s">
        <v>13</v>
      </c>
      <c r="G141" s="5" t="s">
        <v>20</v>
      </c>
      <c r="H141" s="3">
        <v>2274</v>
      </c>
      <c r="I141" s="3"/>
      <c r="J141" s="4" t="str">
        <f t="shared" si="2"/>
        <v/>
      </c>
    </row>
    <row r="142" spans="1:10">
      <c r="A142" s="2">
        <v>2026</v>
      </c>
      <c r="B142" s="2">
        <v>9</v>
      </c>
      <c r="C142" s="2" t="s">
        <v>33</v>
      </c>
      <c r="D142" s="2">
        <v>3</v>
      </c>
      <c r="E142" s="2">
        <v>2</v>
      </c>
      <c r="F142" s="5" t="s">
        <v>13</v>
      </c>
      <c r="G142" s="5" t="s">
        <v>20</v>
      </c>
      <c r="H142" s="3">
        <v>2274</v>
      </c>
      <c r="I142" s="3"/>
      <c r="J142" s="4" t="str">
        <f t="shared" si="2"/>
        <v/>
      </c>
    </row>
    <row r="143" spans="1:10">
      <c r="A143" s="2">
        <v>2026</v>
      </c>
      <c r="B143" s="2">
        <v>10</v>
      </c>
      <c r="C143" s="2" t="s">
        <v>34</v>
      </c>
      <c r="D143" s="2">
        <v>4</v>
      </c>
      <c r="E143" s="2">
        <v>2</v>
      </c>
      <c r="F143" s="5" t="s">
        <v>13</v>
      </c>
      <c r="G143" s="5" t="s">
        <v>20</v>
      </c>
      <c r="H143" s="3">
        <v>2274</v>
      </c>
      <c r="I143" s="3"/>
      <c r="J143" s="4" t="str">
        <f t="shared" si="2"/>
        <v/>
      </c>
    </row>
    <row r="144" spans="1:10">
      <c r="A144" s="2">
        <v>2026</v>
      </c>
      <c r="B144" s="2">
        <v>11</v>
      </c>
      <c r="C144" s="2" t="s">
        <v>35</v>
      </c>
      <c r="D144" s="2">
        <v>4</v>
      </c>
      <c r="E144" s="2">
        <v>2</v>
      </c>
      <c r="F144" s="5" t="s">
        <v>13</v>
      </c>
      <c r="G144" s="5" t="s">
        <v>20</v>
      </c>
      <c r="H144" s="3">
        <v>2274</v>
      </c>
      <c r="I144" s="3"/>
      <c r="J144" s="4" t="str">
        <f t="shared" si="2"/>
        <v/>
      </c>
    </row>
    <row r="145" spans="1:10">
      <c r="A145" s="2">
        <v>2026</v>
      </c>
      <c r="B145" s="2">
        <v>12</v>
      </c>
      <c r="C145" s="2" t="s">
        <v>36</v>
      </c>
      <c r="D145" s="2">
        <v>4</v>
      </c>
      <c r="E145" s="2">
        <v>2</v>
      </c>
      <c r="F145" s="5" t="s">
        <v>13</v>
      </c>
      <c r="G145" s="5" t="s">
        <v>20</v>
      </c>
      <c r="H145" s="3">
        <v>2274</v>
      </c>
      <c r="I145" s="3"/>
      <c r="J145" s="4" t="str">
        <f t="shared" si="2"/>
        <v/>
      </c>
    </row>
    <row r="146" spans="1:10">
      <c r="A146" s="2">
        <v>2026</v>
      </c>
      <c r="B146" s="2">
        <v>1</v>
      </c>
      <c r="C146" s="2" t="s">
        <v>14</v>
      </c>
      <c r="D146" s="2">
        <v>1</v>
      </c>
      <c r="E146" s="2">
        <v>1</v>
      </c>
      <c r="F146" s="5" t="s">
        <v>2</v>
      </c>
      <c r="G146" s="5" t="s">
        <v>21</v>
      </c>
      <c r="H146" s="3">
        <v>444</v>
      </c>
      <c r="I146" s="3">
        <v>0</v>
      </c>
      <c r="J146" s="4">
        <f t="shared" si="2"/>
        <v>0</v>
      </c>
    </row>
    <row r="147" spans="1:10">
      <c r="A147" s="2">
        <v>2026</v>
      </c>
      <c r="B147" s="2">
        <v>2</v>
      </c>
      <c r="C147" s="2" t="s">
        <v>15</v>
      </c>
      <c r="D147" s="2">
        <v>1</v>
      </c>
      <c r="E147" s="2">
        <v>1</v>
      </c>
      <c r="F147" s="5" t="s">
        <v>2</v>
      </c>
      <c r="G147" s="5" t="s">
        <v>21</v>
      </c>
      <c r="H147" s="3">
        <v>444</v>
      </c>
      <c r="I147" s="3">
        <v>0</v>
      </c>
      <c r="J147" s="4">
        <f t="shared" si="2"/>
        <v>0</v>
      </c>
    </row>
    <row r="148" spans="1:10">
      <c r="A148" s="2">
        <v>2026</v>
      </c>
      <c r="B148" s="2">
        <v>3</v>
      </c>
      <c r="C148" s="2" t="s">
        <v>16</v>
      </c>
      <c r="D148" s="2">
        <v>1</v>
      </c>
      <c r="E148" s="2">
        <v>1</v>
      </c>
      <c r="F148" s="5" t="s">
        <v>2</v>
      </c>
      <c r="G148" s="5" t="s">
        <v>21</v>
      </c>
      <c r="H148" s="3">
        <v>444</v>
      </c>
      <c r="I148" s="3">
        <v>1</v>
      </c>
      <c r="J148" s="4">
        <f t="shared" si="2"/>
        <v>2.2522522522522522E-3</v>
      </c>
    </row>
    <row r="149" spans="1:10">
      <c r="A149" s="2">
        <v>2026</v>
      </c>
      <c r="B149" s="2">
        <v>4</v>
      </c>
      <c r="C149" s="2" t="s">
        <v>17</v>
      </c>
      <c r="D149" s="2">
        <v>2</v>
      </c>
      <c r="E149" s="2">
        <v>1</v>
      </c>
      <c r="F149" s="5" t="s">
        <v>2</v>
      </c>
      <c r="G149" s="5" t="s">
        <v>21</v>
      </c>
      <c r="H149" s="3">
        <v>444</v>
      </c>
      <c r="I149" s="3">
        <v>21</v>
      </c>
      <c r="J149" s="4">
        <f t="shared" si="2"/>
        <v>4.72972972972973E-2</v>
      </c>
    </row>
    <row r="150" spans="1:10">
      <c r="A150" s="2">
        <v>2026</v>
      </c>
      <c r="B150" s="2">
        <v>5</v>
      </c>
      <c r="C150" s="2" t="s">
        <v>18</v>
      </c>
      <c r="D150" s="2">
        <v>2</v>
      </c>
      <c r="E150" s="2">
        <v>1</v>
      </c>
      <c r="F150" s="5" t="s">
        <v>2</v>
      </c>
      <c r="G150" s="5" t="s">
        <v>21</v>
      </c>
      <c r="H150" s="3">
        <v>444</v>
      </c>
      <c r="I150" s="3">
        <v>7</v>
      </c>
      <c r="J150" s="4">
        <f t="shared" si="2"/>
        <v>1.5765765765765764E-2</v>
      </c>
    </row>
    <row r="151" spans="1:10">
      <c r="A151" s="2">
        <v>2026</v>
      </c>
      <c r="B151" s="2">
        <v>6</v>
      </c>
      <c r="C151" s="2" t="s">
        <v>19</v>
      </c>
      <c r="D151" s="2">
        <v>2</v>
      </c>
      <c r="E151" s="2">
        <v>1</v>
      </c>
      <c r="F151" s="5" t="s">
        <v>2</v>
      </c>
      <c r="G151" s="5" t="s">
        <v>21</v>
      </c>
      <c r="H151" s="3">
        <v>444</v>
      </c>
      <c r="I151" s="3">
        <v>12</v>
      </c>
      <c r="J151" s="4">
        <f t="shared" si="2"/>
        <v>2.7027027027027029E-2</v>
      </c>
    </row>
    <row r="152" spans="1:10">
      <c r="A152" s="2">
        <v>2026</v>
      </c>
      <c r="B152" s="2">
        <v>7</v>
      </c>
      <c r="C152" s="2" t="s">
        <v>24</v>
      </c>
      <c r="D152" s="2">
        <v>3</v>
      </c>
      <c r="E152" s="2">
        <v>2</v>
      </c>
      <c r="F152" s="5" t="s">
        <v>2</v>
      </c>
      <c r="G152" s="5" t="s">
        <v>21</v>
      </c>
      <c r="H152" s="3">
        <v>444</v>
      </c>
      <c r="I152" s="3"/>
      <c r="J152" s="4" t="str">
        <f t="shared" si="2"/>
        <v/>
      </c>
    </row>
    <row r="153" spans="1:10">
      <c r="A153" s="2">
        <v>2026</v>
      </c>
      <c r="B153" s="2">
        <v>8</v>
      </c>
      <c r="C153" s="2" t="s">
        <v>32</v>
      </c>
      <c r="D153" s="2">
        <v>3</v>
      </c>
      <c r="E153" s="2">
        <v>2</v>
      </c>
      <c r="F153" s="5" t="s">
        <v>2</v>
      </c>
      <c r="G153" s="5" t="s">
        <v>21</v>
      </c>
      <c r="H153" s="3">
        <v>444</v>
      </c>
      <c r="I153" s="3"/>
      <c r="J153" s="4" t="str">
        <f t="shared" si="2"/>
        <v/>
      </c>
    </row>
    <row r="154" spans="1:10">
      <c r="A154" s="2">
        <v>2026</v>
      </c>
      <c r="B154" s="2">
        <v>9</v>
      </c>
      <c r="C154" s="2" t="s">
        <v>33</v>
      </c>
      <c r="D154" s="2">
        <v>3</v>
      </c>
      <c r="E154" s="2">
        <v>2</v>
      </c>
      <c r="F154" s="5" t="s">
        <v>2</v>
      </c>
      <c r="G154" s="5" t="s">
        <v>21</v>
      </c>
      <c r="H154" s="3">
        <v>444</v>
      </c>
      <c r="I154" s="3"/>
      <c r="J154" s="4" t="str">
        <f t="shared" si="2"/>
        <v/>
      </c>
    </row>
    <row r="155" spans="1:10">
      <c r="A155" s="2">
        <v>2026</v>
      </c>
      <c r="B155" s="2">
        <v>10</v>
      </c>
      <c r="C155" s="2" t="s">
        <v>34</v>
      </c>
      <c r="D155" s="2">
        <v>4</v>
      </c>
      <c r="E155" s="2">
        <v>2</v>
      </c>
      <c r="F155" s="5" t="s">
        <v>2</v>
      </c>
      <c r="G155" s="5" t="s">
        <v>21</v>
      </c>
      <c r="H155" s="3">
        <v>444</v>
      </c>
      <c r="I155" s="3"/>
      <c r="J155" s="4" t="str">
        <f t="shared" si="2"/>
        <v/>
      </c>
    </row>
    <row r="156" spans="1:10">
      <c r="A156" s="2">
        <v>2026</v>
      </c>
      <c r="B156" s="2">
        <v>11</v>
      </c>
      <c r="C156" s="2" t="s">
        <v>35</v>
      </c>
      <c r="D156" s="2">
        <v>4</v>
      </c>
      <c r="E156" s="2">
        <v>2</v>
      </c>
      <c r="F156" s="5" t="s">
        <v>2</v>
      </c>
      <c r="G156" s="5" t="s">
        <v>21</v>
      </c>
      <c r="H156" s="3">
        <v>444</v>
      </c>
      <c r="I156" s="3"/>
      <c r="J156" s="4" t="str">
        <f t="shared" si="2"/>
        <v/>
      </c>
    </row>
    <row r="157" spans="1:10">
      <c r="A157" s="2">
        <v>2026</v>
      </c>
      <c r="B157" s="2">
        <v>12</v>
      </c>
      <c r="C157" s="2" t="s">
        <v>36</v>
      </c>
      <c r="D157" s="2">
        <v>4</v>
      </c>
      <c r="E157" s="2">
        <v>2</v>
      </c>
      <c r="F157" s="5" t="s">
        <v>2</v>
      </c>
      <c r="G157" s="5" t="s">
        <v>21</v>
      </c>
      <c r="H157" s="3">
        <v>444</v>
      </c>
      <c r="I157" s="3"/>
      <c r="J157" s="4" t="str">
        <f t="shared" si="2"/>
        <v/>
      </c>
    </row>
    <row r="158" spans="1:10">
      <c r="A158" s="2">
        <v>2026</v>
      </c>
      <c r="B158" s="2">
        <v>1</v>
      </c>
      <c r="C158" s="2" t="s">
        <v>14</v>
      </c>
      <c r="D158" s="2">
        <v>1</v>
      </c>
      <c r="E158" s="2">
        <v>1</v>
      </c>
      <c r="F158" s="5" t="s">
        <v>3</v>
      </c>
      <c r="G158" s="5" t="s">
        <v>21</v>
      </c>
      <c r="H158" s="3">
        <v>160</v>
      </c>
      <c r="I158" s="3">
        <v>26</v>
      </c>
      <c r="J158" s="4">
        <f t="shared" si="2"/>
        <v>0.16250000000000001</v>
      </c>
    </row>
    <row r="159" spans="1:10">
      <c r="A159" s="2">
        <v>2026</v>
      </c>
      <c r="B159" s="2">
        <v>2</v>
      </c>
      <c r="C159" s="2" t="s">
        <v>15</v>
      </c>
      <c r="D159" s="2">
        <v>1</v>
      </c>
      <c r="E159" s="2">
        <v>1</v>
      </c>
      <c r="F159" s="5" t="s">
        <v>3</v>
      </c>
      <c r="G159" s="5" t="s">
        <v>21</v>
      </c>
      <c r="H159" s="3">
        <v>160</v>
      </c>
      <c r="I159" s="3">
        <v>16</v>
      </c>
      <c r="J159" s="4">
        <f t="shared" si="2"/>
        <v>0.1</v>
      </c>
    </row>
    <row r="160" spans="1:10">
      <c r="A160" s="2">
        <v>2026</v>
      </c>
      <c r="B160" s="2">
        <v>3</v>
      </c>
      <c r="C160" s="2" t="s">
        <v>16</v>
      </c>
      <c r="D160" s="2">
        <v>1</v>
      </c>
      <c r="E160" s="2">
        <v>1</v>
      </c>
      <c r="F160" s="5" t="s">
        <v>3</v>
      </c>
      <c r="G160" s="5" t="s">
        <v>21</v>
      </c>
      <c r="H160" s="3">
        <v>160</v>
      </c>
      <c r="I160" s="3">
        <v>36</v>
      </c>
      <c r="J160" s="4">
        <f t="shared" si="2"/>
        <v>0.22500000000000001</v>
      </c>
    </row>
    <row r="161" spans="1:10">
      <c r="A161" s="2">
        <v>2026</v>
      </c>
      <c r="B161" s="2">
        <v>4</v>
      </c>
      <c r="C161" s="2" t="s">
        <v>17</v>
      </c>
      <c r="D161" s="2">
        <v>2</v>
      </c>
      <c r="E161" s="2">
        <v>1</v>
      </c>
      <c r="F161" s="5" t="s">
        <v>3</v>
      </c>
      <c r="G161" s="5" t="s">
        <v>21</v>
      </c>
      <c r="H161" s="3">
        <v>160</v>
      </c>
      <c r="I161" s="3">
        <v>13</v>
      </c>
      <c r="J161" s="4">
        <f t="shared" si="2"/>
        <v>8.1250000000000003E-2</v>
      </c>
    </row>
    <row r="162" spans="1:10">
      <c r="A162" s="2">
        <v>2026</v>
      </c>
      <c r="B162" s="2">
        <v>5</v>
      </c>
      <c r="C162" s="2" t="s">
        <v>18</v>
      </c>
      <c r="D162" s="2">
        <v>2</v>
      </c>
      <c r="E162" s="2">
        <v>1</v>
      </c>
      <c r="F162" s="5" t="s">
        <v>3</v>
      </c>
      <c r="G162" s="5" t="s">
        <v>21</v>
      </c>
      <c r="H162" s="3">
        <v>160</v>
      </c>
      <c r="I162" s="3">
        <v>7</v>
      </c>
      <c r="J162" s="4">
        <f t="shared" si="2"/>
        <v>4.3749999999999997E-2</v>
      </c>
    </row>
    <row r="163" spans="1:10">
      <c r="A163" s="2">
        <v>2026</v>
      </c>
      <c r="B163" s="2">
        <v>6</v>
      </c>
      <c r="C163" s="2" t="s">
        <v>19</v>
      </c>
      <c r="D163" s="2">
        <v>2</v>
      </c>
      <c r="E163" s="2">
        <v>1</v>
      </c>
      <c r="F163" s="5" t="s">
        <v>3</v>
      </c>
      <c r="G163" s="5" t="s">
        <v>21</v>
      </c>
      <c r="H163" s="3">
        <v>160</v>
      </c>
      <c r="I163" s="3">
        <v>105</v>
      </c>
      <c r="J163" s="4">
        <f t="shared" si="2"/>
        <v>0.65625</v>
      </c>
    </row>
    <row r="164" spans="1:10">
      <c r="A164" s="2">
        <v>2026</v>
      </c>
      <c r="B164" s="2">
        <v>7</v>
      </c>
      <c r="C164" s="2" t="s">
        <v>24</v>
      </c>
      <c r="D164" s="2">
        <v>3</v>
      </c>
      <c r="E164" s="2">
        <v>2</v>
      </c>
      <c r="F164" s="5" t="s">
        <v>3</v>
      </c>
      <c r="G164" s="5" t="s">
        <v>21</v>
      </c>
      <c r="H164" s="3">
        <v>160</v>
      </c>
      <c r="I164" s="3"/>
      <c r="J164" s="4" t="str">
        <f t="shared" si="2"/>
        <v/>
      </c>
    </row>
    <row r="165" spans="1:10">
      <c r="A165" s="2">
        <v>2026</v>
      </c>
      <c r="B165" s="2">
        <v>8</v>
      </c>
      <c r="C165" s="2" t="s">
        <v>32</v>
      </c>
      <c r="D165" s="2">
        <v>3</v>
      </c>
      <c r="E165" s="2">
        <v>2</v>
      </c>
      <c r="F165" s="5" t="s">
        <v>3</v>
      </c>
      <c r="G165" s="5" t="s">
        <v>21</v>
      </c>
      <c r="H165" s="3">
        <v>160</v>
      </c>
      <c r="I165" s="3"/>
      <c r="J165" s="4" t="str">
        <f t="shared" si="2"/>
        <v/>
      </c>
    </row>
    <row r="166" spans="1:10">
      <c r="A166" s="2">
        <v>2026</v>
      </c>
      <c r="B166" s="2">
        <v>9</v>
      </c>
      <c r="C166" s="2" t="s">
        <v>33</v>
      </c>
      <c r="D166" s="2">
        <v>3</v>
      </c>
      <c r="E166" s="2">
        <v>2</v>
      </c>
      <c r="F166" s="5" t="s">
        <v>3</v>
      </c>
      <c r="G166" s="5" t="s">
        <v>21</v>
      </c>
      <c r="H166" s="3">
        <v>160</v>
      </c>
      <c r="I166" s="3"/>
      <c r="J166" s="4" t="str">
        <f t="shared" si="2"/>
        <v/>
      </c>
    </row>
    <row r="167" spans="1:10">
      <c r="A167" s="2">
        <v>2026</v>
      </c>
      <c r="B167" s="2">
        <v>10</v>
      </c>
      <c r="C167" s="2" t="s">
        <v>34</v>
      </c>
      <c r="D167" s="2">
        <v>4</v>
      </c>
      <c r="E167" s="2">
        <v>2</v>
      </c>
      <c r="F167" s="5" t="s">
        <v>3</v>
      </c>
      <c r="G167" s="5" t="s">
        <v>21</v>
      </c>
      <c r="H167" s="3">
        <v>160</v>
      </c>
      <c r="I167" s="3"/>
      <c r="J167" s="4" t="str">
        <f t="shared" si="2"/>
        <v/>
      </c>
    </row>
    <row r="168" spans="1:10">
      <c r="A168" s="2">
        <v>2026</v>
      </c>
      <c r="B168" s="2">
        <v>11</v>
      </c>
      <c r="C168" s="2" t="s">
        <v>35</v>
      </c>
      <c r="D168" s="2">
        <v>4</v>
      </c>
      <c r="E168" s="2">
        <v>2</v>
      </c>
      <c r="F168" s="5" t="s">
        <v>3</v>
      </c>
      <c r="G168" s="5" t="s">
        <v>21</v>
      </c>
      <c r="H168" s="3">
        <v>160</v>
      </c>
      <c r="I168" s="3"/>
      <c r="J168" s="4" t="str">
        <f t="shared" si="2"/>
        <v/>
      </c>
    </row>
    <row r="169" spans="1:10">
      <c r="A169" s="2">
        <v>2026</v>
      </c>
      <c r="B169" s="2">
        <v>12</v>
      </c>
      <c r="C169" s="2" t="s">
        <v>36</v>
      </c>
      <c r="D169" s="2">
        <v>4</v>
      </c>
      <c r="E169" s="2">
        <v>2</v>
      </c>
      <c r="F169" s="5" t="s">
        <v>3</v>
      </c>
      <c r="G169" s="5" t="s">
        <v>21</v>
      </c>
      <c r="H169" s="3">
        <v>160</v>
      </c>
      <c r="I169" s="3"/>
      <c r="J169" s="4" t="str">
        <f t="shared" si="2"/>
        <v/>
      </c>
    </row>
    <row r="170" spans="1:10">
      <c r="A170" s="2">
        <v>2026</v>
      </c>
      <c r="B170" s="2">
        <v>1</v>
      </c>
      <c r="C170" s="2" t="s">
        <v>14</v>
      </c>
      <c r="D170" s="2">
        <v>1</v>
      </c>
      <c r="E170" s="2">
        <v>1</v>
      </c>
      <c r="F170" s="5" t="s">
        <v>4</v>
      </c>
      <c r="G170" s="5" t="s">
        <v>21</v>
      </c>
      <c r="H170" s="3">
        <v>271</v>
      </c>
      <c r="I170" s="3">
        <v>0</v>
      </c>
      <c r="J170" s="4">
        <f t="shared" si="2"/>
        <v>0</v>
      </c>
    </row>
    <row r="171" spans="1:10">
      <c r="A171" s="2">
        <v>2026</v>
      </c>
      <c r="B171" s="2">
        <v>2</v>
      </c>
      <c r="C171" s="2" t="s">
        <v>15</v>
      </c>
      <c r="D171" s="2">
        <v>1</v>
      </c>
      <c r="E171" s="2">
        <v>1</v>
      </c>
      <c r="F171" s="5" t="s">
        <v>4</v>
      </c>
      <c r="G171" s="5" t="s">
        <v>21</v>
      </c>
      <c r="H171" s="3">
        <v>271</v>
      </c>
      <c r="I171" s="3">
        <v>0</v>
      </c>
      <c r="J171" s="4">
        <f t="shared" si="2"/>
        <v>0</v>
      </c>
    </row>
    <row r="172" spans="1:10">
      <c r="A172" s="2">
        <v>2026</v>
      </c>
      <c r="B172" s="2">
        <v>3</v>
      </c>
      <c r="C172" s="2" t="s">
        <v>16</v>
      </c>
      <c r="D172" s="2">
        <v>1</v>
      </c>
      <c r="E172" s="2">
        <v>1</v>
      </c>
      <c r="F172" s="5" t="s">
        <v>4</v>
      </c>
      <c r="G172" s="5" t="s">
        <v>21</v>
      </c>
      <c r="H172" s="3">
        <v>271</v>
      </c>
      <c r="I172" s="3">
        <v>6</v>
      </c>
      <c r="J172" s="4">
        <f t="shared" si="2"/>
        <v>2.2140221402214021E-2</v>
      </c>
    </row>
    <row r="173" spans="1:10">
      <c r="A173" s="2">
        <v>2026</v>
      </c>
      <c r="B173" s="2">
        <v>4</v>
      </c>
      <c r="C173" s="2" t="s">
        <v>17</v>
      </c>
      <c r="D173" s="2">
        <v>2</v>
      </c>
      <c r="E173" s="2">
        <v>1</v>
      </c>
      <c r="F173" s="5" t="s">
        <v>4</v>
      </c>
      <c r="G173" s="5" t="s">
        <v>21</v>
      </c>
      <c r="H173" s="3">
        <v>271</v>
      </c>
      <c r="I173" s="3">
        <v>6</v>
      </c>
      <c r="J173" s="4">
        <f t="shared" si="2"/>
        <v>2.2140221402214021E-2</v>
      </c>
    </row>
    <row r="174" spans="1:10">
      <c r="A174" s="2">
        <v>2026</v>
      </c>
      <c r="B174" s="2">
        <v>5</v>
      </c>
      <c r="C174" s="2" t="s">
        <v>18</v>
      </c>
      <c r="D174" s="2">
        <v>2</v>
      </c>
      <c r="E174" s="2">
        <v>1</v>
      </c>
      <c r="F174" s="5" t="s">
        <v>4</v>
      </c>
      <c r="G174" s="5" t="s">
        <v>21</v>
      </c>
      <c r="H174" s="3">
        <v>271</v>
      </c>
      <c r="I174" s="3">
        <v>1</v>
      </c>
      <c r="J174" s="4">
        <f t="shared" si="2"/>
        <v>3.6900369003690036E-3</v>
      </c>
    </row>
    <row r="175" spans="1:10">
      <c r="A175" s="2">
        <v>2026</v>
      </c>
      <c r="B175" s="2">
        <v>6</v>
      </c>
      <c r="C175" s="2" t="s">
        <v>19</v>
      </c>
      <c r="D175" s="2">
        <v>2</v>
      </c>
      <c r="E175" s="2">
        <v>1</v>
      </c>
      <c r="F175" s="5" t="s">
        <v>4</v>
      </c>
      <c r="G175" s="5" t="s">
        <v>21</v>
      </c>
      <c r="H175" s="3">
        <v>271</v>
      </c>
      <c r="I175" s="3">
        <v>2</v>
      </c>
      <c r="J175" s="4">
        <f t="shared" si="2"/>
        <v>7.3800738007380072E-3</v>
      </c>
    </row>
    <row r="176" spans="1:10">
      <c r="A176" s="2">
        <v>2026</v>
      </c>
      <c r="B176" s="2">
        <v>7</v>
      </c>
      <c r="C176" s="2" t="s">
        <v>24</v>
      </c>
      <c r="D176" s="2">
        <v>3</v>
      </c>
      <c r="E176" s="2">
        <v>2</v>
      </c>
      <c r="F176" s="5" t="s">
        <v>4</v>
      </c>
      <c r="G176" s="5" t="s">
        <v>21</v>
      </c>
      <c r="H176" s="3">
        <v>271</v>
      </c>
      <c r="I176" s="3"/>
      <c r="J176" s="4" t="str">
        <f t="shared" si="2"/>
        <v/>
      </c>
    </row>
    <row r="177" spans="1:10">
      <c r="A177" s="2">
        <v>2026</v>
      </c>
      <c r="B177" s="2">
        <v>8</v>
      </c>
      <c r="C177" s="2" t="s">
        <v>32</v>
      </c>
      <c r="D177" s="2">
        <v>3</v>
      </c>
      <c r="E177" s="2">
        <v>2</v>
      </c>
      <c r="F177" s="5" t="s">
        <v>4</v>
      </c>
      <c r="G177" s="5" t="s">
        <v>21</v>
      </c>
      <c r="H177" s="3">
        <v>271</v>
      </c>
      <c r="I177" s="3"/>
      <c r="J177" s="4" t="str">
        <f t="shared" si="2"/>
        <v/>
      </c>
    </row>
    <row r="178" spans="1:10">
      <c r="A178" s="2">
        <v>2026</v>
      </c>
      <c r="B178" s="2">
        <v>9</v>
      </c>
      <c r="C178" s="2" t="s">
        <v>33</v>
      </c>
      <c r="D178" s="2">
        <v>3</v>
      </c>
      <c r="E178" s="2">
        <v>2</v>
      </c>
      <c r="F178" s="5" t="s">
        <v>4</v>
      </c>
      <c r="G178" s="5" t="s">
        <v>21</v>
      </c>
      <c r="H178" s="3">
        <v>271</v>
      </c>
      <c r="I178" s="3"/>
      <c r="J178" s="4" t="str">
        <f t="shared" si="2"/>
        <v/>
      </c>
    </row>
    <row r="179" spans="1:10">
      <c r="A179" s="2">
        <v>2026</v>
      </c>
      <c r="B179" s="2">
        <v>10</v>
      </c>
      <c r="C179" s="2" t="s">
        <v>34</v>
      </c>
      <c r="D179" s="2">
        <v>4</v>
      </c>
      <c r="E179" s="2">
        <v>2</v>
      </c>
      <c r="F179" s="5" t="s">
        <v>4</v>
      </c>
      <c r="G179" s="5" t="s">
        <v>21</v>
      </c>
      <c r="H179" s="3">
        <v>271</v>
      </c>
      <c r="I179" s="3"/>
      <c r="J179" s="4" t="str">
        <f t="shared" si="2"/>
        <v/>
      </c>
    </row>
    <row r="180" spans="1:10">
      <c r="A180" s="2">
        <v>2026</v>
      </c>
      <c r="B180" s="2">
        <v>11</v>
      </c>
      <c r="C180" s="2" t="s">
        <v>35</v>
      </c>
      <c r="D180" s="2">
        <v>4</v>
      </c>
      <c r="E180" s="2">
        <v>2</v>
      </c>
      <c r="F180" s="5" t="s">
        <v>4</v>
      </c>
      <c r="G180" s="5" t="s">
        <v>21</v>
      </c>
      <c r="H180" s="3">
        <v>271</v>
      </c>
      <c r="I180" s="3"/>
      <c r="J180" s="4" t="str">
        <f t="shared" si="2"/>
        <v/>
      </c>
    </row>
    <row r="181" spans="1:10">
      <c r="A181" s="2">
        <v>2026</v>
      </c>
      <c r="B181" s="2">
        <v>12</v>
      </c>
      <c r="C181" s="2" t="s">
        <v>36</v>
      </c>
      <c r="D181" s="2">
        <v>4</v>
      </c>
      <c r="E181" s="2">
        <v>2</v>
      </c>
      <c r="F181" s="5" t="s">
        <v>4</v>
      </c>
      <c r="G181" s="5" t="s">
        <v>21</v>
      </c>
      <c r="H181" s="3">
        <v>271</v>
      </c>
      <c r="I181" s="3"/>
      <c r="J181" s="4" t="str">
        <f t="shared" si="2"/>
        <v/>
      </c>
    </row>
    <row r="182" spans="1:10">
      <c r="A182" s="2">
        <v>2026</v>
      </c>
      <c r="B182" s="2">
        <v>1</v>
      </c>
      <c r="C182" s="2" t="s">
        <v>14</v>
      </c>
      <c r="D182" s="2">
        <v>1</v>
      </c>
      <c r="E182" s="2">
        <v>1</v>
      </c>
      <c r="F182" s="5" t="s">
        <v>5</v>
      </c>
      <c r="G182" s="5" t="s">
        <v>21</v>
      </c>
      <c r="H182" s="3">
        <v>170</v>
      </c>
      <c r="I182" s="3">
        <v>1</v>
      </c>
      <c r="J182" s="4">
        <f t="shared" si="2"/>
        <v>5.8823529411764705E-3</v>
      </c>
    </row>
    <row r="183" spans="1:10">
      <c r="A183" s="2">
        <v>2026</v>
      </c>
      <c r="B183" s="2">
        <v>2</v>
      </c>
      <c r="C183" s="2" t="s">
        <v>15</v>
      </c>
      <c r="D183" s="2">
        <v>1</v>
      </c>
      <c r="E183" s="2">
        <v>1</v>
      </c>
      <c r="F183" s="5" t="s">
        <v>5</v>
      </c>
      <c r="G183" s="5" t="s">
        <v>21</v>
      </c>
      <c r="H183" s="3">
        <v>170</v>
      </c>
      <c r="I183" s="3">
        <v>0</v>
      </c>
      <c r="J183" s="4">
        <f t="shared" si="2"/>
        <v>0</v>
      </c>
    </row>
    <row r="184" spans="1:10">
      <c r="A184" s="2">
        <v>2026</v>
      </c>
      <c r="B184" s="2">
        <v>3</v>
      </c>
      <c r="C184" s="2" t="s">
        <v>16</v>
      </c>
      <c r="D184" s="2">
        <v>1</v>
      </c>
      <c r="E184" s="2">
        <v>1</v>
      </c>
      <c r="F184" s="5" t="s">
        <v>5</v>
      </c>
      <c r="G184" s="5" t="s">
        <v>21</v>
      </c>
      <c r="H184" s="3">
        <v>170</v>
      </c>
      <c r="I184" s="3">
        <v>1</v>
      </c>
      <c r="J184" s="4">
        <f t="shared" si="2"/>
        <v>5.8823529411764705E-3</v>
      </c>
    </row>
    <row r="185" spans="1:10">
      <c r="A185" s="2">
        <v>2026</v>
      </c>
      <c r="B185" s="2">
        <v>4</v>
      </c>
      <c r="C185" s="2" t="s">
        <v>17</v>
      </c>
      <c r="D185" s="2">
        <v>2</v>
      </c>
      <c r="E185" s="2">
        <v>1</v>
      </c>
      <c r="F185" s="5" t="s">
        <v>5</v>
      </c>
      <c r="G185" s="5" t="s">
        <v>21</v>
      </c>
      <c r="H185" s="3">
        <v>170</v>
      </c>
      <c r="I185" s="3">
        <v>2</v>
      </c>
      <c r="J185" s="4">
        <f t="shared" si="2"/>
        <v>1.1764705882352941E-2</v>
      </c>
    </row>
    <row r="186" spans="1:10">
      <c r="A186" s="2">
        <v>2026</v>
      </c>
      <c r="B186" s="2">
        <v>5</v>
      </c>
      <c r="C186" s="2" t="s">
        <v>18</v>
      </c>
      <c r="D186" s="2">
        <v>2</v>
      </c>
      <c r="E186" s="2">
        <v>1</v>
      </c>
      <c r="F186" s="5" t="s">
        <v>5</v>
      </c>
      <c r="G186" s="5" t="s">
        <v>21</v>
      </c>
      <c r="H186" s="3">
        <v>170</v>
      </c>
      <c r="I186" s="3">
        <v>9</v>
      </c>
      <c r="J186" s="4">
        <f t="shared" si="2"/>
        <v>5.2941176470588235E-2</v>
      </c>
    </row>
    <row r="187" spans="1:10">
      <c r="A187" s="2">
        <v>2026</v>
      </c>
      <c r="B187" s="2">
        <v>6</v>
      </c>
      <c r="C187" s="2" t="s">
        <v>19</v>
      </c>
      <c r="D187" s="2">
        <v>2</v>
      </c>
      <c r="E187" s="2">
        <v>1</v>
      </c>
      <c r="F187" s="5" t="s">
        <v>5</v>
      </c>
      <c r="G187" s="5" t="s">
        <v>21</v>
      </c>
      <c r="H187" s="3">
        <v>170</v>
      </c>
      <c r="I187" s="3">
        <v>10</v>
      </c>
      <c r="J187" s="4">
        <f t="shared" si="2"/>
        <v>5.8823529411764705E-2</v>
      </c>
    </row>
    <row r="188" spans="1:10">
      <c r="A188" s="2">
        <v>2026</v>
      </c>
      <c r="B188" s="2">
        <v>7</v>
      </c>
      <c r="C188" s="2" t="s">
        <v>24</v>
      </c>
      <c r="D188" s="2">
        <v>3</v>
      </c>
      <c r="E188" s="2">
        <v>2</v>
      </c>
      <c r="F188" s="5" t="s">
        <v>5</v>
      </c>
      <c r="G188" s="5" t="s">
        <v>21</v>
      </c>
      <c r="H188" s="3">
        <v>170</v>
      </c>
      <c r="I188" s="3"/>
      <c r="J188" s="4" t="str">
        <f t="shared" si="2"/>
        <v/>
      </c>
    </row>
    <row r="189" spans="1:10">
      <c r="A189" s="2">
        <v>2026</v>
      </c>
      <c r="B189" s="2">
        <v>8</v>
      </c>
      <c r="C189" s="2" t="s">
        <v>32</v>
      </c>
      <c r="D189" s="2">
        <v>3</v>
      </c>
      <c r="E189" s="2">
        <v>2</v>
      </c>
      <c r="F189" s="5" t="s">
        <v>5</v>
      </c>
      <c r="G189" s="5" t="s">
        <v>21</v>
      </c>
      <c r="H189" s="3">
        <v>170</v>
      </c>
      <c r="I189" s="3"/>
      <c r="J189" s="4" t="str">
        <f t="shared" si="2"/>
        <v/>
      </c>
    </row>
    <row r="190" spans="1:10">
      <c r="A190" s="2">
        <v>2026</v>
      </c>
      <c r="B190" s="2">
        <v>9</v>
      </c>
      <c r="C190" s="2" t="s">
        <v>33</v>
      </c>
      <c r="D190" s="2">
        <v>3</v>
      </c>
      <c r="E190" s="2">
        <v>2</v>
      </c>
      <c r="F190" s="5" t="s">
        <v>5</v>
      </c>
      <c r="G190" s="5" t="s">
        <v>21</v>
      </c>
      <c r="H190" s="3">
        <v>170</v>
      </c>
      <c r="I190" s="3"/>
      <c r="J190" s="4" t="str">
        <f t="shared" si="2"/>
        <v/>
      </c>
    </row>
    <row r="191" spans="1:10">
      <c r="A191" s="2">
        <v>2026</v>
      </c>
      <c r="B191" s="2">
        <v>10</v>
      </c>
      <c r="C191" s="2" t="s">
        <v>34</v>
      </c>
      <c r="D191" s="2">
        <v>4</v>
      </c>
      <c r="E191" s="2">
        <v>2</v>
      </c>
      <c r="F191" s="5" t="s">
        <v>5</v>
      </c>
      <c r="G191" s="5" t="s">
        <v>21</v>
      </c>
      <c r="H191" s="3">
        <v>170</v>
      </c>
      <c r="I191" s="3"/>
      <c r="J191" s="4" t="str">
        <f t="shared" si="2"/>
        <v/>
      </c>
    </row>
    <row r="192" spans="1:10">
      <c r="A192" s="2">
        <v>2026</v>
      </c>
      <c r="B192" s="2">
        <v>11</v>
      </c>
      <c r="C192" s="2" t="s">
        <v>35</v>
      </c>
      <c r="D192" s="2">
        <v>4</v>
      </c>
      <c r="E192" s="2">
        <v>2</v>
      </c>
      <c r="F192" s="5" t="s">
        <v>5</v>
      </c>
      <c r="G192" s="5" t="s">
        <v>21</v>
      </c>
      <c r="H192" s="3">
        <v>170</v>
      </c>
      <c r="I192" s="3"/>
      <c r="J192" s="4" t="str">
        <f t="shared" si="2"/>
        <v/>
      </c>
    </row>
    <row r="193" spans="1:10">
      <c r="A193" s="2">
        <v>2026</v>
      </c>
      <c r="B193" s="2">
        <v>12</v>
      </c>
      <c r="C193" s="2" t="s">
        <v>36</v>
      </c>
      <c r="D193" s="2">
        <v>4</v>
      </c>
      <c r="E193" s="2">
        <v>2</v>
      </c>
      <c r="F193" s="5" t="s">
        <v>5</v>
      </c>
      <c r="G193" s="5" t="s">
        <v>21</v>
      </c>
      <c r="H193" s="3">
        <v>170</v>
      </c>
      <c r="I193" s="3"/>
      <c r="J193" s="4" t="str">
        <f t="shared" si="2"/>
        <v/>
      </c>
    </row>
    <row r="194" spans="1:10">
      <c r="A194" s="2">
        <v>2026</v>
      </c>
      <c r="B194" s="2">
        <v>1</v>
      </c>
      <c r="C194" s="2" t="s">
        <v>14</v>
      </c>
      <c r="D194" s="2">
        <v>1</v>
      </c>
      <c r="E194" s="2">
        <v>1</v>
      </c>
      <c r="F194" s="5" t="s">
        <v>6</v>
      </c>
      <c r="G194" s="5" t="s">
        <v>21</v>
      </c>
      <c r="H194" s="3">
        <v>284</v>
      </c>
      <c r="I194" s="3">
        <v>21</v>
      </c>
      <c r="J194" s="4">
        <f t="shared" ref="J194:J257" si="3">IF(I194="","",IFERROR(I194/H194,0))</f>
        <v>7.3943661971830985E-2</v>
      </c>
    </row>
    <row r="195" spans="1:10">
      <c r="A195" s="2">
        <v>2026</v>
      </c>
      <c r="B195" s="2">
        <v>2</v>
      </c>
      <c r="C195" s="2" t="s">
        <v>15</v>
      </c>
      <c r="D195" s="2">
        <v>1</v>
      </c>
      <c r="E195" s="2">
        <v>1</v>
      </c>
      <c r="F195" s="5" t="s">
        <v>6</v>
      </c>
      <c r="G195" s="5" t="s">
        <v>21</v>
      </c>
      <c r="H195" s="3">
        <v>284</v>
      </c>
      <c r="I195" s="3">
        <v>23</v>
      </c>
      <c r="J195" s="4">
        <f t="shared" si="3"/>
        <v>8.098591549295775E-2</v>
      </c>
    </row>
    <row r="196" spans="1:10">
      <c r="A196" s="2">
        <v>2026</v>
      </c>
      <c r="B196" s="2">
        <v>3</v>
      </c>
      <c r="C196" s="2" t="s">
        <v>16</v>
      </c>
      <c r="D196" s="2">
        <v>1</v>
      </c>
      <c r="E196" s="2">
        <v>1</v>
      </c>
      <c r="F196" s="5" t="s">
        <v>6</v>
      </c>
      <c r="G196" s="5" t="s">
        <v>21</v>
      </c>
      <c r="H196" s="3">
        <v>284</v>
      </c>
      <c r="I196" s="3">
        <v>8</v>
      </c>
      <c r="J196" s="4">
        <f t="shared" si="3"/>
        <v>2.8169014084507043E-2</v>
      </c>
    </row>
    <row r="197" spans="1:10">
      <c r="A197" s="2">
        <v>2026</v>
      </c>
      <c r="B197" s="2">
        <v>4</v>
      </c>
      <c r="C197" s="2" t="s">
        <v>17</v>
      </c>
      <c r="D197" s="2">
        <v>2</v>
      </c>
      <c r="E197" s="2">
        <v>1</v>
      </c>
      <c r="F197" s="5" t="s">
        <v>6</v>
      </c>
      <c r="G197" s="5" t="s">
        <v>21</v>
      </c>
      <c r="H197" s="3">
        <v>284</v>
      </c>
      <c r="I197" s="3">
        <v>29</v>
      </c>
      <c r="J197" s="4">
        <f t="shared" si="3"/>
        <v>0.10211267605633803</v>
      </c>
    </row>
    <row r="198" spans="1:10">
      <c r="A198" s="2">
        <v>2026</v>
      </c>
      <c r="B198" s="2">
        <v>5</v>
      </c>
      <c r="C198" s="2" t="s">
        <v>18</v>
      </c>
      <c r="D198" s="2">
        <v>2</v>
      </c>
      <c r="E198" s="2">
        <v>1</v>
      </c>
      <c r="F198" s="5" t="s">
        <v>6</v>
      </c>
      <c r="G198" s="5" t="s">
        <v>21</v>
      </c>
      <c r="H198" s="3">
        <v>284</v>
      </c>
      <c r="I198" s="3">
        <v>24</v>
      </c>
      <c r="J198" s="4">
        <f t="shared" si="3"/>
        <v>8.4507042253521125E-2</v>
      </c>
    </row>
    <row r="199" spans="1:10">
      <c r="A199" s="2">
        <v>2026</v>
      </c>
      <c r="B199" s="2">
        <v>6</v>
      </c>
      <c r="C199" s="2" t="s">
        <v>19</v>
      </c>
      <c r="D199" s="2">
        <v>2</v>
      </c>
      <c r="E199" s="2">
        <v>1</v>
      </c>
      <c r="F199" s="5" t="s">
        <v>6</v>
      </c>
      <c r="G199" s="5" t="s">
        <v>21</v>
      </c>
      <c r="H199" s="3">
        <v>284</v>
      </c>
      <c r="I199" s="3">
        <v>12</v>
      </c>
      <c r="J199" s="4">
        <f t="shared" si="3"/>
        <v>4.2253521126760563E-2</v>
      </c>
    </row>
    <row r="200" spans="1:10">
      <c r="A200" s="2">
        <v>2026</v>
      </c>
      <c r="B200" s="2">
        <v>7</v>
      </c>
      <c r="C200" s="2" t="s">
        <v>24</v>
      </c>
      <c r="D200" s="2">
        <v>3</v>
      </c>
      <c r="E200" s="2">
        <v>2</v>
      </c>
      <c r="F200" s="5" t="s">
        <v>6</v>
      </c>
      <c r="G200" s="5" t="s">
        <v>21</v>
      </c>
      <c r="H200" s="3">
        <v>284</v>
      </c>
      <c r="I200" s="3"/>
      <c r="J200" s="4" t="str">
        <f t="shared" si="3"/>
        <v/>
      </c>
    </row>
    <row r="201" spans="1:10">
      <c r="A201" s="2">
        <v>2026</v>
      </c>
      <c r="B201" s="2">
        <v>8</v>
      </c>
      <c r="C201" s="2" t="s">
        <v>32</v>
      </c>
      <c r="D201" s="2">
        <v>3</v>
      </c>
      <c r="E201" s="2">
        <v>2</v>
      </c>
      <c r="F201" s="5" t="s">
        <v>6</v>
      </c>
      <c r="G201" s="5" t="s">
        <v>21</v>
      </c>
      <c r="H201" s="3">
        <v>284</v>
      </c>
      <c r="I201" s="3"/>
      <c r="J201" s="4" t="str">
        <f t="shared" si="3"/>
        <v/>
      </c>
    </row>
    <row r="202" spans="1:10">
      <c r="A202" s="2">
        <v>2026</v>
      </c>
      <c r="B202" s="2">
        <v>9</v>
      </c>
      <c r="C202" s="2" t="s">
        <v>33</v>
      </c>
      <c r="D202" s="2">
        <v>3</v>
      </c>
      <c r="E202" s="2">
        <v>2</v>
      </c>
      <c r="F202" s="5" t="s">
        <v>6</v>
      </c>
      <c r="G202" s="5" t="s">
        <v>21</v>
      </c>
      <c r="H202" s="3">
        <v>284</v>
      </c>
      <c r="I202" s="3"/>
      <c r="J202" s="4" t="str">
        <f t="shared" si="3"/>
        <v/>
      </c>
    </row>
    <row r="203" spans="1:10">
      <c r="A203" s="2">
        <v>2026</v>
      </c>
      <c r="B203" s="2">
        <v>10</v>
      </c>
      <c r="C203" s="2" t="s">
        <v>34</v>
      </c>
      <c r="D203" s="2">
        <v>4</v>
      </c>
      <c r="E203" s="2">
        <v>2</v>
      </c>
      <c r="F203" s="5" t="s">
        <v>6</v>
      </c>
      <c r="G203" s="5" t="s">
        <v>21</v>
      </c>
      <c r="H203" s="3">
        <v>284</v>
      </c>
      <c r="I203" s="3"/>
      <c r="J203" s="4" t="str">
        <f t="shared" si="3"/>
        <v/>
      </c>
    </row>
    <row r="204" spans="1:10">
      <c r="A204" s="2">
        <v>2026</v>
      </c>
      <c r="B204" s="2">
        <v>11</v>
      </c>
      <c r="C204" s="2" t="s">
        <v>35</v>
      </c>
      <c r="D204" s="2">
        <v>4</v>
      </c>
      <c r="E204" s="2">
        <v>2</v>
      </c>
      <c r="F204" s="5" t="s">
        <v>6</v>
      </c>
      <c r="G204" s="5" t="s">
        <v>21</v>
      </c>
      <c r="H204" s="3">
        <v>284</v>
      </c>
      <c r="I204" s="3"/>
      <c r="J204" s="4" t="str">
        <f t="shared" si="3"/>
        <v/>
      </c>
    </row>
    <row r="205" spans="1:10">
      <c r="A205" s="2">
        <v>2026</v>
      </c>
      <c r="B205" s="2">
        <v>12</v>
      </c>
      <c r="C205" s="2" t="s">
        <v>36</v>
      </c>
      <c r="D205" s="2">
        <v>4</v>
      </c>
      <c r="E205" s="2">
        <v>2</v>
      </c>
      <c r="F205" s="5" t="s">
        <v>6</v>
      </c>
      <c r="G205" s="5" t="s">
        <v>21</v>
      </c>
      <c r="H205" s="3">
        <v>284</v>
      </c>
      <c r="I205" s="3"/>
      <c r="J205" s="4" t="str">
        <f t="shared" si="3"/>
        <v/>
      </c>
    </row>
    <row r="206" spans="1:10">
      <c r="A206" s="2">
        <v>2026</v>
      </c>
      <c r="B206" s="2">
        <v>1</v>
      </c>
      <c r="C206" s="2" t="s">
        <v>14</v>
      </c>
      <c r="D206" s="2">
        <v>1</v>
      </c>
      <c r="E206" s="2">
        <v>1</v>
      </c>
      <c r="F206" s="5" t="s">
        <v>7</v>
      </c>
      <c r="G206" s="5" t="s">
        <v>21</v>
      </c>
      <c r="H206" s="3">
        <v>909</v>
      </c>
      <c r="I206" s="3">
        <v>152</v>
      </c>
      <c r="J206" s="4">
        <f t="shared" si="3"/>
        <v>0.16721672167216722</v>
      </c>
    </row>
    <row r="207" spans="1:10">
      <c r="A207" s="2">
        <v>2026</v>
      </c>
      <c r="B207" s="2">
        <v>2</v>
      </c>
      <c r="C207" s="2" t="s">
        <v>15</v>
      </c>
      <c r="D207" s="2">
        <v>1</v>
      </c>
      <c r="E207" s="2">
        <v>1</v>
      </c>
      <c r="F207" s="5" t="s">
        <v>7</v>
      </c>
      <c r="G207" s="5" t="s">
        <v>21</v>
      </c>
      <c r="H207" s="3">
        <v>909</v>
      </c>
      <c r="I207" s="3">
        <v>76</v>
      </c>
      <c r="J207" s="4">
        <f t="shared" si="3"/>
        <v>8.3608360836083612E-2</v>
      </c>
    </row>
    <row r="208" spans="1:10">
      <c r="A208" s="2">
        <v>2026</v>
      </c>
      <c r="B208" s="2">
        <v>3</v>
      </c>
      <c r="C208" s="2" t="s">
        <v>16</v>
      </c>
      <c r="D208" s="2">
        <v>1</v>
      </c>
      <c r="E208" s="2">
        <v>1</v>
      </c>
      <c r="F208" s="5" t="s">
        <v>7</v>
      </c>
      <c r="G208" s="5" t="s">
        <v>21</v>
      </c>
      <c r="H208" s="3">
        <v>909</v>
      </c>
      <c r="I208" s="3">
        <v>118</v>
      </c>
      <c r="J208" s="4">
        <f t="shared" si="3"/>
        <v>0.12981298129812982</v>
      </c>
    </row>
    <row r="209" spans="1:10">
      <c r="A209" s="2">
        <v>2026</v>
      </c>
      <c r="B209" s="2">
        <v>4</v>
      </c>
      <c r="C209" s="2" t="s">
        <v>17</v>
      </c>
      <c r="D209" s="2">
        <v>2</v>
      </c>
      <c r="E209" s="2">
        <v>1</v>
      </c>
      <c r="F209" s="5" t="s">
        <v>7</v>
      </c>
      <c r="G209" s="5" t="s">
        <v>21</v>
      </c>
      <c r="H209" s="3">
        <v>909</v>
      </c>
      <c r="I209" s="3">
        <v>79</v>
      </c>
      <c r="J209" s="4">
        <f t="shared" si="3"/>
        <v>8.690869086908691E-2</v>
      </c>
    </row>
    <row r="210" spans="1:10">
      <c r="A210" s="2">
        <v>2026</v>
      </c>
      <c r="B210" s="2">
        <v>5</v>
      </c>
      <c r="C210" s="2" t="s">
        <v>18</v>
      </c>
      <c r="D210" s="2">
        <v>2</v>
      </c>
      <c r="E210" s="2">
        <v>1</v>
      </c>
      <c r="F210" s="5" t="s">
        <v>7</v>
      </c>
      <c r="G210" s="5" t="s">
        <v>21</v>
      </c>
      <c r="H210" s="3">
        <v>909</v>
      </c>
      <c r="I210" s="3">
        <v>70</v>
      </c>
      <c r="J210" s="4">
        <f t="shared" si="3"/>
        <v>7.7007700770077014E-2</v>
      </c>
    </row>
    <row r="211" spans="1:10">
      <c r="A211" s="2">
        <v>2026</v>
      </c>
      <c r="B211" s="2">
        <v>6</v>
      </c>
      <c r="C211" s="2" t="s">
        <v>19</v>
      </c>
      <c r="D211" s="2">
        <v>2</v>
      </c>
      <c r="E211" s="2">
        <v>1</v>
      </c>
      <c r="F211" s="5" t="s">
        <v>7</v>
      </c>
      <c r="G211" s="5" t="s">
        <v>21</v>
      </c>
      <c r="H211" s="3">
        <v>909</v>
      </c>
      <c r="I211" s="3">
        <v>100</v>
      </c>
      <c r="J211" s="4">
        <f t="shared" si="3"/>
        <v>0.11001100110011001</v>
      </c>
    </row>
    <row r="212" spans="1:10">
      <c r="A212" s="2">
        <v>2026</v>
      </c>
      <c r="B212" s="2">
        <v>7</v>
      </c>
      <c r="C212" s="2" t="s">
        <v>24</v>
      </c>
      <c r="D212" s="2">
        <v>3</v>
      </c>
      <c r="E212" s="2">
        <v>2</v>
      </c>
      <c r="F212" s="5" t="s">
        <v>7</v>
      </c>
      <c r="G212" s="5" t="s">
        <v>21</v>
      </c>
      <c r="H212" s="3">
        <v>909</v>
      </c>
      <c r="I212" s="3"/>
      <c r="J212" s="4" t="str">
        <f t="shared" si="3"/>
        <v/>
      </c>
    </row>
    <row r="213" spans="1:10">
      <c r="A213" s="2">
        <v>2026</v>
      </c>
      <c r="B213" s="2">
        <v>8</v>
      </c>
      <c r="C213" s="2" t="s">
        <v>32</v>
      </c>
      <c r="D213" s="2">
        <v>3</v>
      </c>
      <c r="E213" s="2">
        <v>2</v>
      </c>
      <c r="F213" s="5" t="s">
        <v>7</v>
      </c>
      <c r="G213" s="5" t="s">
        <v>21</v>
      </c>
      <c r="H213" s="3">
        <v>909</v>
      </c>
      <c r="I213" s="3"/>
      <c r="J213" s="4" t="str">
        <f t="shared" si="3"/>
        <v/>
      </c>
    </row>
    <row r="214" spans="1:10">
      <c r="A214" s="2">
        <v>2026</v>
      </c>
      <c r="B214" s="2">
        <v>9</v>
      </c>
      <c r="C214" s="2" t="s">
        <v>33</v>
      </c>
      <c r="D214" s="2">
        <v>3</v>
      </c>
      <c r="E214" s="2">
        <v>2</v>
      </c>
      <c r="F214" s="5" t="s">
        <v>7</v>
      </c>
      <c r="G214" s="5" t="s">
        <v>21</v>
      </c>
      <c r="H214" s="3">
        <v>909</v>
      </c>
      <c r="I214" s="3"/>
      <c r="J214" s="4" t="str">
        <f t="shared" si="3"/>
        <v/>
      </c>
    </row>
    <row r="215" spans="1:10">
      <c r="A215" s="2">
        <v>2026</v>
      </c>
      <c r="B215" s="2">
        <v>10</v>
      </c>
      <c r="C215" s="2" t="s">
        <v>34</v>
      </c>
      <c r="D215" s="2">
        <v>4</v>
      </c>
      <c r="E215" s="2">
        <v>2</v>
      </c>
      <c r="F215" s="5" t="s">
        <v>7</v>
      </c>
      <c r="G215" s="5" t="s">
        <v>21</v>
      </c>
      <c r="H215" s="3">
        <v>909</v>
      </c>
      <c r="I215" s="3"/>
      <c r="J215" s="4" t="str">
        <f t="shared" si="3"/>
        <v/>
      </c>
    </row>
    <row r="216" spans="1:10">
      <c r="A216" s="2">
        <v>2026</v>
      </c>
      <c r="B216" s="2">
        <v>11</v>
      </c>
      <c r="C216" s="2" t="s">
        <v>35</v>
      </c>
      <c r="D216" s="2">
        <v>4</v>
      </c>
      <c r="E216" s="2">
        <v>2</v>
      </c>
      <c r="F216" s="5" t="s">
        <v>7</v>
      </c>
      <c r="G216" s="5" t="s">
        <v>21</v>
      </c>
      <c r="H216" s="3">
        <v>909</v>
      </c>
      <c r="I216" s="3"/>
      <c r="J216" s="4" t="str">
        <f t="shared" si="3"/>
        <v/>
      </c>
    </row>
    <row r="217" spans="1:10">
      <c r="A217" s="2">
        <v>2026</v>
      </c>
      <c r="B217" s="2">
        <v>12</v>
      </c>
      <c r="C217" s="2" t="s">
        <v>36</v>
      </c>
      <c r="D217" s="2">
        <v>4</v>
      </c>
      <c r="E217" s="2">
        <v>2</v>
      </c>
      <c r="F217" s="5" t="s">
        <v>7</v>
      </c>
      <c r="G217" s="5" t="s">
        <v>21</v>
      </c>
      <c r="H217" s="3">
        <v>909</v>
      </c>
      <c r="I217" s="3"/>
      <c r="J217" s="4" t="str">
        <f t="shared" si="3"/>
        <v/>
      </c>
    </row>
    <row r="218" spans="1:10">
      <c r="A218" s="2">
        <v>2026</v>
      </c>
      <c r="B218" s="2">
        <v>1</v>
      </c>
      <c r="C218" s="2" t="s">
        <v>14</v>
      </c>
      <c r="D218" s="2">
        <v>1</v>
      </c>
      <c r="E218" s="2">
        <v>1</v>
      </c>
      <c r="F218" s="5" t="s">
        <v>8</v>
      </c>
      <c r="G218" s="5" t="s">
        <v>21</v>
      </c>
      <c r="H218" s="3">
        <v>188</v>
      </c>
      <c r="I218" s="3">
        <v>22</v>
      </c>
      <c r="J218" s="4">
        <f t="shared" si="3"/>
        <v>0.11702127659574468</v>
      </c>
    </row>
    <row r="219" spans="1:10">
      <c r="A219" s="2">
        <v>2026</v>
      </c>
      <c r="B219" s="2">
        <v>2</v>
      </c>
      <c r="C219" s="2" t="s">
        <v>15</v>
      </c>
      <c r="D219" s="2">
        <v>1</v>
      </c>
      <c r="E219" s="2">
        <v>1</v>
      </c>
      <c r="F219" s="5" t="s">
        <v>8</v>
      </c>
      <c r="G219" s="5" t="s">
        <v>21</v>
      </c>
      <c r="H219" s="3">
        <v>188</v>
      </c>
      <c r="I219" s="3">
        <v>23</v>
      </c>
      <c r="J219" s="4">
        <f t="shared" si="3"/>
        <v>0.12234042553191489</v>
      </c>
    </row>
    <row r="220" spans="1:10">
      <c r="A220" s="2">
        <v>2026</v>
      </c>
      <c r="B220" s="2">
        <v>3</v>
      </c>
      <c r="C220" s="2" t="s">
        <v>16</v>
      </c>
      <c r="D220" s="2">
        <v>1</v>
      </c>
      <c r="E220" s="2">
        <v>1</v>
      </c>
      <c r="F220" s="5" t="s">
        <v>8</v>
      </c>
      <c r="G220" s="5" t="s">
        <v>21</v>
      </c>
      <c r="H220" s="3">
        <v>188</v>
      </c>
      <c r="I220" s="3">
        <v>11</v>
      </c>
      <c r="J220" s="4">
        <f t="shared" si="3"/>
        <v>5.8510638297872342E-2</v>
      </c>
    </row>
    <row r="221" spans="1:10">
      <c r="A221" s="2">
        <v>2026</v>
      </c>
      <c r="B221" s="2">
        <v>4</v>
      </c>
      <c r="C221" s="2" t="s">
        <v>17</v>
      </c>
      <c r="D221" s="2">
        <v>2</v>
      </c>
      <c r="E221" s="2">
        <v>1</v>
      </c>
      <c r="F221" s="5" t="s">
        <v>8</v>
      </c>
      <c r="G221" s="5" t="s">
        <v>21</v>
      </c>
      <c r="H221" s="3">
        <v>188</v>
      </c>
      <c r="I221" s="3">
        <v>1</v>
      </c>
      <c r="J221" s="4">
        <f t="shared" si="3"/>
        <v>5.3191489361702126E-3</v>
      </c>
    </row>
    <row r="222" spans="1:10">
      <c r="A222" s="2">
        <v>2026</v>
      </c>
      <c r="B222" s="2">
        <v>5</v>
      </c>
      <c r="C222" s="2" t="s">
        <v>18</v>
      </c>
      <c r="D222" s="2">
        <v>2</v>
      </c>
      <c r="E222" s="2">
        <v>1</v>
      </c>
      <c r="F222" s="5" t="s">
        <v>8</v>
      </c>
      <c r="G222" s="5" t="s">
        <v>21</v>
      </c>
      <c r="H222" s="3">
        <v>188</v>
      </c>
      <c r="I222" s="3">
        <v>4</v>
      </c>
      <c r="J222" s="4">
        <f t="shared" si="3"/>
        <v>2.1276595744680851E-2</v>
      </c>
    </row>
    <row r="223" spans="1:10">
      <c r="A223" s="2">
        <v>2026</v>
      </c>
      <c r="B223" s="2">
        <v>6</v>
      </c>
      <c r="C223" s="2" t="s">
        <v>19</v>
      </c>
      <c r="D223" s="2">
        <v>2</v>
      </c>
      <c r="E223" s="2">
        <v>1</v>
      </c>
      <c r="F223" s="5" t="s">
        <v>8</v>
      </c>
      <c r="G223" s="5" t="s">
        <v>21</v>
      </c>
      <c r="H223" s="3">
        <v>188</v>
      </c>
      <c r="I223" s="3">
        <v>22</v>
      </c>
      <c r="J223" s="4">
        <f t="shared" si="3"/>
        <v>0.11702127659574468</v>
      </c>
    </row>
    <row r="224" spans="1:10">
      <c r="A224" s="2">
        <v>2026</v>
      </c>
      <c r="B224" s="2">
        <v>7</v>
      </c>
      <c r="C224" s="2" t="s">
        <v>24</v>
      </c>
      <c r="D224" s="2">
        <v>3</v>
      </c>
      <c r="E224" s="2">
        <v>2</v>
      </c>
      <c r="F224" s="5" t="s">
        <v>8</v>
      </c>
      <c r="G224" s="5" t="s">
        <v>21</v>
      </c>
      <c r="H224" s="3">
        <v>188</v>
      </c>
      <c r="I224" s="3"/>
      <c r="J224" s="4" t="str">
        <f t="shared" si="3"/>
        <v/>
      </c>
    </row>
    <row r="225" spans="1:10">
      <c r="A225" s="2">
        <v>2026</v>
      </c>
      <c r="B225" s="2">
        <v>8</v>
      </c>
      <c r="C225" s="2" t="s">
        <v>32</v>
      </c>
      <c r="D225" s="2">
        <v>3</v>
      </c>
      <c r="E225" s="2">
        <v>2</v>
      </c>
      <c r="F225" s="5" t="s">
        <v>8</v>
      </c>
      <c r="G225" s="5" t="s">
        <v>21</v>
      </c>
      <c r="H225" s="3">
        <v>188</v>
      </c>
      <c r="I225" s="3"/>
      <c r="J225" s="4" t="str">
        <f t="shared" si="3"/>
        <v/>
      </c>
    </row>
    <row r="226" spans="1:10">
      <c r="A226" s="2">
        <v>2026</v>
      </c>
      <c r="B226" s="2">
        <v>9</v>
      </c>
      <c r="C226" s="2" t="s">
        <v>33</v>
      </c>
      <c r="D226" s="2">
        <v>3</v>
      </c>
      <c r="E226" s="2">
        <v>2</v>
      </c>
      <c r="F226" s="5" t="s">
        <v>8</v>
      </c>
      <c r="G226" s="5" t="s">
        <v>21</v>
      </c>
      <c r="H226" s="3">
        <v>188</v>
      </c>
      <c r="I226" s="3"/>
      <c r="J226" s="4" t="str">
        <f t="shared" si="3"/>
        <v/>
      </c>
    </row>
    <row r="227" spans="1:10">
      <c r="A227" s="2">
        <v>2026</v>
      </c>
      <c r="B227" s="2">
        <v>10</v>
      </c>
      <c r="C227" s="2" t="s">
        <v>34</v>
      </c>
      <c r="D227" s="2">
        <v>4</v>
      </c>
      <c r="E227" s="2">
        <v>2</v>
      </c>
      <c r="F227" s="5" t="s">
        <v>8</v>
      </c>
      <c r="G227" s="5" t="s">
        <v>21</v>
      </c>
      <c r="H227" s="3">
        <v>188</v>
      </c>
      <c r="I227" s="3"/>
      <c r="J227" s="4" t="str">
        <f t="shared" si="3"/>
        <v/>
      </c>
    </row>
    <row r="228" spans="1:10">
      <c r="A228" s="2">
        <v>2026</v>
      </c>
      <c r="B228" s="2">
        <v>11</v>
      </c>
      <c r="C228" s="2" t="s">
        <v>35</v>
      </c>
      <c r="D228" s="2">
        <v>4</v>
      </c>
      <c r="E228" s="2">
        <v>2</v>
      </c>
      <c r="F228" s="5" t="s">
        <v>8</v>
      </c>
      <c r="G228" s="5" t="s">
        <v>21</v>
      </c>
      <c r="H228" s="3">
        <v>188</v>
      </c>
      <c r="I228" s="3"/>
      <c r="J228" s="4" t="str">
        <f t="shared" si="3"/>
        <v/>
      </c>
    </row>
    <row r="229" spans="1:10">
      <c r="A229" s="2">
        <v>2026</v>
      </c>
      <c r="B229" s="2">
        <v>12</v>
      </c>
      <c r="C229" s="2" t="s">
        <v>36</v>
      </c>
      <c r="D229" s="2">
        <v>4</v>
      </c>
      <c r="E229" s="2">
        <v>2</v>
      </c>
      <c r="F229" s="5" t="s">
        <v>8</v>
      </c>
      <c r="G229" s="5" t="s">
        <v>21</v>
      </c>
      <c r="H229" s="3">
        <v>188</v>
      </c>
      <c r="I229" s="3"/>
      <c r="J229" s="4" t="str">
        <f t="shared" si="3"/>
        <v/>
      </c>
    </row>
    <row r="230" spans="1:10">
      <c r="A230" s="2">
        <v>2026</v>
      </c>
      <c r="B230" s="2">
        <v>1</v>
      </c>
      <c r="C230" s="2" t="s">
        <v>14</v>
      </c>
      <c r="D230" s="2">
        <v>1</v>
      </c>
      <c r="E230" s="2">
        <v>1</v>
      </c>
      <c r="F230" s="5" t="s">
        <v>9</v>
      </c>
      <c r="G230" s="5" t="s">
        <v>21</v>
      </c>
      <c r="H230" s="3">
        <v>459</v>
      </c>
      <c r="I230" s="3">
        <v>8</v>
      </c>
      <c r="J230" s="4">
        <f t="shared" si="3"/>
        <v>1.7429193899782137E-2</v>
      </c>
    </row>
    <row r="231" spans="1:10">
      <c r="A231" s="2">
        <v>2026</v>
      </c>
      <c r="B231" s="2">
        <v>2</v>
      </c>
      <c r="C231" s="2" t="s">
        <v>15</v>
      </c>
      <c r="D231" s="2">
        <v>1</v>
      </c>
      <c r="E231" s="2">
        <v>1</v>
      </c>
      <c r="F231" s="5" t="s">
        <v>9</v>
      </c>
      <c r="G231" s="5" t="s">
        <v>21</v>
      </c>
      <c r="H231" s="3">
        <v>459</v>
      </c>
      <c r="I231" s="3">
        <v>11</v>
      </c>
      <c r="J231" s="4">
        <f t="shared" si="3"/>
        <v>2.3965141612200435E-2</v>
      </c>
    </row>
    <row r="232" spans="1:10">
      <c r="A232" s="2">
        <v>2026</v>
      </c>
      <c r="B232" s="2">
        <v>3</v>
      </c>
      <c r="C232" s="2" t="s">
        <v>16</v>
      </c>
      <c r="D232" s="2">
        <v>1</v>
      </c>
      <c r="E232" s="2">
        <v>1</v>
      </c>
      <c r="F232" s="5" t="s">
        <v>9</v>
      </c>
      <c r="G232" s="5" t="s">
        <v>21</v>
      </c>
      <c r="H232" s="3">
        <v>459</v>
      </c>
      <c r="I232" s="3">
        <v>23</v>
      </c>
      <c r="J232" s="4">
        <f t="shared" si="3"/>
        <v>5.0108932461873638E-2</v>
      </c>
    </row>
    <row r="233" spans="1:10">
      <c r="A233" s="2">
        <v>2026</v>
      </c>
      <c r="B233" s="2">
        <v>4</v>
      </c>
      <c r="C233" s="2" t="s">
        <v>17</v>
      </c>
      <c r="D233" s="2">
        <v>2</v>
      </c>
      <c r="E233" s="2">
        <v>1</v>
      </c>
      <c r="F233" s="5" t="s">
        <v>9</v>
      </c>
      <c r="G233" s="5" t="s">
        <v>21</v>
      </c>
      <c r="H233" s="3">
        <v>459</v>
      </c>
      <c r="I233" s="3">
        <v>6</v>
      </c>
      <c r="J233" s="4">
        <f t="shared" si="3"/>
        <v>1.3071895424836602E-2</v>
      </c>
    </row>
    <row r="234" spans="1:10">
      <c r="A234" s="2">
        <v>2026</v>
      </c>
      <c r="B234" s="2">
        <v>5</v>
      </c>
      <c r="C234" s="2" t="s">
        <v>18</v>
      </c>
      <c r="D234" s="2">
        <v>2</v>
      </c>
      <c r="E234" s="2">
        <v>1</v>
      </c>
      <c r="F234" s="5" t="s">
        <v>9</v>
      </c>
      <c r="G234" s="5" t="s">
        <v>21</v>
      </c>
      <c r="H234" s="3">
        <v>459</v>
      </c>
      <c r="I234" s="3">
        <v>29</v>
      </c>
      <c r="J234" s="4">
        <f t="shared" si="3"/>
        <v>6.3180827886710242E-2</v>
      </c>
    </row>
    <row r="235" spans="1:10">
      <c r="A235" s="2">
        <v>2026</v>
      </c>
      <c r="B235" s="2">
        <v>6</v>
      </c>
      <c r="C235" s="2" t="s">
        <v>19</v>
      </c>
      <c r="D235" s="2">
        <v>2</v>
      </c>
      <c r="E235" s="2">
        <v>1</v>
      </c>
      <c r="F235" s="5" t="s">
        <v>9</v>
      </c>
      <c r="G235" s="5" t="s">
        <v>21</v>
      </c>
      <c r="H235" s="3">
        <v>459</v>
      </c>
      <c r="I235" s="3">
        <v>42</v>
      </c>
      <c r="J235" s="4">
        <f t="shared" si="3"/>
        <v>9.1503267973856203E-2</v>
      </c>
    </row>
    <row r="236" spans="1:10">
      <c r="A236" s="2">
        <v>2026</v>
      </c>
      <c r="B236" s="2">
        <v>7</v>
      </c>
      <c r="C236" s="2" t="s">
        <v>24</v>
      </c>
      <c r="D236" s="2">
        <v>3</v>
      </c>
      <c r="E236" s="2">
        <v>2</v>
      </c>
      <c r="F236" s="5" t="s">
        <v>9</v>
      </c>
      <c r="G236" s="5" t="s">
        <v>21</v>
      </c>
      <c r="H236" s="3">
        <v>459</v>
      </c>
      <c r="I236" s="3"/>
      <c r="J236" s="4" t="str">
        <f t="shared" si="3"/>
        <v/>
      </c>
    </row>
    <row r="237" spans="1:10">
      <c r="A237" s="2">
        <v>2026</v>
      </c>
      <c r="B237" s="2">
        <v>8</v>
      </c>
      <c r="C237" s="2" t="s">
        <v>32</v>
      </c>
      <c r="D237" s="2">
        <v>3</v>
      </c>
      <c r="E237" s="2">
        <v>2</v>
      </c>
      <c r="F237" s="5" t="s">
        <v>9</v>
      </c>
      <c r="G237" s="5" t="s">
        <v>21</v>
      </c>
      <c r="H237" s="3">
        <v>459</v>
      </c>
      <c r="I237" s="3"/>
      <c r="J237" s="4" t="str">
        <f t="shared" si="3"/>
        <v/>
      </c>
    </row>
    <row r="238" spans="1:10">
      <c r="A238" s="2">
        <v>2026</v>
      </c>
      <c r="B238" s="2">
        <v>9</v>
      </c>
      <c r="C238" s="2" t="s">
        <v>33</v>
      </c>
      <c r="D238" s="2">
        <v>3</v>
      </c>
      <c r="E238" s="2">
        <v>2</v>
      </c>
      <c r="F238" s="5" t="s">
        <v>9</v>
      </c>
      <c r="G238" s="5" t="s">
        <v>21</v>
      </c>
      <c r="H238" s="3">
        <v>459</v>
      </c>
      <c r="I238" s="3"/>
      <c r="J238" s="4" t="str">
        <f t="shared" si="3"/>
        <v/>
      </c>
    </row>
    <row r="239" spans="1:10">
      <c r="A239" s="2">
        <v>2026</v>
      </c>
      <c r="B239" s="2">
        <v>10</v>
      </c>
      <c r="C239" s="2" t="s">
        <v>34</v>
      </c>
      <c r="D239" s="2">
        <v>4</v>
      </c>
      <c r="E239" s="2">
        <v>2</v>
      </c>
      <c r="F239" s="5" t="s">
        <v>9</v>
      </c>
      <c r="G239" s="5" t="s">
        <v>21</v>
      </c>
      <c r="H239" s="3">
        <v>459</v>
      </c>
      <c r="I239" s="3"/>
      <c r="J239" s="4" t="str">
        <f t="shared" si="3"/>
        <v/>
      </c>
    </row>
    <row r="240" spans="1:10">
      <c r="A240" s="2">
        <v>2026</v>
      </c>
      <c r="B240" s="2">
        <v>11</v>
      </c>
      <c r="C240" s="2" t="s">
        <v>35</v>
      </c>
      <c r="D240" s="2">
        <v>4</v>
      </c>
      <c r="E240" s="2">
        <v>2</v>
      </c>
      <c r="F240" s="5" t="s">
        <v>9</v>
      </c>
      <c r="G240" s="5" t="s">
        <v>21</v>
      </c>
      <c r="H240" s="3">
        <v>459</v>
      </c>
      <c r="I240" s="3"/>
      <c r="J240" s="4" t="str">
        <f t="shared" si="3"/>
        <v/>
      </c>
    </row>
    <row r="241" spans="1:10">
      <c r="A241" s="2">
        <v>2026</v>
      </c>
      <c r="B241" s="2">
        <v>12</v>
      </c>
      <c r="C241" s="2" t="s">
        <v>36</v>
      </c>
      <c r="D241" s="2">
        <v>4</v>
      </c>
      <c r="E241" s="2">
        <v>2</v>
      </c>
      <c r="F241" s="5" t="s">
        <v>9</v>
      </c>
      <c r="G241" s="5" t="s">
        <v>21</v>
      </c>
      <c r="H241" s="3">
        <v>459</v>
      </c>
      <c r="I241" s="3"/>
      <c r="J241" s="4" t="str">
        <f t="shared" si="3"/>
        <v/>
      </c>
    </row>
    <row r="242" spans="1:10">
      <c r="A242" s="2">
        <v>2026</v>
      </c>
      <c r="B242" s="2">
        <v>1</v>
      </c>
      <c r="C242" s="2" t="s">
        <v>14</v>
      </c>
      <c r="D242" s="2">
        <v>1</v>
      </c>
      <c r="E242" s="2">
        <v>1</v>
      </c>
      <c r="F242" s="5" t="s">
        <v>10</v>
      </c>
      <c r="G242" s="5" t="s">
        <v>21</v>
      </c>
      <c r="H242" s="3">
        <v>341</v>
      </c>
      <c r="I242" s="3">
        <v>1</v>
      </c>
      <c r="J242" s="4">
        <f t="shared" si="3"/>
        <v>2.9325513196480938E-3</v>
      </c>
    </row>
    <row r="243" spans="1:10">
      <c r="A243" s="2">
        <v>2026</v>
      </c>
      <c r="B243" s="2">
        <v>2</v>
      </c>
      <c r="C243" s="2" t="s">
        <v>15</v>
      </c>
      <c r="D243" s="2">
        <v>1</v>
      </c>
      <c r="E243" s="2">
        <v>1</v>
      </c>
      <c r="F243" s="5" t="s">
        <v>10</v>
      </c>
      <c r="G243" s="5" t="s">
        <v>21</v>
      </c>
      <c r="H243" s="3">
        <v>341</v>
      </c>
      <c r="I243" s="3">
        <v>0</v>
      </c>
      <c r="J243" s="4">
        <f t="shared" si="3"/>
        <v>0</v>
      </c>
    </row>
    <row r="244" spans="1:10">
      <c r="A244" s="2">
        <v>2026</v>
      </c>
      <c r="B244" s="2">
        <v>3</v>
      </c>
      <c r="C244" s="2" t="s">
        <v>16</v>
      </c>
      <c r="D244" s="2">
        <v>1</v>
      </c>
      <c r="E244" s="2">
        <v>1</v>
      </c>
      <c r="F244" s="5" t="s">
        <v>10</v>
      </c>
      <c r="G244" s="5" t="s">
        <v>21</v>
      </c>
      <c r="H244" s="3">
        <v>341</v>
      </c>
      <c r="I244" s="3">
        <v>7</v>
      </c>
      <c r="J244" s="4">
        <f t="shared" si="3"/>
        <v>2.0527859237536656E-2</v>
      </c>
    </row>
    <row r="245" spans="1:10">
      <c r="A245" s="2">
        <v>2026</v>
      </c>
      <c r="B245" s="2">
        <v>4</v>
      </c>
      <c r="C245" s="2" t="s">
        <v>17</v>
      </c>
      <c r="D245" s="2">
        <v>2</v>
      </c>
      <c r="E245" s="2">
        <v>1</v>
      </c>
      <c r="F245" s="5" t="s">
        <v>10</v>
      </c>
      <c r="G245" s="5" t="s">
        <v>21</v>
      </c>
      <c r="H245" s="3">
        <v>341</v>
      </c>
      <c r="I245" s="3">
        <v>16</v>
      </c>
      <c r="J245" s="4">
        <f t="shared" si="3"/>
        <v>4.6920821114369501E-2</v>
      </c>
    </row>
    <row r="246" spans="1:10">
      <c r="A246" s="2">
        <v>2026</v>
      </c>
      <c r="B246" s="2">
        <v>5</v>
      </c>
      <c r="C246" s="2" t="s">
        <v>18</v>
      </c>
      <c r="D246" s="2">
        <v>2</v>
      </c>
      <c r="E246" s="2">
        <v>1</v>
      </c>
      <c r="F246" s="5" t="s">
        <v>10</v>
      </c>
      <c r="G246" s="5" t="s">
        <v>21</v>
      </c>
      <c r="H246" s="3">
        <v>341</v>
      </c>
      <c r="I246" s="3">
        <v>28</v>
      </c>
      <c r="J246" s="4">
        <f t="shared" si="3"/>
        <v>8.2111436950146624E-2</v>
      </c>
    </row>
    <row r="247" spans="1:10">
      <c r="A247" s="2">
        <v>2026</v>
      </c>
      <c r="B247" s="2">
        <v>6</v>
      </c>
      <c r="C247" s="2" t="s">
        <v>19</v>
      </c>
      <c r="D247" s="2">
        <v>2</v>
      </c>
      <c r="E247" s="2">
        <v>1</v>
      </c>
      <c r="F247" s="5" t="s">
        <v>10</v>
      </c>
      <c r="G247" s="5" t="s">
        <v>21</v>
      </c>
      <c r="H247" s="3">
        <v>341</v>
      </c>
      <c r="I247" s="3">
        <v>33</v>
      </c>
      <c r="J247" s="4">
        <f t="shared" si="3"/>
        <v>9.6774193548387094E-2</v>
      </c>
    </row>
    <row r="248" spans="1:10">
      <c r="A248" s="2">
        <v>2026</v>
      </c>
      <c r="B248" s="2">
        <v>7</v>
      </c>
      <c r="C248" s="2" t="s">
        <v>24</v>
      </c>
      <c r="D248" s="2">
        <v>3</v>
      </c>
      <c r="E248" s="2">
        <v>2</v>
      </c>
      <c r="F248" s="5" t="s">
        <v>10</v>
      </c>
      <c r="G248" s="5" t="s">
        <v>21</v>
      </c>
      <c r="H248" s="3">
        <v>341</v>
      </c>
      <c r="I248" s="3"/>
      <c r="J248" s="4" t="str">
        <f t="shared" si="3"/>
        <v/>
      </c>
    </row>
    <row r="249" spans="1:10">
      <c r="A249" s="2">
        <v>2026</v>
      </c>
      <c r="B249" s="2">
        <v>8</v>
      </c>
      <c r="C249" s="2" t="s">
        <v>32</v>
      </c>
      <c r="D249" s="2">
        <v>3</v>
      </c>
      <c r="E249" s="2">
        <v>2</v>
      </c>
      <c r="F249" s="5" t="s">
        <v>10</v>
      </c>
      <c r="G249" s="5" t="s">
        <v>21</v>
      </c>
      <c r="H249" s="3">
        <v>341</v>
      </c>
      <c r="I249" s="3"/>
      <c r="J249" s="4" t="str">
        <f t="shared" si="3"/>
        <v/>
      </c>
    </row>
    <row r="250" spans="1:10">
      <c r="A250" s="2">
        <v>2026</v>
      </c>
      <c r="B250" s="2">
        <v>9</v>
      </c>
      <c r="C250" s="2" t="s">
        <v>33</v>
      </c>
      <c r="D250" s="2">
        <v>3</v>
      </c>
      <c r="E250" s="2">
        <v>2</v>
      </c>
      <c r="F250" s="5" t="s">
        <v>10</v>
      </c>
      <c r="G250" s="5" t="s">
        <v>21</v>
      </c>
      <c r="H250" s="3">
        <v>341</v>
      </c>
      <c r="I250" s="3"/>
      <c r="J250" s="4" t="str">
        <f t="shared" si="3"/>
        <v/>
      </c>
    </row>
    <row r="251" spans="1:10">
      <c r="A251" s="2">
        <v>2026</v>
      </c>
      <c r="B251" s="2">
        <v>10</v>
      </c>
      <c r="C251" s="2" t="s">
        <v>34</v>
      </c>
      <c r="D251" s="2">
        <v>4</v>
      </c>
      <c r="E251" s="2">
        <v>2</v>
      </c>
      <c r="F251" s="5" t="s">
        <v>10</v>
      </c>
      <c r="G251" s="5" t="s">
        <v>21</v>
      </c>
      <c r="H251" s="3">
        <v>341</v>
      </c>
      <c r="I251" s="3"/>
      <c r="J251" s="4" t="str">
        <f t="shared" si="3"/>
        <v/>
      </c>
    </row>
    <row r="252" spans="1:10">
      <c r="A252" s="2">
        <v>2026</v>
      </c>
      <c r="B252" s="2">
        <v>11</v>
      </c>
      <c r="C252" s="2" t="s">
        <v>35</v>
      </c>
      <c r="D252" s="2">
        <v>4</v>
      </c>
      <c r="E252" s="2">
        <v>2</v>
      </c>
      <c r="F252" s="5" t="s">
        <v>10</v>
      </c>
      <c r="G252" s="5" t="s">
        <v>21</v>
      </c>
      <c r="H252" s="3">
        <v>341</v>
      </c>
      <c r="I252" s="3"/>
      <c r="J252" s="4" t="str">
        <f t="shared" si="3"/>
        <v/>
      </c>
    </row>
    <row r="253" spans="1:10">
      <c r="A253" s="2">
        <v>2026</v>
      </c>
      <c r="B253" s="2">
        <v>12</v>
      </c>
      <c r="C253" s="2" t="s">
        <v>36</v>
      </c>
      <c r="D253" s="2">
        <v>4</v>
      </c>
      <c r="E253" s="2">
        <v>2</v>
      </c>
      <c r="F253" s="5" t="s">
        <v>10</v>
      </c>
      <c r="G253" s="5" t="s">
        <v>21</v>
      </c>
      <c r="H253" s="3">
        <v>341</v>
      </c>
      <c r="I253" s="3"/>
      <c r="J253" s="4" t="str">
        <f t="shared" si="3"/>
        <v/>
      </c>
    </row>
    <row r="254" spans="1:10">
      <c r="A254" s="2">
        <v>2026</v>
      </c>
      <c r="B254" s="2">
        <v>1</v>
      </c>
      <c r="C254" s="2" t="s">
        <v>14</v>
      </c>
      <c r="D254" s="2">
        <v>1</v>
      </c>
      <c r="E254" s="2">
        <v>1</v>
      </c>
      <c r="F254" s="5" t="s">
        <v>11</v>
      </c>
      <c r="G254" s="5" t="s">
        <v>21</v>
      </c>
      <c r="H254" s="3">
        <v>726</v>
      </c>
      <c r="I254" s="3">
        <v>9</v>
      </c>
      <c r="J254" s="4">
        <f t="shared" si="3"/>
        <v>1.2396694214876033E-2</v>
      </c>
    </row>
    <row r="255" spans="1:10">
      <c r="A255" s="2">
        <v>2026</v>
      </c>
      <c r="B255" s="2">
        <v>2</v>
      </c>
      <c r="C255" s="2" t="s">
        <v>15</v>
      </c>
      <c r="D255" s="2">
        <v>1</v>
      </c>
      <c r="E255" s="2">
        <v>1</v>
      </c>
      <c r="F255" s="5" t="s">
        <v>11</v>
      </c>
      <c r="G255" s="5" t="s">
        <v>21</v>
      </c>
      <c r="H255" s="3">
        <v>726</v>
      </c>
      <c r="I255" s="3">
        <v>1</v>
      </c>
      <c r="J255" s="4">
        <f t="shared" si="3"/>
        <v>1.3774104683195593E-3</v>
      </c>
    </row>
    <row r="256" spans="1:10">
      <c r="A256" s="2">
        <v>2026</v>
      </c>
      <c r="B256" s="2">
        <v>3</v>
      </c>
      <c r="C256" s="2" t="s">
        <v>16</v>
      </c>
      <c r="D256" s="2">
        <v>1</v>
      </c>
      <c r="E256" s="2">
        <v>1</v>
      </c>
      <c r="F256" s="5" t="s">
        <v>11</v>
      </c>
      <c r="G256" s="5" t="s">
        <v>21</v>
      </c>
      <c r="H256" s="3">
        <v>726</v>
      </c>
      <c r="I256" s="3">
        <v>2</v>
      </c>
      <c r="J256" s="4">
        <f t="shared" si="3"/>
        <v>2.7548209366391185E-3</v>
      </c>
    </row>
    <row r="257" spans="1:10">
      <c r="A257" s="2">
        <v>2026</v>
      </c>
      <c r="B257" s="2">
        <v>4</v>
      </c>
      <c r="C257" s="2" t="s">
        <v>17</v>
      </c>
      <c r="D257" s="2">
        <v>2</v>
      </c>
      <c r="E257" s="2">
        <v>1</v>
      </c>
      <c r="F257" s="5" t="s">
        <v>11</v>
      </c>
      <c r="G257" s="5" t="s">
        <v>21</v>
      </c>
      <c r="H257" s="3">
        <v>726</v>
      </c>
      <c r="I257" s="3">
        <v>3</v>
      </c>
      <c r="J257" s="4">
        <f t="shared" si="3"/>
        <v>4.1322314049586778E-3</v>
      </c>
    </row>
    <row r="258" spans="1:10">
      <c r="A258" s="2">
        <v>2026</v>
      </c>
      <c r="B258" s="2">
        <v>5</v>
      </c>
      <c r="C258" s="2" t="s">
        <v>18</v>
      </c>
      <c r="D258" s="2">
        <v>2</v>
      </c>
      <c r="E258" s="2">
        <v>1</v>
      </c>
      <c r="F258" s="5" t="s">
        <v>11</v>
      </c>
      <c r="G258" s="5" t="s">
        <v>21</v>
      </c>
      <c r="H258" s="3">
        <v>726</v>
      </c>
      <c r="I258" s="3">
        <v>4</v>
      </c>
      <c r="J258" s="4">
        <f t="shared" ref="J258:J321" si="4">IF(I258="","",IFERROR(I258/H258,0))</f>
        <v>5.5096418732782371E-3</v>
      </c>
    </row>
    <row r="259" spans="1:10">
      <c r="A259" s="2">
        <v>2026</v>
      </c>
      <c r="B259" s="2">
        <v>6</v>
      </c>
      <c r="C259" s="2" t="s">
        <v>19</v>
      </c>
      <c r="D259" s="2">
        <v>2</v>
      </c>
      <c r="E259" s="2">
        <v>1</v>
      </c>
      <c r="F259" s="5" t="s">
        <v>11</v>
      </c>
      <c r="G259" s="5" t="s">
        <v>21</v>
      </c>
      <c r="H259" s="3">
        <v>726</v>
      </c>
      <c r="I259" s="3">
        <v>0</v>
      </c>
      <c r="J259" s="4">
        <f t="shared" si="4"/>
        <v>0</v>
      </c>
    </row>
    <row r="260" spans="1:10">
      <c r="A260" s="2">
        <v>2026</v>
      </c>
      <c r="B260" s="2">
        <v>7</v>
      </c>
      <c r="C260" s="2" t="s">
        <v>24</v>
      </c>
      <c r="D260" s="2">
        <v>3</v>
      </c>
      <c r="E260" s="2">
        <v>2</v>
      </c>
      <c r="F260" s="5" t="s">
        <v>11</v>
      </c>
      <c r="G260" s="5" t="s">
        <v>21</v>
      </c>
      <c r="H260" s="3">
        <v>726</v>
      </c>
      <c r="I260" s="3"/>
      <c r="J260" s="4" t="str">
        <f t="shared" si="4"/>
        <v/>
      </c>
    </row>
    <row r="261" spans="1:10">
      <c r="A261" s="2">
        <v>2026</v>
      </c>
      <c r="B261" s="2">
        <v>8</v>
      </c>
      <c r="C261" s="2" t="s">
        <v>32</v>
      </c>
      <c r="D261" s="2">
        <v>3</v>
      </c>
      <c r="E261" s="2">
        <v>2</v>
      </c>
      <c r="F261" s="5" t="s">
        <v>11</v>
      </c>
      <c r="G261" s="5" t="s">
        <v>21</v>
      </c>
      <c r="H261" s="3">
        <v>726</v>
      </c>
      <c r="I261" s="3"/>
      <c r="J261" s="4" t="str">
        <f t="shared" si="4"/>
        <v/>
      </c>
    </row>
    <row r="262" spans="1:10">
      <c r="A262" s="2">
        <v>2026</v>
      </c>
      <c r="B262" s="2">
        <v>9</v>
      </c>
      <c r="C262" s="2" t="s">
        <v>33</v>
      </c>
      <c r="D262" s="2">
        <v>3</v>
      </c>
      <c r="E262" s="2">
        <v>2</v>
      </c>
      <c r="F262" s="5" t="s">
        <v>11</v>
      </c>
      <c r="G262" s="5" t="s">
        <v>21</v>
      </c>
      <c r="H262" s="3">
        <v>726</v>
      </c>
      <c r="I262" s="3"/>
      <c r="J262" s="4" t="str">
        <f t="shared" si="4"/>
        <v/>
      </c>
    </row>
    <row r="263" spans="1:10">
      <c r="A263" s="2">
        <v>2026</v>
      </c>
      <c r="B263" s="2">
        <v>10</v>
      </c>
      <c r="C263" s="2" t="s">
        <v>34</v>
      </c>
      <c r="D263" s="2">
        <v>4</v>
      </c>
      <c r="E263" s="2">
        <v>2</v>
      </c>
      <c r="F263" s="5" t="s">
        <v>11</v>
      </c>
      <c r="G263" s="5" t="s">
        <v>21</v>
      </c>
      <c r="H263" s="3">
        <v>726</v>
      </c>
      <c r="I263" s="3"/>
      <c r="J263" s="4" t="str">
        <f t="shared" si="4"/>
        <v/>
      </c>
    </row>
    <row r="264" spans="1:10">
      <c r="A264" s="2">
        <v>2026</v>
      </c>
      <c r="B264" s="2">
        <v>11</v>
      </c>
      <c r="C264" s="2" t="s">
        <v>35</v>
      </c>
      <c r="D264" s="2">
        <v>4</v>
      </c>
      <c r="E264" s="2">
        <v>2</v>
      </c>
      <c r="F264" s="5" t="s">
        <v>11</v>
      </c>
      <c r="G264" s="5" t="s">
        <v>21</v>
      </c>
      <c r="H264" s="3">
        <v>726</v>
      </c>
      <c r="I264" s="3"/>
      <c r="J264" s="4" t="str">
        <f t="shared" si="4"/>
        <v/>
      </c>
    </row>
    <row r="265" spans="1:10">
      <c r="A265" s="2">
        <v>2026</v>
      </c>
      <c r="B265" s="2">
        <v>12</v>
      </c>
      <c r="C265" s="2" t="s">
        <v>36</v>
      </c>
      <c r="D265" s="2">
        <v>4</v>
      </c>
      <c r="E265" s="2">
        <v>2</v>
      </c>
      <c r="F265" s="5" t="s">
        <v>11</v>
      </c>
      <c r="G265" s="5" t="s">
        <v>21</v>
      </c>
      <c r="H265" s="3">
        <v>726</v>
      </c>
      <c r="I265" s="3"/>
      <c r="J265" s="4" t="str">
        <f t="shared" si="4"/>
        <v/>
      </c>
    </row>
    <row r="266" spans="1:10">
      <c r="A266" s="2">
        <v>2026</v>
      </c>
      <c r="B266" s="2">
        <v>1</v>
      </c>
      <c r="C266" s="2" t="s">
        <v>14</v>
      </c>
      <c r="D266" s="2">
        <v>1</v>
      </c>
      <c r="E266" s="2">
        <v>1</v>
      </c>
      <c r="F266" s="5" t="s">
        <v>12</v>
      </c>
      <c r="G266" s="5" t="s">
        <v>21</v>
      </c>
      <c r="H266" s="3">
        <v>282</v>
      </c>
      <c r="I266" s="3">
        <v>38</v>
      </c>
      <c r="J266" s="4">
        <f t="shared" si="4"/>
        <v>0.13475177304964539</v>
      </c>
    </row>
    <row r="267" spans="1:10">
      <c r="A267" s="2">
        <v>2026</v>
      </c>
      <c r="B267" s="2">
        <v>2</v>
      </c>
      <c r="C267" s="2" t="s">
        <v>15</v>
      </c>
      <c r="D267" s="2">
        <v>1</v>
      </c>
      <c r="E267" s="2">
        <v>1</v>
      </c>
      <c r="F267" s="5" t="s">
        <v>12</v>
      </c>
      <c r="G267" s="5" t="s">
        <v>21</v>
      </c>
      <c r="H267" s="3">
        <v>282</v>
      </c>
      <c r="I267" s="3">
        <v>48</v>
      </c>
      <c r="J267" s="4">
        <f t="shared" si="4"/>
        <v>0.1702127659574468</v>
      </c>
    </row>
    <row r="268" spans="1:10">
      <c r="A268" s="2">
        <v>2026</v>
      </c>
      <c r="B268" s="2">
        <v>3</v>
      </c>
      <c r="C268" s="2" t="s">
        <v>16</v>
      </c>
      <c r="D268" s="2">
        <v>1</v>
      </c>
      <c r="E268" s="2">
        <v>1</v>
      </c>
      <c r="F268" s="5" t="s">
        <v>12</v>
      </c>
      <c r="G268" s="5" t="s">
        <v>21</v>
      </c>
      <c r="H268" s="3">
        <v>282</v>
      </c>
      <c r="I268" s="3">
        <v>32</v>
      </c>
      <c r="J268" s="4">
        <f t="shared" si="4"/>
        <v>0.11347517730496454</v>
      </c>
    </row>
    <row r="269" spans="1:10">
      <c r="A269" s="2">
        <v>2026</v>
      </c>
      <c r="B269" s="2">
        <v>4</v>
      </c>
      <c r="C269" s="2" t="s">
        <v>17</v>
      </c>
      <c r="D269" s="2">
        <v>2</v>
      </c>
      <c r="E269" s="2">
        <v>1</v>
      </c>
      <c r="F269" s="5" t="s">
        <v>12</v>
      </c>
      <c r="G269" s="5" t="s">
        <v>21</v>
      </c>
      <c r="H269" s="3">
        <v>282</v>
      </c>
      <c r="I269" s="3">
        <v>19</v>
      </c>
      <c r="J269" s="4">
        <f t="shared" si="4"/>
        <v>6.7375886524822695E-2</v>
      </c>
    </row>
    <row r="270" spans="1:10">
      <c r="A270" s="2">
        <v>2026</v>
      </c>
      <c r="B270" s="2">
        <v>5</v>
      </c>
      <c r="C270" s="2" t="s">
        <v>18</v>
      </c>
      <c r="D270" s="2">
        <v>2</v>
      </c>
      <c r="E270" s="2">
        <v>1</v>
      </c>
      <c r="F270" s="5" t="s">
        <v>12</v>
      </c>
      <c r="G270" s="5" t="s">
        <v>21</v>
      </c>
      <c r="H270" s="3">
        <v>282</v>
      </c>
      <c r="I270" s="3">
        <v>27</v>
      </c>
      <c r="J270" s="4">
        <f t="shared" si="4"/>
        <v>9.5744680851063829E-2</v>
      </c>
    </row>
    <row r="271" spans="1:10">
      <c r="A271" s="2">
        <v>2026</v>
      </c>
      <c r="B271" s="2">
        <v>6</v>
      </c>
      <c r="C271" s="2" t="s">
        <v>19</v>
      </c>
      <c r="D271" s="2">
        <v>2</v>
      </c>
      <c r="E271" s="2">
        <v>1</v>
      </c>
      <c r="F271" s="5" t="s">
        <v>12</v>
      </c>
      <c r="G271" s="5" t="s">
        <v>21</v>
      </c>
      <c r="H271" s="3">
        <v>282</v>
      </c>
      <c r="I271" s="3">
        <v>25</v>
      </c>
      <c r="J271" s="4">
        <f t="shared" si="4"/>
        <v>8.8652482269503549E-2</v>
      </c>
    </row>
    <row r="272" spans="1:10">
      <c r="A272" s="2">
        <v>2026</v>
      </c>
      <c r="B272" s="2">
        <v>7</v>
      </c>
      <c r="C272" s="2" t="s">
        <v>24</v>
      </c>
      <c r="D272" s="2">
        <v>3</v>
      </c>
      <c r="E272" s="2">
        <v>2</v>
      </c>
      <c r="F272" s="5" t="s">
        <v>12</v>
      </c>
      <c r="G272" s="5" t="s">
        <v>21</v>
      </c>
      <c r="H272" s="3">
        <v>282</v>
      </c>
      <c r="I272" s="3"/>
      <c r="J272" s="4" t="str">
        <f t="shared" si="4"/>
        <v/>
      </c>
    </row>
    <row r="273" spans="1:10">
      <c r="A273" s="2">
        <v>2026</v>
      </c>
      <c r="B273" s="2">
        <v>8</v>
      </c>
      <c r="C273" s="2" t="s">
        <v>32</v>
      </c>
      <c r="D273" s="2">
        <v>3</v>
      </c>
      <c r="E273" s="2">
        <v>2</v>
      </c>
      <c r="F273" s="5" t="s">
        <v>12</v>
      </c>
      <c r="G273" s="5" t="s">
        <v>21</v>
      </c>
      <c r="H273" s="3">
        <v>282</v>
      </c>
      <c r="I273" s="3"/>
      <c r="J273" s="4" t="str">
        <f t="shared" si="4"/>
        <v/>
      </c>
    </row>
    <row r="274" spans="1:10">
      <c r="A274" s="2">
        <v>2026</v>
      </c>
      <c r="B274" s="2">
        <v>9</v>
      </c>
      <c r="C274" s="2" t="s">
        <v>33</v>
      </c>
      <c r="D274" s="2">
        <v>3</v>
      </c>
      <c r="E274" s="2">
        <v>2</v>
      </c>
      <c r="F274" s="5" t="s">
        <v>12</v>
      </c>
      <c r="G274" s="5" t="s">
        <v>21</v>
      </c>
      <c r="H274" s="3">
        <v>282</v>
      </c>
      <c r="I274" s="3"/>
      <c r="J274" s="4" t="str">
        <f t="shared" si="4"/>
        <v/>
      </c>
    </row>
    <row r="275" spans="1:10">
      <c r="A275" s="2">
        <v>2026</v>
      </c>
      <c r="B275" s="2">
        <v>10</v>
      </c>
      <c r="C275" s="2" t="s">
        <v>34</v>
      </c>
      <c r="D275" s="2">
        <v>4</v>
      </c>
      <c r="E275" s="2">
        <v>2</v>
      </c>
      <c r="F275" s="5" t="s">
        <v>12</v>
      </c>
      <c r="G275" s="5" t="s">
        <v>21</v>
      </c>
      <c r="H275" s="3">
        <v>282</v>
      </c>
      <c r="I275" s="3"/>
      <c r="J275" s="4" t="str">
        <f t="shared" si="4"/>
        <v/>
      </c>
    </row>
    <row r="276" spans="1:10">
      <c r="A276" s="2">
        <v>2026</v>
      </c>
      <c r="B276" s="2">
        <v>11</v>
      </c>
      <c r="C276" s="2" t="s">
        <v>35</v>
      </c>
      <c r="D276" s="2">
        <v>4</v>
      </c>
      <c r="E276" s="2">
        <v>2</v>
      </c>
      <c r="F276" s="5" t="s">
        <v>12</v>
      </c>
      <c r="G276" s="5" t="s">
        <v>21</v>
      </c>
      <c r="H276" s="3">
        <v>282</v>
      </c>
      <c r="I276" s="3"/>
      <c r="J276" s="4" t="str">
        <f t="shared" si="4"/>
        <v/>
      </c>
    </row>
    <row r="277" spans="1:10">
      <c r="A277" s="2">
        <v>2026</v>
      </c>
      <c r="B277" s="2">
        <v>12</v>
      </c>
      <c r="C277" s="2" t="s">
        <v>36</v>
      </c>
      <c r="D277" s="2">
        <v>4</v>
      </c>
      <c r="E277" s="2">
        <v>2</v>
      </c>
      <c r="F277" s="5" t="s">
        <v>12</v>
      </c>
      <c r="G277" s="5" t="s">
        <v>21</v>
      </c>
      <c r="H277" s="3">
        <v>282</v>
      </c>
      <c r="I277" s="3"/>
      <c r="J277" s="4" t="str">
        <f t="shared" si="4"/>
        <v/>
      </c>
    </row>
    <row r="278" spans="1:10">
      <c r="A278" s="2">
        <v>2026</v>
      </c>
      <c r="B278" s="2">
        <v>1</v>
      </c>
      <c r="C278" s="2" t="s">
        <v>14</v>
      </c>
      <c r="D278" s="2">
        <v>1</v>
      </c>
      <c r="E278" s="2">
        <v>1</v>
      </c>
      <c r="F278" s="5" t="s">
        <v>13</v>
      </c>
      <c r="G278" s="5" t="s">
        <v>21</v>
      </c>
      <c r="H278" s="3">
        <v>112</v>
      </c>
      <c r="I278" s="3">
        <v>3</v>
      </c>
      <c r="J278" s="4">
        <f t="shared" si="4"/>
        <v>2.6785714285714284E-2</v>
      </c>
    </row>
    <row r="279" spans="1:10">
      <c r="A279" s="2">
        <v>2026</v>
      </c>
      <c r="B279" s="2">
        <v>2</v>
      </c>
      <c r="C279" s="2" t="s">
        <v>15</v>
      </c>
      <c r="D279" s="2">
        <v>1</v>
      </c>
      <c r="E279" s="2">
        <v>1</v>
      </c>
      <c r="F279" s="5" t="s">
        <v>13</v>
      </c>
      <c r="G279" s="5" t="s">
        <v>21</v>
      </c>
      <c r="H279" s="3">
        <v>112</v>
      </c>
      <c r="I279" s="3">
        <v>4</v>
      </c>
      <c r="J279" s="4">
        <f t="shared" si="4"/>
        <v>3.5714285714285712E-2</v>
      </c>
    </row>
    <row r="280" spans="1:10">
      <c r="A280" s="2">
        <v>2026</v>
      </c>
      <c r="B280" s="2">
        <v>3</v>
      </c>
      <c r="C280" s="2" t="s">
        <v>16</v>
      </c>
      <c r="D280" s="2">
        <v>1</v>
      </c>
      <c r="E280" s="2">
        <v>1</v>
      </c>
      <c r="F280" s="5" t="s">
        <v>13</v>
      </c>
      <c r="G280" s="5" t="s">
        <v>21</v>
      </c>
      <c r="H280" s="3">
        <v>112</v>
      </c>
      <c r="I280" s="3">
        <v>5</v>
      </c>
      <c r="J280" s="4">
        <f t="shared" si="4"/>
        <v>4.4642857142857144E-2</v>
      </c>
    </row>
    <row r="281" spans="1:10">
      <c r="A281" s="2">
        <v>2026</v>
      </c>
      <c r="B281" s="2">
        <v>4</v>
      </c>
      <c r="C281" s="2" t="s">
        <v>17</v>
      </c>
      <c r="D281" s="2">
        <v>2</v>
      </c>
      <c r="E281" s="2">
        <v>1</v>
      </c>
      <c r="F281" s="5" t="s">
        <v>13</v>
      </c>
      <c r="G281" s="5" t="s">
        <v>21</v>
      </c>
      <c r="H281" s="3">
        <v>112</v>
      </c>
      <c r="I281" s="3">
        <v>1</v>
      </c>
      <c r="J281" s="4">
        <f t="shared" si="4"/>
        <v>8.9285714285714281E-3</v>
      </c>
    </row>
    <row r="282" spans="1:10">
      <c r="A282" s="2">
        <v>2026</v>
      </c>
      <c r="B282" s="2">
        <v>5</v>
      </c>
      <c r="C282" s="2" t="s">
        <v>18</v>
      </c>
      <c r="D282" s="2">
        <v>2</v>
      </c>
      <c r="E282" s="2">
        <v>1</v>
      </c>
      <c r="F282" s="5" t="s">
        <v>13</v>
      </c>
      <c r="G282" s="5" t="s">
        <v>21</v>
      </c>
      <c r="H282" s="3">
        <v>112</v>
      </c>
      <c r="I282" s="3">
        <v>1</v>
      </c>
      <c r="J282" s="4">
        <f t="shared" si="4"/>
        <v>8.9285714285714281E-3</v>
      </c>
    </row>
    <row r="283" spans="1:10">
      <c r="A283" s="2">
        <v>2026</v>
      </c>
      <c r="B283" s="2">
        <v>6</v>
      </c>
      <c r="C283" s="2" t="s">
        <v>19</v>
      </c>
      <c r="D283" s="2">
        <v>2</v>
      </c>
      <c r="E283" s="2">
        <v>1</v>
      </c>
      <c r="F283" s="5" t="s">
        <v>13</v>
      </c>
      <c r="G283" s="5" t="s">
        <v>21</v>
      </c>
      <c r="H283" s="3">
        <v>112</v>
      </c>
      <c r="I283" s="3">
        <v>5</v>
      </c>
      <c r="J283" s="4">
        <f t="shared" si="4"/>
        <v>4.4642857142857144E-2</v>
      </c>
    </row>
    <row r="284" spans="1:10">
      <c r="A284" s="2">
        <v>2026</v>
      </c>
      <c r="B284" s="2">
        <v>7</v>
      </c>
      <c r="C284" s="2" t="s">
        <v>24</v>
      </c>
      <c r="D284" s="2">
        <v>3</v>
      </c>
      <c r="E284" s="2">
        <v>2</v>
      </c>
      <c r="F284" s="5" t="s">
        <v>13</v>
      </c>
      <c r="G284" s="5" t="s">
        <v>21</v>
      </c>
      <c r="H284" s="3">
        <v>112</v>
      </c>
      <c r="I284" s="3"/>
      <c r="J284" s="4" t="str">
        <f t="shared" si="4"/>
        <v/>
      </c>
    </row>
    <row r="285" spans="1:10">
      <c r="A285" s="2">
        <v>2026</v>
      </c>
      <c r="B285" s="2">
        <v>8</v>
      </c>
      <c r="C285" s="2" t="s">
        <v>32</v>
      </c>
      <c r="D285" s="2">
        <v>3</v>
      </c>
      <c r="E285" s="2">
        <v>2</v>
      </c>
      <c r="F285" s="5" t="s">
        <v>13</v>
      </c>
      <c r="G285" s="5" t="s">
        <v>21</v>
      </c>
      <c r="H285" s="3">
        <v>112</v>
      </c>
      <c r="I285" s="3"/>
      <c r="J285" s="4" t="str">
        <f t="shared" si="4"/>
        <v/>
      </c>
    </row>
    <row r="286" spans="1:10">
      <c r="A286" s="2">
        <v>2026</v>
      </c>
      <c r="B286" s="2">
        <v>9</v>
      </c>
      <c r="C286" s="2" t="s">
        <v>33</v>
      </c>
      <c r="D286" s="2">
        <v>3</v>
      </c>
      <c r="E286" s="2">
        <v>2</v>
      </c>
      <c r="F286" s="5" t="s">
        <v>13</v>
      </c>
      <c r="G286" s="5" t="s">
        <v>21</v>
      </c>
      <c r="H286" s="3">
        <v>112</v>
      </c>
      <c r="I286" s="3"/>
      <c r="J286" s="4" t="str">
        <f t="shared" si="4"/>
        <v/>
      </c>
    </row>
    <row r="287" spans="1:10">
      <c r="A287" s="2">
        <v>2026</v>
      </c>
      <c r="B287" s="2">
        <v>10</v>
      </c>
      <c r="C287" s="2" t="s">
        <v>34</v>
      </c>
      <c r="D287" s="2">
        <v>4</v>
      </c>
      <c r="E287" s="2">
        <v>2</v>
      </c>
      <c r="F287" s="5" t="s">
        <v>13</v>
      </c>
      <c r="G287" s="5" t="s">
        <v>21</v>
      </c>
      <c r="H287" s="3">
        <v>112</v>
      </c>
      <c r="I287" s="3"/>
      <c r="J287" s="4" t="str">
        <f t="shared" si="4"/>
        <v/>
      </c>
    </row>
    <row r="288" spans="1:10">
      <c r="A288" s="2">
        <v>2026</v>
      </c>
      <c r="B288" s="2">
        <v>11</v>
      </c>
      <c r="C288" s="2" t="s">
        <v>35</v>
      </c>
      <c r="D288" s="2">
        <v>4</v>
      </c>
      <c r="E288" s="2">
        <v>2</v>
      </c>
      <c r="F288" s="5" t="s">
        <v>13</v>
      </c>
      <c r="G288" s="5" t="s">
        <v>21</v>
      </c>
      <c r="H288" s="3">
        <v>112</v>
      </c>
      <c r="I288" s="3"/>
      <c r="J288" s="4" t="str">
        <f t="shared" si="4"/>
        <v/>
      </c>
    </row>
    <row r="289" spans="1:10">
      <c r="A289" s="2">
        <v>2026</v>
      </c>
      <c r="B289" s="2">
        <v>12</v>
      </c>
      <c r="C289" s="2" t="s">
        <v>36</v>
      </c>
      <c r="D289" s="2">
        <v>4</v>
      </c>
      <c r="E289" s="2">
        <v>2</v>
      </c>
      <c r="F289" s="5" t="s">
        <v>13</v>
      </c>
      <c r="G289" s="5" t="s">
        <v>21</v>
      </c>
      <c r="H289" s="3">
        <v>112</v>
      </c>
      <c r="I289" s="3"/>
      <c r="J289" s="4" t="str">
        <f t="shared" si="4"/>
        <v/>
      </c>
    </row>
    <row r="290" spans="1:10">
      <c r="A290" s="2">
        <v>2026</v>
      </c>
      <c r="B290" s="2">
        <v>1</v>
      </c>
      <c r="C290" s="2" t="s">
        <v>14</v>
      </c>
      <c r="D290" s="2">
        <v>1</v>
      </c>
      <c r="E290" s="2">
        <v>1</v>
      </c>
      <c r="F290" s="5" t="s">
        <v>2</v>
      </c>
      <c r="G290" s="5" t="s">
        <v>22</v>
      </c>
      <c r="H290" s="3">
        <v>111</v>
      </c>
      <c r="I290" s="3">
        <v>1</v>
      </c>
      <c r="J290" s="4">
        <f t="shared" si="4"/>
        <v>9.0090090090090089E-3</v>
      </c>
    </row>
    <row r="291" spans="1:10">
      <c r="A291" s="2">
        <v>2026</v>
      </c>
      <c r="B291" s="2">
        <v>2</v>
      </c>
      <c r="C291" s="2" t="s">
        <v>15</v>
      </c>
      <c r="D291" s="2">
        <v>1</v>
      </c>
      <c r="E291" s="2">
        <v>1</v>
      </c>
      <c r="F291" s="5" t="s">
        <v>2</v>
      </c>
      <c r="G291" s="5" t="s">
        <v>22</v>
      </c>
      <c r="H291" s="3">
        <v>111</v>
      </c>
      <c r="I291" s="3">
        <v>0</v>
      </c>
      <c r="J291" s="4">
        <f t="shared" si="4"/>
        <v>0</v>
      </c>
    </row>
    <row r="292" spans="1:10">
      <c r="A292" s="2">
        <v>2026</v>
      </c>
      <c r="B292" s="2">
        <v>3</v>
      </c>
      <c r="C292" s="2" t="s">
        <v>16</v>
      </c>
      <c r="D292" s="2">
        <v>1</v>
      </c>
      <c r="E292" s="2">
        <v>1</v>
      </c>
      <c r="F292" s="5" t="s">
        <v>2</v>
      </c>
      <c r="G292" s="5" t="s">
        <v>22</v>
      </c>
      <c r="H292" s="3">
        <v>111</v>
      </c>
      <c r="I292" s="3">
        <v>0</v>
      </c>
      <c r="J292" s="4">
        <f t="shared" si="4"/>
        <v>0</v>
      </c>
    </row>
    <row r="293" spans="1:10">
      <c r="A293" s="2">
        <v>2026</v>
      </c>
      <c r="B293" s="2">
        <v>4</v>
      </c>
      <c r="C293" s="2" t="s">
        <v>17</v>
      </c>
      <c r="D293" s="2">
        <v>2</v>
      </c>
      <c r="E293" s="2">
        <v>1</v>
      </c>
      <c r="F293" s="5" t="s">
        <v>2</v>
      </c>
      <c r="G293" s="5" t="s">
        <v>22</v>
      </c>
      <c r="H293" s="3">
        <v>111</v>
      </c>
      <c r="I293" s="3">
        <v>6</v>
      </c>
      <c r="J293" s="4">
        <f t="shared" si="4"/>
        <v>5.4054054054054057E-2</v>
      </c>
    </row>
    <row r="294" spans="1:10">
      <c r="A294" s="2">
        <v>2026</v>
      </c>
      <c r="B294" s="2">
        <v>5</v>
      </c>
      <c r="C294" s="2" t="s">
        <v>18</v>
      </c>
      <c r="D294" s="2">
        <v>2</v>
      </c>
      <c r="E294" s="2">
        <v>1</v>
      </c>
      <c r="F294" s="5" t="s">
        <v>2</v>
      </c>
      <c r="G294" s="5" t="s">
        <v>22</v>
      </c>
      <c r="H294" s="3">
        <v>111</v>
      </c>
      <c r="I294" s="3">
        <v>9</v>
      </c>
      <c r="J294" s="4">
        <f t="shared" si="4"/>
        <v>8.1081081081081086E-2</v>
      </c>
    </row>
    <row r="295" spans="1:10">
      <c r="A295" s="2">
        <v>2026</v>
      </c>
      <c r="B295" s="2">
        <v>6</v>
      </c>
      <c r="C295" s="2" t="s">
        <v>19</v>
      </c>
      <c r="D295" s="2">
        <v>2</v>
      </c>
      <c r="E295" s="2">
        <v>1</v>
      </c>
      <c r="F295" s="5" t="s">
        <v>2</v>
      </c>
      <c r="G295" s="5" t="s">
        <v>22</v>
      </c>
      <c r="H295" s="3">
        <v>111</v>
      </c>
      <c r="I295" s="3">
        <v>4</v>
      </c>
      <c r="J295" s="4">
        <f t="shared" si="4"/>
        <v>3.6036036036036036E-2</v>
      </c>
    </row>
    <row r="296" spans="1:10">
      <c r="A296" s="2">
        <v>2026</v>
      </c>
      <c r="B296" s="2">
        <v>7</v>
      </c>
      <c r="C296" s="2" t="s">
        <v>24</v>
      </c>
      <c r="D296" s="2">
        <v>3</v>
      </c>
      <c r="E296" s="2">
        <v>2</v>
      </c>
      <c r="F296" s="5" t="s">
        <v>2</v>
      </c>
      <c r="G296" s="5" t="s">
        <v>22</v>
      </c>
      <c r="H296" s="3">
        <v>111</v>
      </c>
      <c r="I296" s="3"/>
      <c r="J296" s="4" t="str">
        <f t="shared" si="4"/>
        <v/>
      </c>
    </row>
    <row r="297" spans="1:10">
      <c r="A297" s="2">
        <v>2026</v>
      </c>
      <c r="B297" s="2">
        <v>8</v>
      </c>
      <c r="C297" s="2" t="s">
        <v>32</v>
      </c>
      <c r="D297" s="2">
        <v>3</v>
      </c>
      <c r="E297" s="2">
        <v>2</v>
      </c>
      <c r="F297" s="5" t="s">
        <v>2</v>
      </c>
      <c r="G297" s="5" t="s">
        <v>22</v>
      </c>
      <c r="H297" s="3">
        <v>111</v>
      </c>
      <c r="I297" s="3"/>
      <c r="J297" s="4" t="str">
        <f t="shared" si="4"/>
        <v/>
      </c>
    </row>
    <row r="298" spans="1:10">
      <c r="A298" s="2">
        <v>2026</v>
      </c>
      <c r="B298" s="2">
        <v>9</v>
      </c>
      <c r="C298" s="2" t="s">
        <v>33</v>
      </c>
      <c r="D298" s="2">
        <v>3</v>
      </c>
      <c r="E298" s="2">
        <v>2</v>
      </c>
      <c r="F298" s="5" t="s">
        <v>2</v>
      </c>
      <c r="G298" s="5" t="s">
        <v>22</v>
      </c>
      <c r="H298" s="3">
        <v>111</v>
      </c>
      <c r="I298" s="3"/>
      <c r="J298" s="4" t="str">
        <f t="shared" si="4"/>
        <v/>
      </c>
    </row>
    <row r="299" spans="1:10">
      <c r="A299" s="2">
        <v>2026</v>
      </c>
      <c r="B299" s="2">
        <v>10</v>
      </c>
      <c r="C299" s="2" t="s">
        <v>34</v>
      </c>
      <c r="D299" s="2">
        <v>4</v>
      </c>
      <c r="E299" s="2">
        <v>2</v>
      </c>
      <c r="F299" s="5" t="s">
        <v>2</v>
      </c>
      <c r="G299" s="5" t="s">
        <v>22</v>
      </c>
      <c r="H299" s="3">
        <v>111</v>
      </c>
      <c r="I299" s="3"/>
      <c r="J299" s="4" t="str">
        <f t="shared" si="4"/>
        <v/>
      </c>
    </row>
    <row r="300" spans="1:10">
      <c r="A300" s="2">
        <v>2026</v>
      </c>
      <c r="B300" s="2">
        <v>11</v>
      </c>
      <c r="C300" s="2" t="s">
        <v>35</v>
      </c>
      <c r="D300" s="2">
        <v>4</v>
      </c>
      <c r="E300" s="2">
        <v>2</v>
      </c>
      <c r="F300" s="5" t="s">
        <v>2</v>
      </c>
      <c r="G300" s="5" t="s">
        <v>22</v>
      </c>
      <c r="H300" s="3">
        <v>111</v>
      </c>
      <c r="I300" s="3"/>
      <c r="J300" s="4" t="str">
        <f t="shared" si="4"/>
        <v/>
      </c>
    </row>
    <row r="301" spans="1:10">
      <c r="A301" s="2">
        <v>2026</v>
      </c>
      <c r="B301" s="2">
        <v>12</v>
      </c>
      <c r="C301" s="2" t="s">
        <v>36</v>
      </c>
      <c r="D301" s="2">
        <v>4</v>
      </c>
      <c r="E301" s="2">
        <v>2</v>
      </c>
      <c r="F301" s="5" t="s">
        <v>2</v>
      </c>
      <c r="G301" s="5" t="s">
        <v>22</v>
      </c>
      <c r="H301" s="3">
        <v>111</v>
      </c>
      <c r="I301" s="3"/>
      <c r="J301" s="4" t="str">
        <f t="shared" si="4"/>
        <v/>
      </c>
    </row>
    <row r="302" spans="1:10">
      <c r="A302" s="2">
        <v>2026</v>
      </c>
      <c r="B302" s="2">
        <v>1</v>
      </c>
      <c r="C302" s="2" t="s">
        <v>14</v>
      </c>
      <c r="D302" s="2">
        <v>1</v>
      </c>
      <c r="E302" s="2">
        <v>1</v>
      </c>
      <c r="F302" s="5" t="s">
        <v>3</v>
      </c>
      <c r="G302" s="5" t="s">
        <v>22</v>
      </c>
      <c r="H302" s="3">
        <v>40</v>
      </c>
      <c r="I302" s="3">
        <v>6</v>
      </c>
      <c r="J302" s="4">
        <f t="shared" si="4"/>
        <v>0.15</v>
      </c>
    </row>
    <row r="303" spans="1:10">
      <c r="A303" s="2">
        <v>2026</v>
      </c>
      <c r="B303" s="2">
        <v>2</v>
      </c>
      <c r="C303" s="2" t="s">
        <v>15</v>
      </c>
      <c r="D303" s="2">
        <v>1</v>
      </c>
      <c r="E303" s="2">
        <v>1</v>
      </c>
      <c r="F303" s="5" t="s">
        <v>3</v>
      </c>
      <c r="G303" s="5" t="s">
        <v>22</v>
      </c>
      <c r="H303" s="3">
        <v>40</v>
      </c>
      <c r="I303" s="3">
        <v>8</v>
      </c>
      <c r="J303" s="4">
        <f t="shared" si="4"/>
        <v>0.2</v>
      </c>
    </row>
    <row r="304" spans="1:10">
      <c r="A304" s="2">
        <v>2026</v>
      </c>
      <c r="B304" s="2">
        <v>3</v>
      </c>
      <c r="C304" s="2" t="s">
        <v>16</v>
      </c>
      <c r="D304" s="2">
        <v>1</v>
      </c>
      <c r="E304" s="2">
        <v>1</v>
      </c>
      <c r="F304" s="5" t="s">
        <v>3</v>
      </c>
      <c r="G304" s="5" t="s">
        <v>22</v>
      </c>
      <c r="H304" s="3">
        <v>40</v>
      </c>
      <c r="I304" s="3">
        <v>2</v>
      </c>
      <c r="J304" s="4">
        <f t="shared" si="4"/>
        <v>0.05</v>
      </c>
    </row>
    <row r="305" spans="1:10">
      <c r="A305" s="2">
        <v>2026</v>
      </c>
      <c r="B305" s="2">
        <v>4</v>
      </c>
      <c r="C305" s="2" t="s">
        <v>17</v>
      </c>
      <c r="D305" s="2">
        <v>2</v>
      </c>
      <c r="E305" s="2">
        <v>1</v>
      </c>
      <c r="F305" s="5" t="s">
        <v>3</v>
      </c>
      <c r="G305" s="5" t="s">
        <v>22</v>
      </c>
      <c r="H305" s="3">
        <v>40</v>
      </c>
      <c r="I305" s="3">
        <v>7</v>
      </c>
      <c r="J305" s="4">
        <f t="shared" si="4"/>
        <v>0.17499999999999999</v>
      </c>
    </row>
    <row r="306" spans="1:10">
      <c r="A306" s="2">
        <v>2026</v>
      </c>
      <c r="B306" s="2">
        <v>5</v>
      </c>
      <c r="C306" s="2" t="s">
        <v>18</v>
      </c>
      <c r="D306" s="2">
        <v>2</v>
      </c>
      <c r="E306" s="2">
        <v>1</v>
      </c>
      <c r="F306" s="5" t="s">
        <v>3</v>
      </c>
      <c r="G306" s="5" t="s">
        <v>22</v>
      </c>
      <c r="H306" s="3">
        <v>40</v>
      </c>
      <c r="I306" s="3">
        <v>5</v>
      </c>
      <c r="J306" s="4">
        <f t="shared" si="4"/>
        <v>0.125</v>
      </c>
    </row>
    <row r="307" spans="1:10">
      <c r="A307" s="2">
        <v>2026</v>
      </c>
      <c r="B307" s="2">
        <v>6</v>
      </c>
      <c r="C307" s="2" t="s">
        <v>19</v>
      </c>
      <c r="D307" s="2">
        <v>2</v>
      </c>
      <c r="E307" s="2">
        <v>1</v>
      </c>
      <c r="F307" s="5" t="s">
        <v>3</v>
      </c>
      <c r="G307" s="5" t="s">
        <v>22</v>
      </c>
      <c r="H307" s="3">
        <v>40</v>
      </c>
      <c r="I307" s="3">
        <v>6</v>
      </c>
      <c r="J307" s="4">
        <f t="shared" si="4"/>
        <v>0.15</v>
      </c>
    </row>
    <row r="308" spans="1:10">
      <c r="A308" s="2">
        <v>2026</v>
      </c>
      <c r="B308" s="2">
        <v>7</v>
      </c>
      <c r="C308" s="2" t="s">
        <v>24</v>
      </c>
      <c r="D308" s="2">
        <v>3</v>
      </c>
      <c r="E308" s="2">
        <v>2</v>
      </c>
      <c r="F308" s="5" t="s">
        <v>3</v>
      </c>
      <c r="G308" s="5" t="s">
        <v>22</v>
      </c>
      <c r="H308" s="3">
        <v>40</v>
      </c>
      <c r="I308" s="3"/>
      <c r="J308" s="4" t="str">
        <f t="shared" si="4"/>
        <v/>
      </c>
    </row>
    <row r="309" spans="1:10">
      <c r="A309" s="2">
        <v>2026</v>
      </c>
      <c r="B309" s="2">
        <v>8</v>
      </c>
      <c r="C309" s="2" t="s">
        <v>32</v>
      </c>
      <c r="D309" s="2">
        <v>3</v>
      </c>
      <c r="E309" s="2">
        <v>2</v>
      </c>
      <c r="F309" s="5" t="s">
        <v>3</v>
      </c>
      <c r="G309" s="5" t="s">
        <v>22</v>
      </c>
      <c r="H309" s="3">
        <v>40</v>
      </c>
      <c r="I309" s="3"/>
      <c r="J309" s="4" t="str">
        <f t="shared" si="4"/>
        <v/>
      </c>
    </row>
    <row r="310" spans="1:10">
      <c r="A310" s="2">
        <v>2026</v>
      </c>
      <c r="B310" s="2">
        <v>9</v>
      </c>
      <c r="C310" s="2" t="s">
        <v>33</v>
      </c>
      <c r="D310" s="2">
        <v>3</v>
      </c>
      <c r="E310" s="2">
        <v>2</v>
      </c>
      <c r="F310" s="5" t="s">
        <v>3</v>
      </c>
      <c r="G310" s="5" t="s">
        <v>22</v>
      </c>
      <c r="H310" s="3">
        <v>40</v>
      </c>
      <c r="I310" s="3"/>
      <c r="J310" s="4" t="str">
        <f t="shared" si="4"/>
        <v/>
      </c>
    </row>
    <row r="311" spans="1:10">
      <c r="A311" s="2">
        <v>2026</v>
      </c>
      <c r="B311" s="2">
        <v>10</v>
      </c>
      <c r="C311" s="2" t="s">
        <v>34</v>
      </c>
      <c r="D311" s="2">
        <v>4</v>
      </c>
      <c r="E311" s="2">
        <v>2</v>
      </c>
      <c r="F311" s="5" t="s">
        <v>3</v>
      </c>
      <c r="G311" s="5" t="s">
        <v>22</v>
      </c>
      <c r="H311" s="3">
        <v>40</v>
      </c>
      <c r="I311" s="3"/>
      <c r="J311" s="4" t="str">
        <f t="shared" si="4"/>
        <v/>
      </c>
    </row>
    <row r="312" spans="1:10">
      <c r="A312" s="2">
        <v>2026</v>
      </c>
      <c r="B312" s="2">
        <v>11</v>
      </c>
      <c r="C312" s="2" t="s">
        <v>35</v>
      </c>
      <c r="D312" s="2">
        <v>4</v>
      </c>
      <c r="E312" s="2">
        <v>2</v>
      </c>
      <c r="F312" s="5" t="s">
        <v>3</v>
      </c>
      <c r="G312" s="5" t="s">
        <v>22</v>
      </c>
      <c r="H312" s="3">
        <v>40</v>
      </c>
      <c r="I312" s="3"/>
      <c r="J312" s="4" t="str">
        <f t="shared" si="4"/>
        <v/>
      </c>
    </row>
    <row r="313" spans="1:10">
      <c r="A313" s="2">
        <v>2026</v>
      </c>
      <c r="B313" s="2">
        <v>12</v>
      </c>
      <c r="C313" s="2" t="s">
        <v>36</v>
      </c>
      <c r="D313" s="2">
        <v>4</v>
      </c>
      <c r="E313" s="2">
        <v>2</v>
      </c>
      <c r="F313" s="5" t="s">
        <v>3</v>
      </c>
      <c r="G313" s="5" t="s">
        <v>22</v>
      </c>
      <c r="H313" s="3">
        <v>40</v>
      </c>
      <c r="I313" s="3"/>
      <c r="J313" s="4" t="str">
        <f t="shared" si="4"/>
        <v/>
      </c>
    </row>
    <row r="314" spans="1:10">
      <c r="A314" s="2">
        <v>2026</v>
      </c>
      <c r="B314" s="2">
        <v>1</v>
      </c>
      <c r="C314" s="2" t="s">
        <v>14</v>
      </c>
      <c r="D314" s="2">
        <v>1</v>
      </c>
      <c r="E314" s="2">
        <v>1</v>
      </c>
      <c r="F314" s="5" t="s">
        <v>4</v>
      </c>
      <c r="G314" s="5" t="s">
        <v>22</v>
      </c>
      <c r="H314" s="3">
        <v>67</v>
      </c>
      <c r="I314" s="3">
        <v>1</v>
      </c>
      <c r="J314" s="4">
        <f t="shared" si="4"/>
        <v>1.4925373134328358E-2</v>
      </c>
    </row>
    <row r="315" spans="1:10">
      <c r="A315" s="2">
        <v>2026</v>
      </c>
      <c r="B315" s="2">
        <v>2</v>
      </c>
      <c r="C315" s="2" t="s">
        <v>15</v>
      </c>
      <c r="D315" s="2">
        <v>1</v>
      </c>
      <c r="E315" s="2">
        <v>1</v>
      </c>
      <c r="F315" s="5" t="s">
        <v>4</v>
      </c>
      <c r="G315" s="5" t="s">
        <v>22</v>
      </c>
      <c r="H315" s="3">
        <v>67</v>
      </c>
      <c r="I315" s="3">
        <v>0</v>
      </c>
      <c r="J315" s="4">
        <f t="shared" si="4"/>
        <v>0</v>
      </c>
    </row>
    <row r="316" spans="1:10">
      <c r="A316" s="2">
        <v>2026</v>
      </c>
      <c r="B316" s="2">
        <v>3</v>
      </c>
      <c r="C316" s="2" t="s">
        <v>16</v>
      </c>
      <c r="D316" s="2">
        <v>1</v>
      </c>
      <c r="E316" s="2">
        <v>1</v>
      </c>
      <c r="F316" s="5" t="s">
        <v>4</v>
      </c>
      <c r="G316" s="5" t="s">
        <v>22</v>
      </c>
      <c r="H316" s="3">
        <v>67</v>
      </c>
      <c r="I316" s="3">
        <v>0</v>
      </c>
      <c r="J316" s="4">
        <f t="shared" si="4"/>
        <v>0</v>
      </c>
    </row>
    <row r="317" spans="1:10">
      <c r="A317" s="2">
        <v>2026</v>
      </c>
      <c r="B317" s="2">
        <v>4</v>
      </c>
      <c r="C317" s="2" t="s">
        <v>17</v>
      </c>
      <c r="D317" s="2">
        <v>2</v>
      </c>
      <c r="E317" s="2">
        <v>1</v>
      </c>
      <c r="F317" s="5" t="s">
        <v>4</v>
      </c>
      <c r="G317" s="5" t="s">
        <v>22</v>
      </c>
      <c r="H317" s="3">
        <v>67</v>
      </c>
      <c r="I317" s="3">
        <v>2</v>
      </c>
      <c r="J317" s="4">
        <f t="shared" si="4"/>
        <v>2.9850746268656716E-2</v>
      </c>
    </row>
    <row r="318" spans="1:10">
      <c r="A318" s="2">
        <v>2026</v>
      </c>
      <c r="B318" s="2">
        <v>5</v>
      </c>
      <c r="C318" s="2" t="s">
        <v>18</v>
      </c>
      <c r="D318" s="2">
        <v>2</v>
      </c>
      <c r="E318" s="2">
        <v>1</v>
      </c>
      <c r="F318" s="5" t="s">
        <v>4</v>
      </c>
      <c r="G318" s="5" t="s">
        <v>22</v>
      </c>
      <c r="H318" s="3">
        <v>67</v>
      </c>
      <c r="I318" s="3">
        <v>0</v>
      </c>
      <c r="J318" s="4">
        <f t="shared" si="4"/>
        <v>0</v>
      </c>
    </row>
    <row r="319" spans="1:10">
      <c r="A319" s="2">
        <v>2026</v>
      </c>
      <c r="B319" s="2">
        <v>6</v>
      </c>
      <c r="C319" s="2" t="s">
        <v>19</v>
      </c>
      <c r="D319" s="2">
        <v>2</v>
      </c>
      <c r="E319" s="2">
        <v>1</v>
      </c>
      <c r="F319" s="5" t="s">
        <v>4</v>
      </c>
      <c r="G319" s="5" t="s">
        <v>22</v>
      </c>
      <c r="H319" s="3">
        <v>67</v>
      </c>
      <c r="I319" s="3">
        <v>0</v>
      </c>
      <c r="J319" s="4">
        <f t="shared" si="4"/>
        <v>0</v>
      </c>
    </row>
    <row r="320" spans="1:10">
      <c r="A320" s="2">
        <v>2026</v>
      </c>
      <c r="B320" s="2">
        <v>7</v>
      </c>
      <c r="C320" s="2" t="s">
        <v>24</v>
      </c>
      <c r="D320" s="2">
        <v>3</v>
      </c>
      <c r="E320" s="2">
        <v>2</v>
      </c>
      <c r="F320" s="5" t="s">
        <v>4</v>
      </c>
      <c r="G320" s="5" t="s">
        <v>22</v>
      </c>
      <c r="H320" s="3">
        <v>67</v>
      </c>
      <c r="I320" s="3"/>
      <c r="J320" s="4" t="str">
        <f t="shared" si="4"/>
        <v/>
      </c>
    </row>
    <row r="321" spans="1:10">
      <c r="A321" s="2">
        <v>2026</v>
      </c>
      <c r="B321" s="2">
        <v>8</v>
      </c>
      <c r="C321" s="2" t="s">
        <v>32</v>
      </c>
      <c r="D321" s="2">
        <v>3</v>
      </c>
      <c r="E321" s="2">
        <v>2</v>
      </c>
      <c r="F321" s="5" t="s">
        <v>4</v>
      </c>
      <c r="G321" s="5" t="s">
        <v>22</v>
      </c>
      <c r="H321" s="3">
        <v>67</v>
      </c>
      <c r="I321" s="3"/>
      <c r="J321" s="4" t="str">
        <f t="shared" si="4"/>
        <v/>
      </c>
    </row>
    <row r="322" spans="1:10">
      <c r="A322" s="2">
        <v>2026</v>
      </c>
      <c r="B322" s="2">
        <v>9</v>
      </c>
      <c r="C322" s="2" t="s">
        <v>33</v>
      </c>
      <c r="D322" s="2">
        <v>3</v>
      </c>
      <c r="E322" s="2">
        <v>2</v>
      </c>
      <c r="F322" s="5" t="s">
        <v>4</v>
      </c>
      <c r="G322" s="5" t="s">
        <v>22</v>
      </c>
      <c r="H322" s="3">
        <v>67</v>
      </c>
      <c r="I322" s="3"/>
      <c r="J322" s="4" t="str">
        <f t="shared" ref="J322:J385" si="5">IF(I322="","",IFERROR(I322/H322,0))</f>
        <v/>
      </c>
    </row>
    <row r="323" spans="1:10">
      <c r="A323" s="2">
        <v>2026</v>
      </c>
      <c r="B323" s="2">
        <v>10</v>
      </c>
      <c r="C323" s="2" t="s">
        <v>34</v>
      </c>
      <c r="D323" s="2">
        <v>4</v>
      </c>
      <c r="E323" s="2">
        <v>2</v>
      </c>
      <c r="F323" s="5" t="s">
        <v>4</v>
      </c>
      <c r="G323" s="5" t="s">
        <v>22</v>
      </c>
      <c r="H323" s="3">
        <v>67</v>
      </c>
      <c r="I323" s="3"/>
      <c r="J323" s="4" t="str">
        <f t="shared" si="5"/>
        <v/>
      </c>
    </row>
    <row r="324" spans="1:10">
      <c r="A324" s="2">
        <v>2026</v>
      </c>
      <c r="B324" s="2">
        <v>11</v>
      </c>
      <c r="C324" s="2" t="s">
        <v>35</v>
      </c>
      <c r="D324" s="2">
        <v>4</v>
      </c>
      <c r="E324" s="2">
        <v>2</v>
      </c>
      <c r="F324" s="5" t="s">
        <v>4</v>
      </c>
      <c r="G324" s="5" t="s">
        <v>22</v>
      </c>
      <c r="H324" s="3">
        <v>67</v>
      </c>
      <c r="I324" s="3"/>
      <c r="J324" s="4" t="str">
        <f t="shared" si="5"/>
        <v/>
      </c>
    </row>
    <row r="325" spans="1:10">
      <c r="A325" s="2">
        <v>2026</v>
      </c>
      <c r="B325" s="2">
        <v>12</v>
      </c>
      <c r="C325" s="2" t="s">
        <v>36</v>
      </c>
      <c r="D325" s="2">
        <v>4</v>
      </c>
      <c r="E325" s="2">
        <v>2</v>
      </c>
      <c r="F325" s="5" t="s">
        <v>4</v>
      </c>
      <c r="G325" s="5" t="s">
        <v>22</v>
      </c>
      <c r="H325" s="3">
        <v>67</v>
      </c>
      <c r="I325" s="3"/>
      <c r="J325" s="4" t="str">
        <f t="shared" si="5"/>
        <v/>
      </c>
    </row>
    <row r="326" spans="1:10">
      <c r="A326" s="2">
        <v>2026</v>
      </c>
      <c r="B326" s="2">
        <v>1</v>
      </c>
      <c r="C326" s="2" t="s">
        <v>14</v>
      </c>
      <c r="D326" s="2">
        <v>1</v>
      </c>
      <c r="E326" s="2">
        <v>1</v>
      </c>
      <c r="F326" s="5" t="s">
        <v>5</v>
      </c>
      <c r="G326" s="5" t="s">
        <v>22</v>
      </c>
      <c r="H326" s="3">
        <v>43</v>
      </c>
      <c r="I326" s="3">
        <v>0</v>
      </c>
      <c r="J326" s="4">
        <f t="shared" si="5"/>
        <v>0</v>
      </c>
    </row>
    <row r="327" spans="1:10">
      <c r="A327" s="2">
        <v>2026</v>
      </c>
      <c r="B327" s="2">
        <v>2</v>
      </c>
      <c r="C327" s="2" t="s">
        <v>15</v>
      </c>
      <c r="D327" s="2">
        <v>1</v>
      </c>
      <c r="E327" s="2">
        <v>1</v>
      </c>
      <c r="F327" s="5" t="s">
        <v>5</v>
      </c>
      <c r="G327" s="5" t="s">
        <v>22</v>
      </c>
      <c r="H327" s="3">
        <v>43</v>
      </c>
      <c r="I327" s="3">
        <v>1</v>
      </c>
      <c r="J327" s="4">
        <f t="shared" si="5"/>
        <v>2.3255813953488372E-2</v>
      </c>
    </row>
    <row r="328" spans="1:10">
      <c r="A328" s="2">
        <v>2026</v>
      </c>
      <c r="B328" s="2">
        <v>3</v>
      </c>
      <c r="C328" s="2" t="s">
        <v>16</v>
      </c>
      <c r="D328" s="2">
        <v>1</v>
      </c>
      <c r="E328" s="2">
        <v>1</v>
      </c>
      <c r="F328" s="5" t="s">
        <v>5</v>
      </c>
      <c r="G328" s="5" t="s">
        <v>22</v>
      </c>
      <c r="H328" s="3">
        <v>43</v>
      </c>
      <c r="I328" s="3">
        <v>2</v>
      </c>
      <c r="J328" s="4">
        <f t="shared" si="5"/>
        <v>4.6511627906976744E-2</v>
      </c>
    </row>
    <row r="329" spans="1:10">
      <c r="A329" s="2">
        <v>2026</v>
      </c>
      <c r="B329" s="2">
        <v>4</v>
      </c>
      <c r="C329" s="2" t="s">
        <v>17</v>
      </c>
      <c r="D329" s="2">
        <v>2</v>
      </c>
      <c r="E329" s="2">
        <v>1</v>
      </c>
      <c r="F329" s="5" t="s">
        <v>5</v>
      </c>
      <c r="G329" s="5" t="s">
        <v>22</v>
      </c>
      <c r="H329" s="3">
        <v>43</v>
      </c>
      <c r="I329" s="3">
        <v>0</v>
      </c>
      <c r="J329" s="4">
        <f t="shared" si="5"/>
        <v>0</v>
      </c>
    </row>
    <row r="330" spans="1:10">
      <c r="A330" s="2">
        <v>2026</v>
      </c>
      <c r="B330" s="2">
        <v>5</v>
      </c>
      <c r="C330" s="2" t="s">
        <v>18</v>
      </c>
      <c r="D330" s="2">
        <v>2</v>
      </c>
      <c r="E330" s="2">
        <v>1</v>
      </c>
      <c r="F330" s="5" t="s">
        <v>5</v>
      </c>
      <c r="G330" s="5" t="s">
        <v>22</v>
      </c>
      <c r="H330" s="3">
        <v>43</v>
      </c>
      <c r="I330" s="3">
        <v>2</v>
      </c>
      <c r="J330" s="4">
        <f t="shared" si="5"/>
        <v>4.6511627906976744E-2</v>
      </c>
    </row>
    <row r="331" spans="1:10">
      <c r="A331" s="2">
        <v>2026</v>
      </c>
      <c r="B331" s="2">
        <v>6</v>
      </c>
      <c r="C331" s="2" t="s">
        <v>19</v>
      </c>
      <c r="D331" s="2">
        <v>2</v>
      </c>
      <c r="E331" s="2">
        <v>1</v>
      </c>
      <c r="F331" s="5" t="s">
        <v>5</v>
      </c>
      <c r="G331" s="5" t="s">
        <v>22</v>
      </c>
      <c r="H331" s="3">
        <v>43</v>
      </c>
      <c r="I331" s="3">
        <v>4</v>
      </c>
      <c r="J331" s="4">
        <f t="shared" si="5"/>
        <v>9.3023255813953487E-2</v>
      </c>
    </row>
    <row r="332" spans="1:10">
      <c r="A332" s="2">
        <v>2026</v>
      </c>
      <c r="B332" s="2">
        <v>7</v>
      </c>
      <c r="C332" s="2" t="s">
        <v>24</v>
      </c>
      <c r="D332" s="2">
        <v>3</v>
      </c>
      <c r="E332" s="2">
        <v>2</v>
      </c>
      <c r="F332" s="5" t="s">
        <v>5</v>
      </c>
      <c r="G332" s="5" t="s">
        <v>22</v>
      </c>
      <c r="H332" s="3">
        <v>43</v>
      </c>
      <c r="I332" s="3"/>
      <c r="J332" s="4" t="str">
        <f t="shared" si="5"/>
        <v/>
      </c>
    </row>
    <row r="333" spans="1:10">
      <c r="A333" s="2">
        <v>2026</v>
      </c>
      <c r="B333" s="2">
        <v>8</v>
      </c>
      <c r="C333" s="2" t="s">
        <v>32</v>
      </c>
      <c r="D333" s="2">
        <v>3</v>
      </c>
      <c r="E333" s="2">
        <v>2</v>
      </c>
      <c r="F333" s="5" t="s">
        <v>5</v>
      </c>
      <c r="G333" s="5" t="s">
        <v>22</v>
      </c>
      <c r="H333" s="3">
        <v>43</v>
      </c>
      <c r="I333" s="3"/>
      <c r="J333" s="4" t="str">
        <f t="shared" si="5"/>
        <v/>
      </c>
    </row>
    <row r="334" spans="1:10">
      <c r="A334" s="2">
        <v>2026</v>
      </c>
      <c r="B334" s="2">
        <v>9</v>
      </c>
      <c r="C334" s="2" t="s">
        <v>33</v>
      </c>
      <c r="D334" s="2">
        <v>3</v>
      </c>
      <c r="E334" s="2">
        <v>2</v>
      </c>
      <c r="F334" s="5" t="s">
        <v>5</v>
      </c>
      <c r="G334" s="5" t="s">
        <v>22</v>
      </c>
      <c r="H334" s="3">
        <v>43</v>
      </c>
      <c r="I334" s="3"/>
      <c r="J334" s="4" t="str">
        <f t="shared" si="5"/>
        <v/>
      </c>
    </row>
    <row r="335" spans="1:10">
      <c r="A335" s="2">
        <v>2026</v>
      </c>
      <c r="B335" s="2">
        <v>10</v>
      </c>
      <c r="C335" s="2" t="s">
        <v>34</v>
      </c>
      <c r="D335" s="2">
        <v>4</v>
      </c>
      <c r="E335" s="2">
        <v>2</v>
      </c>
      <c r="F335" s="5" t="s">
        <v>5</v>
      </c>
      <c r="G335" s="5" t="s">
        <v>22</v>
      </c>
      <c r="H335" s="3">
        <v>43</v>
      </c>
      <c r="I335" s="3"/>
      <c r="J335" s="4" t="str">
        <f t="shared" si="5"/>
        <v/>
      </c>
    </row>
    <row r="336" spans="1:10">
      <c r="A336" s="2">
        <v>2026</v>
      </c>
      <c r="B336" s="2">
        <v>11</v>
      </c>
      <c r="C336" s="2" t="s">
        <v>35</v>
      </c>
      <c r="D336" s="2">
        <v>4</v>
      </c>
      <c r="E336" s="2">
        <v>2</v>
      </c>
      <c r="F336" s="5" t="s">
        <v>5</v>
      </c>
      <c r="G336" s="5" t="s">
        <v>22</v>
      </c>
      <c r="H336" s="3">
        <v>43</v>
      </c>
      <c r="I336" s="3"/>
      <c r="J336" s="4" t="str">
        <f t="shared" si="5"/>
        <v/>
      </c>
    </row>
    <row r="337" spans="1:10">
      <c r="A337" s="2">
        <v>2026</v>
      </c>
      <c r="B337" s="2">
        <v>12</v>
      </c>
      <c r="C337" s="2" t="s">
        <v>36</v>
      </c>
      <c r="D337" s="2">
        <v>4</v>
      </c>
      <c r="E337" s="2">
        <v>2</v>
      </c>
      <c r="F337" s="5" t="s">
        <v>5</v>
      </c>
      <c r="G337" s="5" t="s">
        <v>22</v>
      </c>
      <c r="H337" s="3">
        <v>43</v>
      </c>
      <c r="I337" s="3"/>
      <c r="J337" s="4" t="str">
        <f t="shared" si="5"/>
        <v/>
      </c>
    </row>
    <row r="338" spans="1:10">
      <c r="A338" s="2">
        <v>2026</v>
      </c>
      <c r="B338" s="2">
        <v>1</v>
      </c>
      <c r="C338" s="2" t="s">
        <v>14</v>
      </c>
      <c r="D338" s="2">
        <v>1</v>
      </c>
      <c r="E338" s="2">
        <v>1</v>
      </c>
      <c r="F338" s="5" t="s">
        <v>6</v>
      </c>
      <c r="G338" s="5" t="s">
        <v>22</v>
      </c>
      <c r="H338" s="3">
        <v>71</v>
      </c>
      <c r="I338" s="3">
        <v>8</v>
      </c>
      <c r="J338" s="4">
        <f t="shared" si="5"/>
        <v>0.11267605633802817</v>
      </c>
    </row>
    <row r="339" spans="1:10">
      <c r="A339" s="2">
        <v>2026</v>
      </c>
      <c r="B339" s="2">
        <v>2</v>
      </c>
      <c r="C339" s="2" t="s">
        <v>15</v>
      </c>
      <c r="D339" s="2">
        <v>1</v>
      </c>
      <c r="E339" s="2">
        <v>1</v>
      </c>
      <c r="F339" s="5" t="s">
        <v>6</v>
      </c>
      <c r="G339" s="5" t="s">
        <v>22</v>
      </c>
      <c r="H339" s="3">
        <v>71</v>
      </c>
      <c r="I339" s="3">
        <v>10</v>
      </c>
      <c r="J339" s="4">
        <f t="shared" si="5"/>
        <v>0.14084507042253522</v>
      </c>
    </row>
    <row r="340" spans="1:10">
      <c r="A340" s="2">
        <v>2026</v>
      </c>
      <c r="B340" s="2">
        <v>3</v>
      </c>
      <c r="C340" s="2" t="s">
        <v>16</v>
      </c>
      <c r="D340" s="2">
        <v>1</v>
      </c>
      <c r="E340" s="2">
        <v>1</v>
      </c>
      <c r="F340" s="5" t="s">
        <v>6</v>
      </c>
      <c r="G340" s="5" t="s">
        <v>22</v>
      </c>
      <c r="H340" s="3">
        <v>71</v>
      </c>
      <c r="I340" s="3">
        <v>7</v>
      </c>
      <c r="J340" s="4">
        <f t="shared" si="5"/>
        <v>9.8591549295774641E-2</v>
      </c>
    </row>
    <row r="341" spans="1:10">
      <c r="A341" s="2">
        <v>2026</v>
      </c>
      <c r="B341" s="2">
        <v>4</v>
      </c>
      <c r="C341" s="2" t="s">
        <v>17</v>
      </c>
      <c r="D341" s="2">
        <v>2</v>
      </c>
      <c r="E341" s="2">
        <v>1</v>
      </c>
      <c r="F341" s="5" t="s">
        <v>6</v>
      </c>
      <c r="G341" s="5" t="s">
        <v>22</v>
      </c>
      <c r="H341" s="3">
        <v>71</v>
      </c>
      <c r="I341" s="3">
        <v>9</v>
      </c>
      <c r="J341" s="4">
        <f t="shared" si="5"/>
        <v>0.12676056338028169</v>
      </c>
    </row>
    <row r="342" spans="1:10">
      <c r="A342" s="2">
        <v>2026</v>
      </c>
      <c r="B342" s="2">
        <v>5</v>
      </c>
      <c r="C342" s="2" t="s">
        <v>18</v>
      </c>
      <c r="D342" s="2">
        <v>2</v>
      </c>
      <c r="E342" s="2">
        <v>1</v>
      </c>
      <c r="F342" s="5" t="s">
        <v>6</v>
      </c>
      <c r="G342" s="5" t="s">
        <v>22</v>
      </c>
      <c r="H342" s="3">
        <v>71</v>
      </c>
      <c r="I342" s="3">
        <v>11</v>
      </c>
      <c r="J342" s="4">
        <f t="shared" si="5"/>
        <v>0.15492957746478872</v>
      </c>
    </row>
    <row r="343" spans="1:10">
      <c r="A343" s="2">
        <v>2026</v>
      </c>
      <c r="B343" s="2">
        <v>6</v>
      </c>
      <c r="C343" s="2" t="s">
        <v>19</v>
      </c>
      <c r="D343" s="2">
        <v>2</v>
      </c>
      <c r="E343" s="2">
        <v>1</v>
      </c>
      <c r="F343" s="5" t="s">
        <v>6</v>
      </c>
      <c r="G343" s="5" t="s">
        <v>22</v>
      </c>
      <c r="H343" s="3">
        <v>71</v>
      </c>
      <c r="I343" s="3">
        <v>6</v>
      </c>
      <c r="J343" s="4">
        <f t="shared" si="5"/>
        <v>8.4507042253521125E-2</v>
      </c>
    </row>
    <row r="344" spans="1:10">
      <c r="A344" s="2">
        <v>2026</v>
      </c>
      <c r="B344" s="2">
        <v>7</v>
      </c>
      <c r="C344" s="2" t="s">
        <v>24</v>
      </c>
      <c r="D344" s="2">
        <v>3</v>
      </c>
      <c r="E344" s="2">
        <v>2</v>
      </c>
      <c r="F344" s="5" t="s">
        <v>6</v>
      </c>
      <c r="G344" s="5" t="s">
        <v>22</v>
      </c>
      <c r="H344" s="3">
        <v>71</v>
      </c>
      <c r="I344" s="3"/>
      <c r="J344" s="4" t="str">
        <f t="shared" si="5"/>
        <v/>
      </c>
    </row>
    <row r="345" spans="1:10">
      <c r="A345" s="2">
        <v>2026</v>
      </c>
      <c r="B345" s="2">
        <v>8</v>
      </c>
      <c r="C345" s="2" t="s">
        <v>32</v>
      </c>
      <c r="D345" s="2">
        <v>3</v>
      </c>
      <c r="E345" s="2">
        <v>2</v>
      </c>
      <c r="F345" s="5" t="s">
        <v>6</v>
      </c>
      <c r="G345" s="5" t="s">
        <v>22</v>
      </c>
      <c r="H345" s="3">
        <v>71</v>
      </c>
      <c r="I345" s="3"/>
      <c r="J345" s="4" t="str">
        <f t="shared" si="5"/>
        <v/>
      </c>
    </row>
    <row r="346" spans="1:10">
      <c r="A346" s="2">
        <v>2026</v>
      </c>
      <c r="B346" s="2">
        <v>9</v>
      </c>
      <c r="C346" s="2" t="s">
        <v>33</v>
      </c>
      <c r="D346" s="2">
        <v>3</v>
      </c>
      <c r="E346" s="2">
        <v>2</v>
      </c>
      <c r="F346" s="5" t="s">
        <v>6</v>
      </c>
      <c r="G346" s="5" t="s">
        <v>22</v>
      </c>
      <c r="H346" s="3">
        <v>71</v>
      </c>
      <c r="I346" s="3"/>
      <c r="J346" s="4" t="str">
        <f t="shared" si="5"/>
        <v/>
      </c>
    </row>
    <row r="347" spans="1:10">
      <c r="A347" s="2">
        <v>2026</v>
      </c>
      <c r="B347" s="2">
        <v>10</v>
      </c>
      <c r="C347" s="2" t="s">
        <v>34</v>
      </c>
      <c r="D347" s="2">
        <v>4</v>
      </c>
      <c r="E347" s="2">
        <v>2</v>
      </c>
      <c r="F347" s="5" t="s">
        <v>6</v>
      </c>
      <c r="G347" s="5" t="s">
        <v>22</v>
      </c>
      <c r="H347" s="3">
        <v>71</v>
      </c>
      <c r="I347" s="3"/>
      <c r="J347" s="4" t="str">
        <f t="shared" si="5"/>
        <v/>
      </c>
    </row>
    <row r="348" spans="1:10">
      <c r="A348" s="2">
        <v>2026</v>
      </c>
      <c r="B348" s="2">
        <v>11</v>
      </c>
      <c r="C348" s="2" t="s">
        <v>35</v>
      </c>
      <c r="D348" s="2">
        <v>4</v>
      </c>
      <c r="E348" s="2">
        <v>2</v>
      </c>
      <c r="F348" s="5" t="s">
        <v>6</v>
      </c>
      <c r="G348" s="5" t="s">
        <v>22</v>
      </c>
      <c r="H348" s="3">
        <v>71</v>
      </c>
      <c r="I348" s="3"/>
      <c r="J348" s="4" t="str">
        <f t="shared" si="5"/>
        <v/>
      </c>
    </row>
    <row r="349" spans="1:10">
      <c r="A349" s="2">
        <v>2026</v>
      </c>
      <c r="B349" s="2">
        <v>12</v>
      </c>
      <c r="C349" s="2" t="s">
        <v>36</v>
      </c>
      <c r="D349" s="2">
        <v>4</v>
      </c>
      <c r="E349" s="2">
        <v>2</v>
      </c>
      <c r="F349" s="5" t="s">
        <v>6</v>
      </c>
      <c r="G349" s="5" t="s">
        <v>22</v>
      </c>
      <c r="H349" s="3">
        <v>71</v>
      </c>
      <c r="I349" s="3"/>
      <c r="J349" s="4" t="str">
        <f t="shared" si="5"/>
        <v/>
      </c>
    </row>
    <row r="350" spans="1:10">
      <c r="A350" s="2">
        <v>2026</v>
      </c>
      <c r="B350" s="2">
        <v>1</v>
      </c>
      <c r="C350" s="2" t="s">
        <v>14</v>
      </c>
      <c r="D350" s="2">
        <v>1</v>
      </c>
      <c r="E350" s="2">
        <v>1</v>
      </c>
      <c r="F350" s="5" t="s">
        <v>7</v>
      </c>
      <c r="G350" s="5" t="s">
        <v>22</v>
      </c>
      <c r="H350" s="3">
        <v>227</v>
      </c>
      <c r="I350" s="3">
        <v>61</v>
      </c>
      <c r="J350" s="4">
        <f t="shared" si="5"/>
        <v>0.2687224669603524</v>
      </c>
    </row>
    <row r="351" spans="1:10">
      <c r="A351" s="2">
        <v>2026</v>
      </c>
      <c r="B351" s="2">
        <v>2</v>
      </c>
      <c r="C351" s="2" t="s">
        <v>15</v>
      </c>
      <c r="D351" s="2">
        <v>1</v>
      </c>
      <c r="E351" s="2">
        <v>1</v>
      </c>
      <c r="F351" s="5" t="s">
        <v>7</v>
      </c>
      <c r="G351" s="5" t="s">
        <v>22</v>
      </c>
      <c r="H351" s="3">
        <v>227</v>
      </c>
      <c r="I351" s="3">
        <v>16</v>
      </c>
      <c r="J351" s="4">
        <f t="shared" si="5"/>
        <v>7.0484581497797363E-2</v>
      </c>
    </row>
    <row r="352" spans="1:10">
      <c r="A352" s="2">
        <v>2026</v>
      </c>
      <c r="B352" s="2">
        <v>3</v>
      </c>
      <c r="C352" s="2" t="s">
        <v>16</v>
      </c>
      <c r="D352" s="2">
        <v>1</v>
      </c>
      <c r="E352" s="2">
        <v>1</v>
      </c>
      <c r="F352" s="5" t="s">
        <v>7</v>
      </c>
      <c r="G352" s="5" t="s">
        <v>22</v>
      </c>
      <c r="H352" s="3">
        <v>227</v>
      </c>
      <c r="I352" s="3">
        <v>35</v>
      </c>
      <c r="J352" s="4">
        <f t="shared" si="5"/>
        <v>0.15418502202643172</v>
      </c>
    </row>
    <row r="353" spans="1:10">
      <c r="A353" s="2">
        <v>2026</v>
      </c>
      <c r="B353" s="2">
        <v>4</v>
      </c>
      <c r="C353" s="2" t="s">
        <v>17</v>
      </c>
      <c r="D353" s="2">
        <v>2</v>
      </c>
      <c r="E353" s="2">
        <v>1</v>
      </c>
      <c r="F353" s="5" t="s">
        <v>7</v>
      </c>
      <c r="G353" s="5" t="s">
        <v>22</v>
      </c>
      <c r="H353" s="3">
        <v>227</v>
      </c>
      <c r="I353" s="3">
        <v>23</v>
      </c>
      <c r="J353" s="4">
        <f t="shared" si="5"/>
        <v>0.1013215859030837</v>
      </c>
    </row>
    <row r="354" spans="1:10">
      <c r="A354" s="2">
        <v>2026</v>
      </c>
      <c r="B354" s="2">
        <v>5</v>
      </c>
      <c r="C354" s="2" t="s">
        <v>18</v>
      </c>
      <c r="D354" s="2">
        <v>2</v>
      </c>
      <c r="E354" s="2">
        <v>1</v>
      </c>
      <c r="F354" s="5" t="s">
        <v>7</v>
      </c>
      <c r="G354" s="5" t="s">
        <v>22</v>
      </c>
      <c r="H354" s="3">
        <v>227</v>
      </c>
      <c r="I354" s="3">
        <v>14</v>
      </c>
      <c r="J354" s="4">
        <f t="shared" si="5"/>
        <v>6.1674008810572688E-2</v>
      </c>
    </row>
    <row r="355" spans="1:10">
      <c r="A355" s="2">
        <v>2026</v>
      </c>
      <c r="B355" s="2">
        <v>6</v>
      </c>
      <c r="C355" s="2" t="s">
        <v>19</v>
      </c>
      <c r="D355" s="2">
        <v>2</v>
      </c>
      <c r="E355" s="2">
        <v>1</v>
      </c>
      <c r="F355" s="5" t="s">
        <v>7</v>
      </c>
      <c r="G355" s="5" t="s">
        <v>22</v>
      </c>
      <c r="H355" s="3">
        <v>227</v>
      </c>
      <c r="I355" s="3">
        <v>21</v>
      </c>
      <c r="J355" s="4">
        <f t="shared" si="5"/>
        <v>9.2511013215859028E-2</v>
      </c>
    </row>
    <row r="356" spans="1:10">
      <c r="A356" s="2">
        <v>2026</v>
      </c>
      <c r="B356" s="2">
        <v>7</v>
      </c>
      <c r="C356" s="2" t="s">
        <v>24</v>
      </c>
      <c r="D356" s="2">
        <v>3</v>
      </c>
      <c r="E356" s="2">
        <v>2</v>
      </c>
      <c r="F356" s="5" t="s">
        <v>7</v>
      </c>
      <c r="G356" s="5" t="s">
        <v>22</v>
      </c>
      <c r="H356" s="3">
        <v>227</v>
      </c>
      <c r="I356" s="3"/>
      <c r="J356" s="4" t="str">
        <f t="shared" si="5"/>
        <v/>
      </c>
    </row>
    <row r="357" spans="1:10">
      <c r="A357" s="2">
        <v>2026</v>
      </c>
      <c r="B357" s="2">
        <v>8</v>
      </c>
      <c r="C357" s="2" t="s">
        <v>32</v>
      </c>
      <c r="D357" s="2">
        <v>3</v>
      </c>
      <c r="E357" s="2">
        <v>2</v>
      </c>
      <c r="F357" s="5" t="s">
        <v>7</v>
      </c>
      <c r="G357" s="5" t="s">
        <v>22</v>
      </c>
      <c r="H357" s="3">
        <v>227</v>
      </c>
      <c r="I357" s="3"/>
      <c r="J357" s="4" t="str">
        <f t="shared" si="5"/>
        <v/>
      </c>
    </row>
    <row r="358" spans="1:10">
      <c r="A358" s="2">
        <v>2026</v>
      </c>
      <c r="B358" s="2">
        <v>9</v>
      </c>
      <c r="C358" s="2" t="s">
        <v>33</v>
      </c>
      <c r="D358" s="2">
        <v>3</v>
      </c>
      <c r="E358" s="2">
        <v>2</v>
      </c>
      <c r="F358" s="5" t="s">
        <v>7</v>
      </c>
      <c r="G358" s="5" t="s">
        <v>22</v>
      </c>
      <c r="H358" s="3">
        <v>227</v>
      </c>
      <c r="I358" s="3"/>
      <c r="J358" s="4" t="str">
        <f t="shared" si="5"/>
        <v/>
      </c>
    </row>
    <row r="359" spans="1:10">
      <c r="A359" s="2">
        <v>2026</v>
      </c>
      <c r="B359" s="2">
        <v>10</v>
      </c>
      <c r="C359" s="2" t="s">
        <v>34</v>
      </c>
      <c r="D359" s="2">
        <v>4</v>
      </c>
      <c r="E359" s="2">
        <v>2</v>
      </c>
      <c r="F359" s="5" t="s">
        <v>7</v>
      </c>
      <c r="G359" s="5" t="s">
        <v>22</v>
      </c>
      <c r="H359" s="3">
        <v>227</v>
      </c>
      <c r="I359" s="3"/>
      <c r="J359" s="4" t="str">
        <f t="shared" si="5"/>
        <v/>
      </c>
    </row>
    <row r="360" spans="1:10">
      <c r="A360" s="2">
        <v>2026</v>
      </c>
      <c r="B360" s="2">
        <v>11</v>
      </c>
      <c r="C360" s="2" t="s">
        <v>35</v>
      </c>
      <c r="D360" s="2">
        <v>4</v>
      </c>
      <c r="E360" s="2">
        <v>2</v>
      </c>
      <c r="F360" s="5" t="s">
        <v>7</v>
      </c>
      <c r="G360" s="5" t="s">
        <v>22</v>
      </c>
      <c r="H360" s="3">
        <v>227</v>
      </c>
      <c r="I360" s="3"/>
      <c r="J360" s="4" t="str">
        <f t="shared" si="5"/>
        <v/>
      </c>
    </row>
    <row r="361" spans="1:10">
      <c r="A361" s="2">
        <v>2026</v>
      </c>
      <c r="B361" s="2">
        <v>12</v>
      </c>
      <c r="C361" s="2" t="s">
        <v>36</v>
      </c>
      <c r="D361" s="2">
        <v>4</v>
      </c>
      <c r="E361" s="2">
        <v>2</v>
      </c>
      <c r="F361" s="5" t="s">
        <v>7</v>
      </c>
      <c r="G361" s="5" t="s">
        <v>22</v>
      </c>
      <c r="H361" s="3">
        <v>227</v>
      </c>
      <c r="I361" s="3"/>
      <c r="J361" s="4" t="str">
        <f t="shared" si="5"/>
        <v/>
      </c>
    </row>
    <row r="362" spans="1:10">
      <c r="A362" s="2">
        <v>2026</v>
      </c>
      <c r="B362" s="2">
        <v>1</v>
      </c>
      <c r="C362" s="2" t="s">
        <v>14</v>
      </c>
      <c r="D362" s="2">
        <v>1</v>
      </c>
      <c r="E362" s="2">
        <v>1</v>
      </c>
      <c r="F362" s="5" t="s">
        <v>8</v>
      </c>
      <c r="G362" s="5" t="s">
        <v>22</v>
      </c>
      <c r="H362" s="3">
        <v>47</v>
      </c>
      <c r="I362" s="3">
        <v>0</v>
      </c>
      <c r="J362" s="4">
        <f t="shared" si="5"/>
        <v>0</v>
      </c>
    </row>
    <row r="363" spans="1:10">
      <c r="A363" s="2">
        <v>2026</v>
      </c>
      <c r="B363" s="2">
        <v>2</v>
      </c>
      <c r="C363" s="2" t="s">
        <v>15</v>
      </c>
      <c r="D363" s="2">
        <v>1</v>
      </c>
      <c r="E363" s="2">
        <v>1</v>
      </c>
      <c r="F363" s="5" t="s">
        <v>8</v>
      </c>
      <c r="G363" s="5" t="s">
        <v>22</v>
      </c>
      <c r="H363" s="3">
        <v>47</v>
      </c>
      <c r="I363" s="3">
        <v>0</v>
      </c>
      <c r="J363" s="4">
        <f t="shared" si="5"/>
        <v>0</v>
      </c>
    </row>
    <row r="364" spans="1:10">
      <c r="A364" s="2">
        <v>2026</v>
      </c>
      <c r="B364" s="2">
        <v>3</v>
      </c>
      <c r="C364" s="2" t="s">
        <v>16</v>
      </c>
      <c r="D364" s="2">
        <v>1</v>
      </c>
      <c r="E364" s="2">
        <v>1</v>
      </c>
      <c r="F364" s="5" t="s">
        <v>8</v>
      </c>
      <c r="G364" s="5" t="s">
        <v>22</v>
      </c>
      <c r="H364" s="3">
        <v>47</v>
      </c>
      <c r="I364" s="3">
        <v>8</v>
      </c>
      <c r="J364" s="4">
        <f t="shared" si="5"/>
        <v>0.1702127659574468</v>
      </c>
    </row>
    <row r="365" spans="1:10">
      <c r="A365" s="2">
        <v>2026</v>
      </c>
      <c r="B365" s="2">
        <v>4</v>
      </c>
      <c r="C365" s="2" t="s">
        <v>17</v>
      </c>
      <c r="D365" s="2">
        <v>2</v>
      </c>
      <c r="E365" s="2">
        <v>1</v>
      </c>
      <c r="F365" s="5" t="s">
        <v>8</v>
      </c>
      <c r="G365" s="5" t="s">
        <v>22</v>
      </c>
      <c r="H365" s="3">
        <v>47</v>
      </c>
      <c r="I365" s="3">
        <v>0</v>
      </c>
      <c r="J365" s="4">
        <f t="shared" si="5"/>
        <v>0</v>
      </c>
    </row>
    <row r="366" spans="1:10">
      <c r="A366" s="2">
        <v>2026</v>
      </c>
      <c r="B366" s="2">
        <v>5</v>
      </c>
      <c r="C366" s="2" t="s">
        <v>18</v>
      </c>
      <c r="D366" s="2">
        <v>2</v>
      </c>
      <c r="E366" s="2">
        <v>1</v>
      </c>
      <c r="F366" s="5" t="s">
        <v>8</v>
      </c>
      <c r="G366" s="5" t="s">
        <v>22</v>
      </c>
      <c r="H366" s="3">
        <v>47</v>
      </c>
      <c r="I366" s="3">
        <v>1</v>
      </c>
      <c r="J366" s="4">
        <f t="shared" si="5"/>
        <v>2.1276595744680851E-2</v>
      </c>
    </row>
    <row r="367" spans="1:10">
      <c r="A367" s="2">
        <v>2026</v>
      </c>
      <c r="B367" s="2">
        <v>6</v>
      </c>
      <c r="C367" s="2" t="s">
        <v>19</v>
      </c>
      <c r="D367" s="2">
        <v>2</v>
      </c>
      <c r="E367" s="2">
        <v>1</v>
      </c>
      <c r="F367" s="5" t="s">
        <v>8</v>
      </c>
      <c r="G367" s="5" t="s">
        <v>22</v>
      </c>
      <c r="H367" s="3">
        <v>47</v>
      </c>
      <c r="I367" s="3">
        <v>10</v>
      </c>
      <c r="J367" s="4">
        <f t="shared" si="5"/>
        <v>0.21276595744680851</v>
      </c>
    </row>
    <row r="368" spans="1:10">
      <c r="A368" s="2">
        <v>2026</v>
      </c>
      <c r="B368" s="2">
        <v>7</v>
      </c>
      <c r="C368" s="2" t="s">
        <v>24</v>
      </c>
      <c r="D368" s="2">
        <v>3</v>
      </c>
      <c r="E368" s="2">
        <v>2</v>
      </c>
      <c r="F368" s="5" t="s">
        <v>8</v>
      </c>
      <c r="G368" s="5" t="s">
        <v>22</v>
      </c>
      <c r="H368" s="3">
        <v>47</v>
      </c>
      <c r="I368" s="3"/>
      <c r="J368" s="4" t="str">
        <f t="shared" si="5"/>
        <v/>
      </c>
    </row>
    <row r="369" spans="1:10">
      <c r="A369" s="2">
        <v>2026</v>
      </c>
      <c r="B369" s="2">
        <v>8</v>
      </c>
      <c r="C369" s="2" t="s">
        <v>32</v>
      </c>
      <c r="D369" s="2">
        <v>3</v>
      </c>
      <c r="E369" s="2">
        <v>2</v>
      </c>
      <c r="F369" s="5" t="s">
        <v>8</v>
      </c>
      <c r="G369" s="5" t="s">
        <v>22</v>
      </c>
      <c r="H369" s="3">
        <v>47</v>
      </c>
      <c r="I369" s="3"/>
      <c r="J369" s="4" t="str">
        <f t="shared" si="5"/>
        <v/>
      </c>
    </row>
    <row r="370" spans="1:10">
      <c r="A370" s="2">
        <v>2026</v>
      </c>
      <c r="B370" s="2">
        <v>9</v>
      </c>
      <c r="C370" s="2" t="s">
        <v>33</v>
      </c>
      <c r="D370" s="2">
        <v>3</v>
      </c>
      <c r="E370" s="2">
        <v>2</v>
      </c>
      <c r="F370" s="5" t="s">
        <v>8</v>
      </c>
      <c r="G370" s="5" t="s">
        <v>22</v>
      </c>
      <c r="H370" s="3">
        <v>47</v>
      </c>
      <c r="I370" s="3"/>
      <c r="J370" s="4" t="str">
        <f t="shared" si="5"/>
        <v/>
      </c>
    </row>
    <row r="371" spans="1:10">
      <c r="A371" s="2">
        <v>2026</v>
      </c>
      <c r="B371" s="2">
        <v>10</v>
      </c>
      <c r="C371" s="2" t="s">
        <v>34</v>
      </c>
      <c r="D371" s="2">
        <v>4</v>
      </c>
      <c r="E371" s="2">
        <v>2</v>
      </c>
      <c r="F371" s="5" t="s">
        <v>8</v>
      </c>
      <c r="G371" s="5" t="s">
        <v>22</v>
      </c>
      <c r="H371" s="3">
        <v>47</v>
      </c>
      <c r="I371" s="3"/>
      <c r="J371" s="4" t="str">
        <f t="shared" si="5"/>
        <v/>
      </c>
    </row>
    <row r="372" spans="1:10">
      <c r="A372" s="2">
        <v>2026</v>
      </c>
      <c r="B372" s="2">
        <v>11</v>
      </c>
      <c r="C372" s="2" t="s">
        <v>35</v>
      </c>
      <c r="D372" s="2">
        <v>4</v>
      </c>
      <c r="E372" s="2">
        <v>2</v>
      </c>
      <c r="F372" s="5" t="s">
        <v>8</v>
      </c>
      <c r="G372" s="5" t="s">
        <v>22</v>
      </c>
      <c r="H372" s="3">
        <v>47</v>
      </c>
      <c r="I372" s="3"/>
      <c r="J372" s="4" t="str">
        <f t="shared" si="5"/>
        <v/>
      </c>
    </row>
    <row r="373" spans="1:10">
      <c r="A373" s="2">
        <v>2026</v>
      </c>
      <c r="B373" s="2">
        <v>12</v>
      </c>
      <c r="C373" s="2" t="s">
        <v>36</v>
      </c>
      <c r="D373" s="2">
        <v>4</v>
      </c>
      <c r="E373" s="2">
        <v>2</v>
      </c>
      <c r="F373" s="5" t="s">
        <v>8</v>
      </c>
      <c r="G373" s="5" t="s">
        <v>22</v>
      </c>
      <c r="H373" s="3">
        <v>47</v>
      </c>
      <c r="I373" s="3"/>
      <c r="J373" s="4" t="str">
        <f t="shared" si="5"/>
        <v/>
      </c>
    </row>
    <row r="374" spans="1:10">
      <c r="A374" s="2">
        <v>2026</v>
      </c>
      <c r="B374" s="2">
        <v>1</v>
      </c>
      <c r="C374" s="2" t="s">
        <v>14</v>
      </c>
      <c r="D374" s="2">
        <v>1</v>
      </c>
      <c r="E374" s="2">
        <v>1</v>
      </c>
      <c r="F374" s="5" t="s">
        <v>9</v>
      </c>
      <c r="G374" s="5" t="s">
        <v>22</v>
      </c>
      <c r="H374" s="3">
        <v>115</v>
      </c>
      <c r="I374" s="3">
        <v>1</v>
      </c>
      <c r="J374" s="4">
        <f t="shared" si="5"/>
        <v>8.6956521739130436E-3</v>
      </c>
    </row>
    <row r="375" spans="1:10">
      <c r="A375" s="2">
        <v>2026</v>
      </c>
      <c r="B375" s="2">
        <v>2</v>
      </c>
      <c r="C375" s="2" t="s">
        <v>15</v>
      </c>
      <c r="D375" s="2">
        <v>1</v>
      </c>
      <c r="E375" s="2">
        <v>1</v>
      </c>
      <c r="F375" s="5" t="s">
        <v>9</v>
      </c>
      <c r="G375" s="5" t="s">
        <v>22</v>
      </c>
      <c r="H375" s="3">
        <v>115</v>
      </c>
      <c r="I375" s="3">
        <v>1</v>
      </c>
      <c r="J375" s="4">
        <f t="shared" si="5"/>
        <v>8.6956521739130436E-3</v>
      </c>
    </row>
    <row r="376" spans="1:10">
      <c r="A376" s="2">
        <v>2026</v>
      </c>
      <c r="B376" s="2">
        <v>3</v>
      </c>
      <c r="C376" s="2" t="s">
        <v>16</v>
      </c>
      <c r="D376" s="2">
        <v>1</v>
      </c>
      <c r="E376" s="2">
        <v>1</v>
      </c>
      <c r="F376" s="5" t="s">
        <v>9</v>
      </c>
      <c r="G376" s="5" t="s">
        <v>22</v>
      </c>
      <c r="H376" s="3">
        <v>115</v>
      </c>
      <c r="I376" s="3">
        <v>0</v>
      </c>
      <c r="J376" s="4">
        <f t="shared" si="5"/>
        <v>0</v>
      </c>
    </row>
    <row r="377" spans="1:10">
      <c r="A377" s="2">
        <v>2026</v>
      </c>
      <c r="B377" s="2">
        <v>4</v>
      </c>
      <c r="C377" s="2" t="s">
        <v>17</v>
      </c>
      <c r="D377" s="2">
        <v>2</v>
      </c>
      <c r="E377" s="2">
        <v>1</v>
      </c>
      <c r="F377" s="5" t="s">
        <v>9</v>
      </c>
      <c r="G377" s="5" t="s">
        <v>22</v>
      </c>
      <c r="H377" s="3">
        <v>115</v>
      </c>
      <c r="I377" s="3">
        <v>0</v>
      </c>
      <c r="J377" s="4">
        <f t="shared" si="5"/>
        <v>0</v>
      </c>
    </row>
    <row r="378" spans="1:10">
      <c r="A378" s="2">
        <v>2026</v>
      </c>
      <c r="B378" s="2">
        <v>5</v>
      </c>
      <c r="C378" s="2" t="s">
        <v>18</v>
      </c>
      <c r="D378" s="2">
        <v>2</v>
      </c>
      <c r="E378" s="2">
        <v>1</v>
      </c>
      <c r="F378" s="5" t="s">
        <v>9</v>
      </c>
      <c r="G378" s="5" t="s">
        <v>22</v>
      </c>
      <c r="H378" s="3">
        <v>115</v>
      </c>
      <c r="I378" s="3">
        <v>4</v>
      </c>
      <c r="J378" s="4">
        <f t="shared" si="5"/>
        <v>3.4782608695652174E-2</v>
      </c>
    </row>
    <row r="379" spans="1:10">
      <c r="A379" s="2">
        <v>2026</v>
      </c>
      <c r="B379" s="2">
        <v>6</v>
      </c>
      <c r="C379" s="2" t="s">
        <v>19</v>
      </c>
      <c r="D379" s="2">
        <v>2</v>
      </c>
      <c r="E379" s="2">
        <v>1</v>
      </c>
      <c r="F379" s="5" t="s">
        <v>9</v>
      </c>
      <c r="G379" s="5" t="s">
        <v>22</v>
      </c>
      <c r="H379" s="3">
        <v>115</v>
      </c>
      <c r="I379" s="3">
        <v>4</v>
      </c>
      <c r="J379" s="4">
        <f t="shared" si="5"/>
        <v>3.4782608695652174E-2</v>
      </c>
    </row>
    <row r="380" spans="1:10">
      <c r="A380" s="2">
        <v>2026</v>
      </c>
      <c r="B380" s="2">
        <v>7</v>
      </c>
      <c r="C380" s="2" t="s">
        <v>24</v>
      </c>
      <c r="D380" s="2">
        <v>3</v>
      </c>
      <c r="E380" s="2">
        <v>2</v>
      </c>
      <c r="F380" s="5" t="s">
        <v>9</v>
      </c>
      <c r="G380" s="5" t="s">
        <v>22</v>
      </c>
      <c r="H380" s="3">
        <v>115</v>
      </c>
      <c r="I380" s="3"/>
      <c r="J380" s="4" t="str">
        <f t="shared" si="5"/>
        <v/>
      </c>
    </row>
    <row r="381" spans="1:10">
      <c r="A381" s="2">
        <v>2026</v>
      </c>
      <c r="B381" s="2">
        <v>8</v>
      </c>
      <c r="C381" s="2" t="s">
        <v>32</v>
      </c>
      <c r="D381" s="2">
        <v>3</v>
      </c>
      <c r="E381" s="2">
        <v>2</v>
      </c>
      <c r="F381" s="5" t="s">
        <v>9</v>
      </c>
      <c r="G381" s="5" t="s">
        <v>22</v>
      </c>
      <c r="H381" s="3">
        <v>115</v>
      </c>
      <c r="I381" s="3"/>
      <c r="J381" s="4" t="str">
        <f t="shared" si="5"/>
        <v/>
      </c>
    </row>
    <row r="382" spans="1:10">
      <c r="A382" s="2">
        <v>2026</v>
      </c>
      <c r="B382" s="2">
        <v>9</v>
      </c>
      <c r="C382" s="2" t="s">
        <v>33</v>
      </c>
      <c r="D382" s="2">
        <v>3</v>
      </c>
      <c r="E382" s="2">
        <v>2</v>
      </c>
      <c r="F382" s="5" t="s">
        <v>9</v>
      </c>
      <c r="G382" s="5" t="s">
        <v>22</v>
      </c>
      <c r="H382" s="3">
        <v>115</v>
      </c>
      <c r="I382" s="3"/>
      <c r="J382" s="4" t="str">
        <f t="shared" si="5"/>
        <v/>
      </c>
    </row>
    <row r="383" spans="1:10">
      <c r="A383" s="2">
        <v>2026</v>
      </c>
      <c r="B383" s="2">
        <v>10</v>
      </c>
      <c r="C383" s="2" t="s">
        <v>34</v>
      </c>
      <c r="D383" s="2">
        <v>4</v>
      </c>
      <c r="E383" s="2">
        <v>2</v>
      </c>
      <c r="F383" s="5" t="s">
        <v>9</v>
      </c>
      <c r="G383" s="5" t="s">
        <v>22</v>
      </c>
      <c r="H383" s="3">
        <v>115</v>
      </c>
      <c r="I383" s="3"/>
      <c r="J383" s="4" t="str">
        <f t="shared" si="5"/>
        <v/>
      </c>
    </row>
    <row r="384" spans="1:10">
      <c r="A384" s="2">
        <v>2026</v>
      </c>
      <c r="B384" s="2">
        <v>11</v>
      </c>
      <c r="C384" s="2" t="s">
        <v>35</v>
      </c>
      <c r="D384" s="2">
        <v>4</v>
      </c>
      <c r="E384" s="2">
        <v>2</v>
      </c>
      <c r="F384" s="5" t="s">
        <v>9</v>
      </c>
      <c r="G384" s="5" t="s">
        <v>22</v>
      </c>
      <c r="H384" s="3">
        <v>115</v>
      </c>
      <c r="I384" s="3"/>
      <c r="J384" s="4" t="str">
        <f t="shared" si="5"/>
        <v/>
      </c>
    </row>
    <row r="385" spans="1:10">
      <c r="A385" s="2">
        <v>2026</v>
      </c>
      <c r="B385" s="2">
        <v>12</v>
      </c>
      <c r="C385" s="2" t="s">
        <v>36</v>
      </c>
      <c r="D385" s="2">
        <v>4</v>
      </c>
      <c r="E385" s="2">
        <v>2</v>
      </c>
      <c r="F385" s="5" t="s">
        <v>9</v>
      </c>
      <c r="G385" s="5" t="s">
        <v>22</v>
      </c>
      <c r="H385" s="3">
        <v>115</v>
      </c>
      <c r="I385" s="3"/>
      <c r="J385" s="4" t="str">
        <f t="shared" si="5"/>
        <v/>
      </c>
    </row>
    <row r="386" spans="1:10">
      <c r="A386" s="2">
        <v>2026</v>
      </c>
      <c r="B386" s="2">
        <v>1</v>
      </c>
      <c r="C386" s="2" t="s">
        <v>14</v>
      </c>
      <c r="D386" s="2">
        <v>1</v>
      </c>
      <c r="E386" s="2">
        <v>1</v>
      </c>
      <c r="F386" s="5" t="s">
        <v>10</v>
      </c>
      <c r="G386" s="5" t="s">
        <v>22</v>
      </c>
      <c r="H386" s="3">
        <v>85</v>
      </c>
      <c r="I386" s="3">
        <v>5</v>
      </c>
      <c r="J386" s="4">
        <f t="shared" ref="J386:J449" si="6">IF(I386="","",IFERROR(I386/H386,0))</f>
        <v>5.8823529411764705E-2</v>
      </c>
    </row>
    <row r="387" spans="1:10">
      <c r="A387" s="2">
        <v>2026</v>
      </c>
      <c r="B387" s="2">
        <v>2</v>
      </c>
      <c r="C387" s="2" t="s">
        <v>15</v>
      </c>
      <c r="D387" s="2">
        <v>1</v>
      </c>
      <c r="E387" s="2">
        <v>1</v>
      </c>
      <c r="F387" s="5" t="s">
        <v>10</v>
      </c>
      <c r="G387" s="5" t="s">
        <v>22</v>
      </c>
      <c r="H387" s="3">
        <v>85</v>
      </c>
      <c r="I387" s="3">
        <v>0</v>
      </c>
      <c r="J387" s="4">
        <f t="shared" si="6"/>
        <v>0</v>
      </c>
    </row>
    <row r="388" spans="1:10">
      <c r="A388" s="2">
        <v>2026</v>
      </c>
      <c r="B388" s="2">
        <v>3</v>
      </c>
      <c r="C388" s="2" t="s">
        <v>16</v>
      </c>
      <c r="D388" s="2">
        <v>1</v>
      </c>
      <c r="E388" s="2">
        <v>1</v>
      </c>
      <c r="F388" s="5" t="s">
        <v>10</v>
      </c>
      <c r="G388" s="5" t="s">
        <v>22</v>
      </c>
      <c r="H388" s="3">
        <v>85</v>
      </c>
      <c r="I388" s="3">
        <v>2</v>
      </c>
      <c r="J388" s="4">
        <f t="shared" si="6"/>
        <v>2.3529411764705882E-2</v>
      </c>
    </row>
    <row r="389" spans="1:10">
      <c r="A389" s="2">
        <v>2026</v>
      </c>
      <c r="B389" s="2">
        <v>4</v>
      </c>
      <c r="C389" s="2" t="s">
        <v>17</v>
      </c>
      <c r="D389" s="2">
        <v>2</v>
      </c>
      <c r="E389" s="2">
        <v>1</v>
      </c>
      <c r="F389" s="5" t="s">
        <v>10</v>
      </c>
      <c r="G389" s="5" t="s">
        <v>22</v>
      </c>
      <c r="H389" s="3">
        <v>85</v>
      </c>
      <c r="I389" s="3">
        <v>3</v>
      </c>
      <c r="J389" s="4">
        <f t="shared" si="6"/>
        <v>3.5294117647058823E-2</v>
      </c>
    </row>
    <row r="390" spans="1:10">
      <c r="A390" s="2">
        <v>2026</v>
      </c>
      <c r="B390" s="2">
        <v>5</v>
      </c>
      <c r="C390" s="2" t="s">
        <v>18</v>
      </c>
      <c r="D390" s="2">
        <v>2</v>
      </c>
      <c r="E390" s="2">
        <v>1</v>
      </c>
      <c r="F390" s="5" t="s">
        <v>10</v>
      </c>
      <c r="G390" s="5" t="s">
        <v>22</v>
      </c>
      <c r="H390" s="3">
        <v>85</v>
      </c>
      <c r="I390" s="3">
        <v>5</v>
      </c>
      <c r="J390" s="4">
        <f t="shared" si="6"/>
        <v>5.8823529411764705E-2</v>
      </c>
    </row>
    <row r="391" spans="1:10">
      <c r="A391" s="2">
        <v>2026</v>
      </c>
      <c r="B391" s="2">
        <v>6</v>
      </c>
      <c r="C391" s="2" t="s">
        <v>19</v>
      </c>
      <c r="D391" s="2">
        <v>2</v>
      </c>
      <c r="E391" s="2">
        <v>1</v>
      </c>
      <c r="F391" s="5" t="s">
        <v>10</v>
      </c>
      <c r="G391" s="5" t="s">
        <v>22</v>
      </c>
      <c r="H391" s="3">
        <v>85</v>
      </c>
      <c r="I391" s="3">
        <v>4</v>
      </c>
      <c r="J391" s="4">
        <f t="shared" si="6"/>
        <v>4.7058823529411764E-2</v>
      </c>
    </row>
    <row r="392" spans="1:10">
      <c r="A392" s="2">
        <v>2026</v>
      </c>
      <c r="B392" s="2">
        <v>7</v>
      </c>
      <c r="C392" s="2" t="s">
        <v>24</v>
      </c>
      <c r="D392" s="2">
        <v>3</v>
      </c>
      <c r="E392" s="2">
        <v>2</v>
      </c>
      <c r="F392" s="5" t="s">
        <v>10</v>
      </c>
      <c r="G392" s="5" t="s">
        <v>22</v>
      </c>
      <c r="H392" s="3">
        <v>85</v>
      </c>
      <c r="I392" s="3"/>
      <c r="J392" s="4" t="str">
        <f t="shared" si="6"/>
        <v/>
      </c>
    </row>
    <row r="393" spans="1:10">
      <c r="A393" s="2">
        <v>2026</v>
      </c>
      <c r="B393" s="2">
        <v>8</v>
      </c>
      <c r="C393" s="2" t="s">
        <v>32</v>
      </c>
      <c r="D393" s="2">
        <v>3</v>
      </c>
      <c r="E393" s="2">
        <v>2</v>
      </c>
      <c r="F393" s="5" t="s">
        <v>10</v>
      </c>
      <c r="G393" s="5" t="s">
        <v>22</v>
      </c>
      <c r="H393" s="3">
        <v>85</v>
      </c>
      <c r="I393" s="3"/>
      <c r="J393" s="4" t="str">
        <f t="shared" si="6"/>
        <v/>
      </c>
    </row>
    <row r="394" spans="1:10">
      <c r="A394" s="2">
        <v>2026</v>
      </c>
      <c r="B394" s="2">
        <v>9</v>
      </c>
      <c r="C394" s="2" t="s">
        <v>33</v>
      </c>
      <c r="D394" s="2">
        <v>3</v>
      </c>
      <c r="E394" s="2">
        <v>2</v>
      </c>
      <c r="F394" s="5" t="s">
        <v>10</v>
      </c>
      <c r="G394" s="5" t="s">
        <v>22</v>
      </c>
      <c r="H394" s="3">
        <v>85</v>
      </c>
      <c r="I394" s="3"/>
      <c r="J394" s="4" t="str">
        <f t="shared" si="6"/>
        <v/>
      </c>
    </row>
    <row r="395" spans="1:10">
      <c r="A395" s="2">
        <v>2026</v>
      </c>
      <c r="B395" s="2">
        <v>10</v>
      </c>
      <c r="C395" s="2" t="s">
        <v>34</v>
      </c>
      <c r="D395" s="2">
        <v>4</v>
      </c>
      <c r="E395" s="2">
        <v>2</v>
      </c>
      <c r="F395" s="5" t="s">
        <v>10</v>
      </c>
      <c r="G395" s="5" t="s">
        <v>22</v>
      </c>
      <c r="H395" s="3">
        <v>85</v>
      </c>
      <c r="I395" s="3"/>
      <c r="J395" s="4" t="str">
        <f t="shared" si="6"/>
        <v/>
      </c>
    </row>
    <row r="396" spans="1:10">
      <c r="A396" s="2">
        <v>2026</v>
      </c>
      <c r="B396" s="2">
        <v>11</v>
      </c>
      <c r="C396" s="2" t="s">
        <v>35</v>
      </c>
      <c r="D396" s="2">
        <v>4</v>
      </c>
      <c r="E396" s="2">
        <v>2</v>
      </c>
      <c r="F396" s="5" t="s">
        <v>10</v>
      </c>
      <c r="G396" s="5" t="s">
        <v>22</v>
      </c>
      <c r="H396" s="3">
        <v>85</v>
      </c>
      <c r="I396" s="3"/>
      <c r="J396" s="4" t="str">
        <f t="shared" si="6"/>
        <v/>
      </c>
    </row>
    <row r="397" spans="1:10">
      <c r="A397" s="2">
        <v>2026</v>
      </c>
      <c r="B397" s="2">
        <v>12</v>
      </c>
      <c r="C397" s="2" t="s">
        <v>36</v>
      </c>
      <c r="D397" s="2">
        <v>4</v>
      </c>
      <c r="E397" s="2">
        <v>2</v>
      </c>
      <c r="F397" s="5" t="s">
        <v>10</v>
      </c>
      <c r="G397" s="5" t="s">
        <v>22</v>
      </c>
      <c r="H397" s="3">
        <v>85</v>
      </c>
      <c r="I397" s="3"/>
      <c r="J397" s="4" t="str">
        <f t="shared" si="6"/>
        <v/>
      </c>
    </row>
    <row r="398" spans="1:10">
      <c r="A398" s="2">
        <v>2026</v>
      </c>
      <c r="B398" s="2">
        <v>1</v>
      </c>
      <c r="C398" s="2" t="s">
        <v>14</v>
      </c>
      <c r="D398" s="2">
        <v>1</v>
      </c>
      <c r="E398" s="2">
        <v>1</v>
      </c>
      <c r="F398" s="5" t="s">
        <v>11</v>
      </c>
      <c r="G398" s="5" t="s">
        <v>22</v>
      </c>
      <c r="H398" s="3">
        <v>182</v>
      </c>
      <c r="I398" s="3">
        <v>2</v>
      </c>
      <c r="J398" s="4">
        <f t="shared" si="6"/>
        <v>1.098901098901099E-2</v>
      </c>
    </row>
    <row r="399" spans="1:10">
      <c r="A399" s="2">
        <v>2026</v>
      </c>
      <c r="B399" s="2">
        <v>2</v>
      </c>
      <c r="C399" s="2" t="s">
        <v>15</v>
      </c>
      <c r="D399" s="2">
        <v>1</v>
      </c>
      <c r="E399" s="2">
        <v>1</v>
      </c>
      <c r="F399" s="5" t="s">
        <v>11</v>
      </c>
      <c r="G399" s="5" t="s">
        <v>22</v>
      </c>
      <c r="H399" s="3">
        <v>182</v>
      </c>
      <c r="I399" s="3">
        <v>2</v>
      </c>
      <c r="J399" s="4">
        <f t="shared" si="6"/>
        <v>1.098901098901099E-2</v>
      </c>
    </row>
    <row r="400" spans="1:10">
      <c r="A400" s="2">
        <v>2026</v>
      </c>
      <c r="B400" s="2">
        <v>3</v>
      </c>
      <c r="C400" s="2" t="s">
        <v>16</v>
      </c>
      <c r="D400" s="2">
        <v>1</v>
      </c>
      <c r="E400" s="2">
        <v>1</v>
      </c>
      <c r="F400" s="5" t="s">
        <v>11</v>
      </c>
      <c r="G400" s="5" t="s">
        <v>22</v>
      </c>
      <c r="H400" s="3">
        <v>182</v>
      </c>
      <c r="I400" s="3">
        <v>0</v>
      </c>
      <c r="J400" s="4">
        <f t="shared" si="6"/>
        <v>0</v>
      </c>
    </row>
    <row r="401" spans="1:10">
      <c r="A401" s="2">
        <v>2026</v>
      </c>
      <c r="B401" s="2">
        <v>4</v>
      </c>
      <c r="C401" s="2" t="s">
        <v>17</v>
      </c>
      <c r="D401" s="2">
        <v>2</v>
      </c>
      <c r="E401" s="2">
        <v>1</v>
      </c>
      <c r="F401" s="5" t="s">
        <v>11</v>
      </c>
      <c r="G401" s="5" t="s">
        <v>22</v>
      </c>
      <c r="H401" s="3">
        <v>182</v>
      </c>
      <c r="I401" s="3">
        <v>8</v>
      </c>
      <c r="J401" s="4">
        <f t="shared" si="6"/>
        <v>4.3956043956043959E-2</v>
      </c>
    </row>
    <row r="402" spans="1:10">
      <c r="A402" s="2">
        <v>2026</v>
      </c>
      <c r="B402" s="2">
        <v>5</v>
      </c>
      <c r="C402" s="2" t="s">
        <v>18</v>
      </c>
      <c r="D402" s="2">
        <v>2</v>
      </c>
      <c r="E402" s="2">
        <v>1</v>
      </c>
      <c r="F402" s="5" t="s">
        <v>11</v>
      </c>
      <c r="G402" s="5" t="s">
        <v>22</v>
      </c>
      <c r="H402" s="3">
        <v>182</v>
      </c>
      <c r="I402" s="3">
        <v>10</v>
      </c>
      <c r="J402" s="4">
        <f t="shared" si="6"/>
        <v>5.4945054945054944E-2</v>
      </c>
    </row>
    <row r="403" spans="1:10">
      <c r="A403" s="2">
        <v>2026</v>
      </c>
      <c r="B403" s="2">
        <v>6</v>
      </c>
      <c r="C403" s="2" t="s">
        <v>19</v>
      </c>
      <c r="D403" s="2">
        <v>2</v>
      </c>
      <c r="E403" s="2">
        <v>1</v>
      </c>
      <c r="F403" s="5" t="s">
        <v>11</v>
      </c>
      <c r="G403" s="5" t="s">
        <v>22</v>
      </c>
      <c r="H403" s="3">
        <v>182</v>
      </c>
      <c r="I403" s="3">
        <v>2</v>
      </c>
      <c r="J403" s="4">
        <f t="shared" si="6"/>
        <v>1.098901098901099E-2</v>
      </c>
    </row>
    <row r="404" spans="1:10">
      <c r="A404" s="2">
        <v>2026</v>
      </c>
      <c r="B404" s="2">
        <v>7</v>
      </c>
      <c r="C404" s="2" t="s">
        <v>24</v>
      </c>
      <c r="D404" s="2">
        <v>3</v>
      </c>
      <c r="E404" s="2">
        <v>2</v>
      </c>
      <c r="F404" s="5" t="s">
        <v>11</v>
      </c>
      <c r="G404" s="5" t="s">
        <v>22</v>
      </c>
      <c r="H404" s="3">
        <v>182</v>
      </c>
      <c r="I404" s="3"/>
      <c r="J404" s="4" t="str">
        <f t="shared" si="6"/>
        <v/>
      </c>
    </row>
    <row r="405" spans="1:10">
      <c r="A405" s="2">
        <v>2026</v>
      </c>
      <c r="B405" s="2">
        <v>8</v>
      </c>
      <c r="C405" s="2" t="s">
        <v>32</v>
      </c>
      <c r="D405" s="2">
        <v>3</v>
      </c>
      <c r="E405" s="2">
        <v>2</v>
      </c>
      <c r="F405" s="5" t="s">
        <v>11</v>
      </c>
      <c r="G405" s="5" t="s">
        <v>22</v>
      </c>
      <c r="H405" s="3">
        <v>182</v>
      </c>
      <c r="I405" s="3"/>
      <c r="J405" s="4" t="str">
        <f t="shared" si="6"/>
        <v/>
      </c>
    </row>
    <row r="406" spans="1:10">
      <c r="A406" s="2">
        <v>2026</v>
      </c>
      <c r="B406" s="2">
        <v>9</v>
      </c>
      <c r="C406" s="2" t="s">
        <v>33</v>
      </c>
      <c r="D406" s="2">
        <v>3</v>
      </c>
      <c r="E406" s="2">
        <v>2</v>
      </c>
      <c r="F406" s="5" t="s">
        <v>11</v>
      </c>
      <c r="G406" s="5" t="s">
        <v>22</v>
      </c>
      <c r="H406" s="3">
        <v>182</v>
      </c>
      <c r="I406" s="3"/>
      <c r="J406" s="4" t="str">
        <f t="shared" si="6"/>
        <v/>
      </c>
    </row>
    <row r="407" spans="1:10">
      <c r="A407" s="2">
        <v>2026</v>
      </c>
      <c r="B407" s="2">
        <v>10</v>
      </c>
      <c r="C407" s="2" t="s">
        <v>34</v>
      </c>
      <c r="D407" s="2">
        <v>4</v>
      </c>
      <c r="E407" s="2">
        <v>2</v>
      </c>
      <c r="F407" s="5" t="s">
        <v>11</v>
      </c>
      <c r="G407" s="5" t="s">
        <v>22</v>
      </c>
      <c r="H407" s="3">
        <v>182</v>
      </c>
      <c r="I407" s="3"/>
      <c r="J407" s="4" t="str">
        <f t="shared" si="6"/>
        <v/>
      </c>
    </row>
    <row r="408" spans="1:10">
      <c r="A408" s="2">
        <v>2026</v>
      </c>
      <c r="B408" s="2">
        <v>11</v>
      </c>
      <c r="C408" s="2" t="s">
        <v>35</v>
      </c>
      <c r="D408" s="2">
        <v>4</v>
      </c>
      <c r="E408" s="2">
        <v>2</v>
      </c>
      <c r="F408" s="5" t="s">
        <v>11</v>
      </c>
      <c r="G408" s="5" t="s">
        <v>22</v>
      </c>
      <c r="H408" s="3">
        <v>182</v>
      </c>
      <c r="I408" s="3"/>
      <c r="J408" s="4" t="str">
        <f t="shared" si="6"/>
        <v/>
      </c>
    </row>
    <row r="409" spans="1:10">
      <c r="A409" s="2">
        <v>2026</v>
      </c>
      <c r="B409" s="2">
        <v>12</v>
      </c>
      <c r="C409" s="2" t="s">
        <v>36</v>
      </c>
      <c r="D409" s="2">
        <v>4</v>
      </c>
      <c r="E409" s="2">
        <v>2</v>
      </c>
      <c r="F409" s="5" t="s">
        <v>11</v>
      </c>
      <c r="G409" s="5" t="s">
        <v>22</v>
      </c>
      <c r="H409" s="3">
        <v>182</v>
      </c>
      <c r="I409" s="3"/>
      <c r="J409" s="4" t="str">
        <f t="shared" si="6"/>
        <v/>
      </c>
    </row>
    <row r="410" spans="1:10">
      <c r="A410" s="2">
        <v>2026</v>
      </c>
      <c r="B410" s="2">
        <v>1</v>
      </c>
      <c r="C410" s="2" t="s">
        <v>14</v>
      </c>
      <c r="D410" s="2">
        <v>1</v>
      </c>
      <c r="E410" s="2">
        <v>1</v>
      </c>
      <c r="F410" s="5" t="s">
        <v>12</v>
      </c>
      <c r="G410" s="5" t="s">
        <v>22</v>
      </c>
      <c r="H410" s="3">
        <v>70</v>
      </c>
      <c r="I410" s="3">
        <v>9</v>
      </c>
      <c r="J410" s="4">
        <f t="shared" si="6"/>
        <v>0.12857142857142856</v>
      </c>
    </row>
    <row r="411" spans="1:10">
      <c r="A411" s="2">
        <v>2026</v>
      </c>
      <c r="B411" s="2">
        <v>2</v>
      </c>
      <c r="C411" s="2" t="s">
        <v>15</v>
      </c>
      <c r="D411" s="2">
        <v>1</v>
      </c>
      <c r="E411" s="2">
        <v>1</v>
      </c>
      <c r="F411" s="5" t="s">
        <v>12</v>
      </c>
      <c r="G411" s="5" t="s">
        <v>22</v>
      </c>
      <c r="H411" s="3">
        <v>70</v>
      </c>
      <c r="I411" s="3">
        <v>9</v>
      </c>
      <c r="J411" s="4">
        <f t="shared" si="6"/>
        <v>0.12857142857142856</v>
      </c>
    </row>
    <row r="412" spans="1:10">
      <c r="A412" s="2">
        <v>2026</v>
      </c>
      <c r="B412" s="2">
        <v>3</v>
      </c>
      <c r="C412" s="2" t="s">
        <v>16</v>
      </c>
      <c r="D412" s="2">
        <v>1</v>
      </c>
      <c r="E412" s="2">
        <v>1</v>
      </c>
      <c r="F412" s="5" t="s">
        <v>12</v>
      </c>
      <c r="G412" s="5" t="s">
        <v>22</v>
      </c>
      <c r="H412" s="3">
        <v>70</v>
      </c>
      <c r="I412" s="3">
        <v>3</v>
      </c>
      <c r="J412" s="4">
        <f t="shared" si="6"/>
        <v>4.2857142857142858E-2</v>
      </c>
    </row>
    <row r="413" spans="1:10">
      <c r="A413" s="2">
        <v>2026</v>
      </c>
      <c r="B413" s="2">
        <v>4</v>
      </c>
      <c r="C413" s="2" t="s">
        <v>17</v>
      </c>
      <c r="D413" s="2">
        <v>2</v>
      </c>
      <c r="E413" s="2">
        <v>1</v>
      </c>
      <c r="F413" s="5" t="s">
        <v>12</v>
      </c>
      <c r="G413" s="5" t="s">
        <v>22</v>
      </c>
      <c r="H413" s="3">
        <v>70</v>
      </c>
      <c r="I413" s="3">
        <v>3</v>
      </c>
      <c r="J413" s="4">
        <f t="shared" si="6"/>
        <v>4.2857142857142858E-2</v>
      </c>
    </row>
    <row r="414" spans="1:10">
      <c r="A414" s="2">
        <v>2026</v>
      </c>
      <c r="B414" s="2">
        <v>5</v>
      </c>
      <c r="C414" s="2" t="s">
        <v>18</v>
      </c>
      <c r="D414" s="2">
        <v>2</v>
      </c>
      <c r="E414" s="2">
        <v>1</v>
      </c>
      <c r="F414" s="5" t="s">
        <v>12</v>
      </c>
      <c r="G414" s="5" t="s">
        <v>22</v>
      </c>
      <c r="H414" s="3">
        <v>70</v>
      </c>
      <c r="I414" s="3">
        <v>5</v>
      </c>
      <c r="J414" s="4">
        <f t="shared" si="6"/>
        <v>7.1428571428571425E-2</v>
      </c>
    </row>
    <row r="415" spans="1:10">
      <c r="A415" s="2">
        <v>2026</v>
      </c>
      <c r="B415" s="2">
        <v>6</v>
      </c>
      <c r="C415" s="2" t="s">
        <v>19</v>
      </c>
      <c r="D415" s="2">
        <v>2</v>
      </c>
      <c r="E415" s="2">
        <v>1</v>
      </c>
      <c r="F415" s="5" t="s">
        <v>12</v>
      </c>
      <c r="G415" s="5" t="s">
        <v>22</v>
      </c>
      <c r="H415" s="3">
        <v>70</v>
      </c>
      <c r="I415" s="3">
        <v>4</v>
      </c>
      <c r="J415" s="4">
        <f t="shared" si="6"/>
        <v>5.7142857142857141E-2</v>
      </c>
    </row>
    <row r="416" spans="1:10">
      <c r="A416" s="2">
        <v>2026</v>
      </c>
      <c r="B416" s="2">
        <v>7</v>
      </c>
      <c r="C416" s="2" t="s">
        <v>24</v>
      </c>
      <c r="D416" s="2">
        <v>3</v>
      </c>
      <c r="E416" s="2">
        <v>2</v>
      </c>
      <c r="F416" s="5" t="s">
        <v>12</v>
      </c>
      <c r="G416" s="5" t="s">
        <v>22</v>
      </c>
      <c r="H416" s="3">
        <v>70</v>
      </c>
      <c r="I416" s="3"/>
      <c r="J416" s="4" t="str">
        <f t="shared" si="6"/>
        <v/>
      </c>
    </row>
    <row r="417" spans="1:10">
      <c r="A417" s="2">
        <v>2026</v>
      </c>
      <c r="B417" s="2">
        <v>8</v>
      </c>
      <c r="C417" s="2" t="s">
        <v>32</v>
      </c>
      <c r="D417" s="2">
        <v>3</v>
      </c>
      <c r="E417" s="2">
        <v>2</v>
      </c>
      <c r="F417" s="5" t="s">
        <v>12</v>
      </c>
      <c r="G417" s="5" t="s">
        <v>22</v>
      </c>
      <c r="H417" s="3">
        <v>70</v>
      </c>
      <c r="I417" s="3"/>
      <c r="J417" s="4" t="str">
        <f t="shared" si="6"/>
        <v/>
      </c>
    </row>
    <row r="418" spans="1:10">
      <c r="A418" s="2">
        <v>2026</v>
      </c>
      <c r="B418" s="2">
        <v>9</v>
      </c>
      <c r="C418" s="2" t="s">
        <v>33</v>
      </c>
      <c r="D418" s="2">
        <v>3</v>
      </c>
      <c r="E418" s="2">
        <v>2</v>
      </c>
      <c r="F418" s="5" t="s">
        <v>12</v>
      </c>
      <c r="G418" s="5" t="s">
        <v>22</v>
      </c>
      <c r="H418" s="3">
        <v>70</v>
      </c>
      <c r="I418" s="3"/>
      <c r="J418" s="4" t="str">
        <f t="shared" si="6"/>
        <v/>
      </c>
    </row>
    <row r="419" spans="1:10">
      <c r="A419" s="2">
        <v>2026</v>
      </c>
      <c r="B419" s="2">
        <v>10</v>
      </c>
      <c r="C419" s="2" t="s">
        <v>34</v>
      </c>
      <c r="D419" s="2">
        <v>4</v>
      </c>
      <c r="E419" s="2">
        <v>2</v>
      </c>
      <c r="F419" s="5" t="s">
        <v>12</v>
      </c>
      <c r="G419" s="5" t="s">
        <v>22</v>
      </c>
      <c r="H419" s="3">
        <v>70</v>
      </c>
      <c r="I419" s="3"/>
      <c r="J419" s="4" t="str">
        <f t="shared" si="6"/>
        <v/>
      </c>
    </row>
    <row r="420" spans="1:10">
      <c r="A420" s="2">
        <v>2026</v>
      </c>
      <c r="B420" s="2">
        <v>11</v>
      </c>
      <c r="C420" s="2" t="s">
        <v>35</v>
      </c>
      <c r="D420" s="2">
        <v>4</v>
      </c>
      <c r="E420" s="2">
        <v>2</v>
      </c>
      <c r="F420" s="5" t="s">
        <v>12</v>
      </c>
      <c r="G420" s="5" t="s">
        <v>22</v>
      </c>
      <c r="H420" s="3">
        <v>70</v>
      </c>
      <c r="I420" s="3"/>
      <c r="J420" s="4" t="str">
        <f t="shared" si="6"/>
        <v/>
      </c>
    </row>
    <row r="421" spans="1:10">
      <c r="A421" s="2">
        <v>2026</v>
      </c>
      <c r="B421" s="2">
        <v>12</v>
      </c>
      <c r="C421" s="2" t="s">
        <v>36</v>
      </c>
      <c r="D421" s="2">
        <v>4</v>
      </c>
      <c r="E421" s="2">
        <v>2</v>
      </c>
      <c r="F421" s="5" t="s">
        <v>12</v>
      </c>
      <c r="G421" s="5" t="s">
        <v>22</v>
      </c>
      <c r="H421" s="3">
        <v>70</v>
      </c>
      <c r="I421" s="3"/>
      <c r="J421" s="4" t="str">
        <f t="shared" si="6"/>
        <v/>
      </c>
    </row>
    <row r="422" spans="1:10">
      <c r="A422" s="2">
        <v>2026</v>
      </c>
      <c r="B422" s="2">
        <v>1</v>
      </c>
      <c r="C422" s="2" t="s">
        <v>14</v>
      </c>
      <c r="D422" s="2">
        <v>1</v>
      </c>
      <c r="E422" s="2">
        <v>1</v>
      </c>
      <c r="F422" s="5" t="s">
        <v>13</v>
      </c>
      <c r="G422" s="5" t="s">
        <v>22</v>
      </c>
      <c r="H422" s="3">
        <v>28</v>
      </c>
      <c r="I422" s="3">
        <v>2</v>
      </c>
      <c r="J422" s="4">
        <f t="shared" si="6"/>
        <v>7.1428571428571425E-2</v>
      </c>
    </row>
    <row r="423" spans="1:10">
      <c r="A423" s="2">
        <v>2026</v>
      </c>
      <c r="B423" s="2">
        <v>2</v>
      </c>
      <c r="C423" s="2" t="s">
        <v>15</v>
      </c>
      <c r="D423" s="2">
        <v>1</v>
      </c>
      <c r="E423" s="2">
        <v>1</v>
      </c>
      <c r="F423" s="5" t="s">
        <v>13</v>
      </c>
      <c r="G423" s="5" t="s">
        <v>22</v>
      </c>
      <c r="H423" s="3">
        <v>28</v>
      </c>
      <c r="I423" s="3">
        <v>0</v>
      </c>
      <c r="J423" s="4">
        <f t="shared" si="6"/>
        <v>0</v>
      </c>
    </row>
    <row r="424" spans="1:10">
      <c r="A424" s="2">
        <v>2026</v>
      </c>
      <c r="B424" s="2">
        <v>3</v>
      </c>
      <c r="C424" s="2" t="s">
        <v>16</v>
      </c>
      <c r="D424" s="2">
        <v>1</v>
      </c>
      <c r="E424" s="2">
        <v>1</v>
      </c>
      <c r="F424" s="5" t="s">
        <v>13</v>
      </c>
      <c r="G424" s="5" t="s">
        <v>22</v>
      </c>
      <c r="H424" s="3">
        <v>28</v>
      </c>
      <c r="I424" s="3">
        <v>0</v>
      </c>
      <c r="J424" s="4">
        <f t="shared" si="6"/>
        <v>0</v>
      </c>
    </row>
    <row r="425" spans="1:10">
      <c r="A425" s="2">
        <v>2026</v>
      </c>
      <c r="B425" s="2">
        <v>4</v>
      </c>
      <c r="C425" s="2" t="s">
        <v>17</v>
      </c>
      <c r="D425" s="2">
        <v>2</v>
      </c>
      <c r="E425" s="2">
        <v>1</v>
      </c>
      <c r="F425" s="5" t="s">
        <v>13</v>
      </c>
      <c r="G425" s="5" t="s">
        <v>22</v>
      </c>
      <c r="H425" s="3">
        <v>28</v>
      </c>
      <c r="I425" s="3">
        <v>0</v>
      </c>
      <c r="J425" s="4">
        <f t="shared" si="6"/>
        <v>0</v>
      </c>
    </row>
    <row r="426" spans="1:10">
      <c r="A426" s="2">
        <v>2026</v>
      </c>
      <c r="B426" s="2">
        <v>5</v>
      </c>
      <c r="C426" s="2" t="s">
        <v>18</v>
      </c>
      <c r="D426" s="2">
        <v>2</v>
      </c>
      <c r="E426" s="2">
        <v>1</v>
      </c>
      <c r="F426" s="5" t="s">
        <v>13</v>
      </c>
      <c r="G426" s="5" t="s">
        <v>22</v>
      </c>
      <c r="H426" s="3">
        <v>28</v>
      </c>
      <c r="I426" s="3">
        <v>1</v>
      </c>
      <c r="J426" s="4">
        <f t="shared" si="6"/>
        <v>3.5714285714285712E-2</v>
      </c>
    </row>
    <row r="427" spans="1:10">
      <c r="A427" s="2">
        <v>2026</v>
      </c>
      <c r="B427" s="2">
        <v>6</v>
      </c>
      <c r="C427" s="2" t="s">
        <v>19</v>
      </c>
      <c r="D427" s="2">
        <v>2</v>
      </c>
      <c r="E427" s="2">
        <v>1</v>
      </c>
      <c r="F427" s="5" t="s">
        <v>13</v>
      </c>
      <c r="G427" s="5" t="s">
        <v>22</v>
      </c>
      <c r="H427" s="3">
        <v>28</v>
      </c>
      <c r="I427" s="3">
        <v>0</v>
      </c>
      <c r="J427" s="4">
        <f t="shared" si="6"/>
        <v>0</v>
      </c>
    </row>
    <row r="428" spans="1:10">
      <c r="A428" s="2">
        <v>2026</v>
      </c>
      <c r="B428" s="2">
        <v>7</v>
      </c>
      <c r="C428" s="2" t="s">
        <v>24</v>
      </c>
      <c r="D428" s="2">
        <v>3</v>
      </c>
      <c r="E428" s="2">
        <v>2</v>
      </c>
      <c r="F428" s="5" t="s">
        <v>13</v>
      </c>
      <c r="G428" s="5" t="s">
        <v>22</v>
      </c>
      <c r="H428" s="3">
        <v>28</v>
      </c>
      <c r="I428" s="3"/>
      <c r="J428" s="4" t="str">
        <f t="shared" si="6"/>
        <v/>
      </c>
    </row>
    <row r="429" spans="1:10">
      <c r="A429" s="2">
        <v>2026</v>
      </c>
      <c r="B429" s="2">
        <v>8</v>
      </c>
      <c r="C429" s="2" t="s">
        <v>32</v>
      </c>
      <c r="D429" s="2">
        <v>3</v>
      </c>
      <c r="E429" s="2">
        <v>2</v>
      </c>
      <c r="F429" s="5" t="s">
        <v>13</v>
      </c>
      <c r="G429" s="5" t="s">
        <v>22</v>
      </c>
      <c r="H429" s="3">
        <v>28</v>
      </c>
      <c r="I429" s="3"/>
      <c r="J429" s="4" t="str">
        <f t="shared" si="6"/>
        <v/>
      </c>
    </row>
    <row r="430" spans="1:10">
      <c r="A430" s="2">
        <v>2026</v>
      </c>
      <c r="B430" s="2">
        <v>9</v>
      </c>
      <c r="C430" s="2" t="s">
        <v>33</v>
      </c>
      <c r="D430" s="2">
        <v>3</v>
      </c>
      <c r="E430" s="2">
        <v>2</v>
      </c>
      <c r="F430" s="5" t="s">
        <v>13</v>
      </c>
      <c r="G430" s="5" t="s">
        <v>22</v>
      </c>
      <c r="H430" s="3">
        <v>28</v>
      </c>
      <c r="I430" s="3"/>
      <c r="J430" s="4" t="str">
        <f t="shared" si="6"/>
        <v/>
      </c>
    </row>
    <row r="431" spans="1:10">
      <c r="A431" s="2">
        <v>2026</v>
      </c>
      <c r="B431" s="2">
        <v>10</v>
      </c>
      <c r="C431" s="2" t="s">
        <v>34</v>
      </c>
      <c r="D431" s="2">
        <v>4</v>
      </c>
      <c r="E431" s="2">
        <v>2</v>
      </c>
      <c r="F431" s="5" t="s">
        <v>13</v>
      </c>
      <c r="G431" s="5" t="s">
        <v>22</v>
      </c>
      <c r="H431" s="3">
        <v>28</v>
      </c>
      <c r="I431" s="3"/>
      <c r="J431" s="4" t="str">
        <f t="shared" si="6"/>
        <v/>
      </c>
    </row>
    <row r="432" spans="1:10">
      <c r="A432" s="2">
        <v>2026</v>
      </c>
      <c r="B432" s="2">
        <v>11</v>
      </c>
      <c r="C432" s="2" t="s">
        <v>35</v>
      </c>
      <c r="D432" s="2">
        <v>4</v>
      </c>
      <c r="E432" s="2">
        <v>2</v>
      </c>
      <c r="F432" s="5" t="s">
        <v>13</v>
      </c>
      <c r="G432" s="5" t="s">
        <v>22</v>
      </c>
      <c r="H432" s="3">
        <v>28</v>
      </c>
      <c r="I432" s="3"/>
      <c r="J432" s="4" t="str">
        <f t="shared" si="6"/>
        <v/>
      </c>
    </row>
    <row r="433" spans="1:10">
      <c r="A433" s="2">
        <v>2026</v>
      </c>
      <c r="B433" s="2">
        <v>12</v>
      </c>
      <c r="C433" s="2" t="s">
        <v>36</v>
      </c>
      <c r="D433" s="2">
        <v>4</v>
      </c>
      <c r="E433" s="2">
        <v>2</v>
      </c>
      <c r="F433" s="5" t="s">
        <v>13</v>
      </c>
      <c r="G433" s="5" t="s">
        <v>22</v>
      </c>
      <c r="H433" s="3">
        <v>28</v>
      </c>
      <c r="I433" s="3"/>
      <c r="J433" s="4" t="str">
        <f t="shared" si="6"/>
        <v/>
      </c>
    </row>
    <row r="434" spans="1:10">
      <c r="A434" s="2">
        <v>2026</v>
      </c>
      <c r="B434" s="2">
        <v>1</v>
      </c>
      <c r="C434" s="2" t="s">
        <v>14</v>
      </c>
      <c r="D434" s="2">
        <v>1</v>
      </c>
      <c r="E434" s="2">
        <v>1</v>
      </c>
      <c r="F434" s="5" t="s">
        <v>2</v>
      </c>
      <c r="G434" s="5" t="s">
        <v>37</v>
      </c>
      <c r="H434" s="3">
        <v>221</v>
      </c>
      <c r="I434" s="3">
        <v>0</v>
      </c>
      <c r="J434" s="4">
        <f t="shared" si="6"/>
        <v>0</v>
      </c>
    </row>
    <row r="435" spans="1:10">
      <c r="A435" s="2">
        <v>2026</v>
      </c>
      <c r="B435" s="2">
        <v>2</v>
      </c>
      <c r="C435" s="2" t="s">
        <v>15</v>
      </c>
      <c r="D435" s="2">
        <v>1</v>
      </c>
      <c r="E435" s="2">
        <v>1</v>
      </c>
      <c r="F435" s="5" t="s">
        <v>2</v>
      </c>
      <c r="G435" s="5" t="s">
        <v>37</v>
      </c>
      <c r="H435" s="3">
        <v>221</v>
      </c>
      <c r="I435" s="3">
        <v>0</v>
      </c>
      <c r="J435" s="4">
        <f t="shared" si="6"/>
        <v>0</v>
      </c>
    </row>
    <row r="436" spans="1:10">
      <c r="A436" s="2">
        <v>2026</v>
      </c>
      <c r="B436" s="2">
        <v>3</v>
      </c>
      <c r="C436" s="2" t="s">
        <v>16</v>
      </c>
      <c r="D436" s="2">
        <v>1</v>
      </c>
      <c r="E436" s="2">
        <v>1</v>
      </c>
      <c r="F436" s="5" t="s">
        <v>2</v>
      </c>
      <c r="G436" s="5" t="s">
        <v>37</v>
      </c>
      <c r="H436" s="3">
        <v>221</v>
      </c>
      <c r="I436" s="3">
        <v>0</v>
      </c>
      <c r="J436" s="4">
        <f t="shared" si="6"/>
        <v>0</v>
      </c>
    </row>
    <row r="437" spans="1:10">
      <c r="A437" s="2">
        <v>2026</v>
      </c>
      <c r="B437" s="2">
        <v>4</v>
      </c>
      <c r="C437" s="2" t="s">
        <v>17</v>
      </c>
      <c r="D437" s="2">
        <v>2</v>
      </c>
      <c r="E437" s="2">
        <v>1</v>
      </c>
      <c r="F437" s="5" t="s">
        <v>2</v>
      </c>
      <c r="G437" s="5" t="s">
        <v>37</v>
      </c>
      <c r="H437" s="3">
        <v>221</v>
      </c>
      <c r="I437" s="3">
        <v>0</v>
      </c>
      <c r="J437" s="4">
        <f t="shared" si="6"/>
        <v>0</v>
      </c>
    </row>
    <row r="438" spans="1:10">
      <c r="A438" s="2">
        <v>2026</v>
      </c>
      <c r="B438" s="2">
        <v>5</v>
      </c>
      <c r="C438" s="2" t="s">
        <v>18</v>
      </c>
      <c r="D438" s="2">
        <v>2</v>
      </c>
      <c r="E438" s="2">
        <v>1</v>
      </c>
      <c r="F438" s="5" t="s">
        <v>2</v>
      </c>
      <c r="G438" s="5" t="s">
        <v>37</v>
      </c>
      <c r="H438" s="3">
        <v>221</v>
      </c>
      <c r="I438" s="3">
        <v>0</v>
      </c>
      <c r="J438" s="4">
        <f t="shared" si="6"/>
        <v>0</v>
      </c>
    </row>
    <row r="439" spans="1:10">
      <c r="A439" s="2">
        <v>2026</v>
      </c>
      <c r="B439" s="2">
        <v>6</v>
      </c>
      <c r="C439" s="2" t="s">
        <v>19</v>
      </c>
      <c r="D439" s="2">
        <v>2</v>
      </c>
      <c r="E439" s="2">
        <v>1</v>
      </c>
      <c r="F439" s="5" t="s">
        <v>2</v>
      </c>
      <c r="G439" s="5" t="s">
        <v>37</v>
      </c>
      <c r="H439" s="3">
        <v>221</v>
      </c>
      <c r="I439" s="3">
        <v>0</v>
      </c>
      <c r="J439" s="4">
        <f t="shared" si="6"/>
        <v>0</v>
      </c>
    </row>
    <row r="440" spans="1:10">
      <c r="A440" s="2">
        <v>2026</v>
      </c>
      <c r="B440" s="2">
        <v>7</v>
      </c>
      <c r="C440" s="2" t="s">
        <v>24</v>
      </c>
      <c r="D440" s="2">
        <v>3</v>
      </c>
      <c r="E440" s="2">
        <v>2</v>
      </c>
      <c r="F440" s="5" t="s">
        <v>2</v>
      </c>
      <c r="G440" s="5" t="s">
        <v>37</v>
      </c>
      <c r="H440" s="3">
        <v>221</v>
      </c>
      <c r="I440" s="3"/>
      <c r="J440" s="4" t="str">
        <f t="shared" si="6"/>
        <v/>
      </c>
    </row>
    <row r="441" spans="1:10">
      <c r="A441" s="2">
        <v>2026</v>
      </c>
      <c r="B441" s="2">
        <v>8</v>
      </c>
      <c r="C441" s="2" t="s">
        <v>32</v>
      </c>
      <c r="D441" s="2">
        <v>3</v>
      </c>
      <c r="E441" s="2">
        <v>2</v>
      </c>
      <c r="F441" s="5" t="s">
        <v>2</v>
      </c>
      <c r="G441" s="5" t="s">
        <v>37</v>
      </c>
      <c r="H441" s="3">
        <v>221</v>
      </c>
      <c r="I441" s="3"/>
      <c r="J441" s="4" t="str">
        <f t="shared" si="6"/>
        <v/>
      </c>
    </row>
    <row r="442" spans="1:10">
      <c r="A442" s="2">
        <v>2026</v>
      </c>
      <c r="B442" s="2">
        <v>9</v>
      </c>
      <c r="C442" s="2" t="s">
        <v>33</v>
      </c>
      <c r="D442" s="2">
        <v>3</v>
      </c>
      <c r="E442" s="2">
        <v>2</v>
      </c>
      <c r="F442" s="5" t="s">
        <v>2</v>
      </c>
      <c r="G442" s="5" t="s">
        <v>37</v>
      </c>
      <c r="H442" s="3">
        <v>221</v>
      </c>
      <c r="I442" s="3"/>
      <c r="J442" s="4" t="str">
        <f t="shared" si="6"/>
        <v/>
      </c>
    </row>
    <row r="443" spans="1:10">
      <c r="A443" s="2">
        <v>2026</v>
      </c>
      <c r="B443" s="2">
        <v>10</v>
      </c>
      <c r="C443" s="2" t="s">
        <v>34</v>
      </c>
      <c r="D443" s="2">
        <v>4</v>
      </c>
      <c r="E443" s="2">
        <v>2</v>
      </c>
      <c r="F443" s="5" t="s">
        <v>2</v>
      </c>
      <c r="G443" s="5" t="s">
        <v>37</v>
      </c>
      <c r="H443" s="3">
        <v>221</v>
      </c>
      <c r="I443" s="3"/>
      <c r="J443" s="4" t="str">
        <f t="shared" si="6"/>
        <v/>
      </c>
    </row>
    <row r="444" spans="1:10">
      <c r="A444" s="2">
        <v>2026</v>
      </c>
      <c r="B444" s="2">
        <v>11</v>
      </c>
      <c r="C444" s="2" t="s">
        <v>35</v>
      </c>
      <c r="D444" s="2">
        <v>4</v>
      </c>
      <c r="E444" s="2">
        <v>2</v>
      </c>
      <c r="F444" s="5" t="s">
        <v>2</v>
      </c>
      <c r="G444" s="5" t="s">
        <v>37</v>
      </c>
      <c r="H444" s="3">
        <v>221</v>
      </c>
      <c r="I444" s="3"/>
      <c r="J444" s="4" t="str">
        <f t="shared" si="6"/>
        <v/>
      </c>
    </row>
    <row r="445" spans="1:10">
      <c r="A445" s="2">
        <v>2026</v>
      </c>
      <c r="B445" s="2">
        <v>12</v>
      </c>
      <c r="C445" s="2" t="s">
        <v>36</v>
      </c>
      <c r="D445" s="2">
        <v>4</v>
      </c>
      <c r="E445" s="2">
        <v>2</v>
      </c>
      <c r="F445" s="5" t="s">
        <v>2</v>
      </c>
      <c r="G445" s="5" t="s">
        <v>37</v>
      </c>
      <c r="H445" s="3">
        <v>221</v>
      </c>
      <c r="I445" s="3"/>
      <c r="J445" s="4" t="str">
        <f t="shared" si="6"/>
        <v/>
      </c>
    </row>
    <row r="446" spans="1:10">
      <c r="A446" s="2">
        <v>2026</v>
      </c>
      <c r="B446" s="2">
        <v>1</v>
      </c>
      <c r="C446" s="2" t="s">
        <v>14</v>
      </c>
      <c r="D446" s="2">
        <v>1</v>
      </c>
      <c r="E446" s="2">
        <v>1</v>
      </c>
      <c r="F446" s="5" t="s">
        <v>3</v>
      </c>
      <c r="G446" s="5" t="s">
        <v>37</v>
      </c>
      <c r="H446" s="3">
        <v>79</v>
      </c>
      <c r="I446" s="3">
        <v>0</v>
      </c>
      <c r="J446" s="4">
        <f t="shared" si="6"/>
        <v>0</v>
      </c>
    </row>
    <row r="447" spans="1:10">
      <c r="A447" s="2">
        <v>2026</v>
      </c>
      <c r="B447" s="2">
        <v>2</v>
      </c>
      <c r="C447" s="2" t="s">
        <v>15</v>
      </c>
      <c r="D447" s="2">
        <v>1</v>
      </c>
      <c r="E447" s="2">
        <v>1</v>
      </c>
      <c r="F447" s="5" t="s">
        <v>3</v>
      </c>
      <c r="G447" s="5" t="s">
        <v>37</v>
      </c>
      <c r="H447" s="3">
        <v>79</v>
      </c>
      <c r="I447" s="3">
        <v>0</v>
      </c>
      <c r="J447" s="4">
        <f t="shared" si="6"/>
        <v>0</v>
      </c>
    </row>
    <row r="448" spans="1:10">
      <c r="A448" s="2">
        <v>2026</v>
      </c>
      <c r="B448" s="2">
        <v>3</v>
      </c>
      <c r="C448" s="2" t="s">
        <v>16</v>
      </c>
      <c r="D448" s="2">
        <v>1</v>
      </c>
      <c r="E448" s="2">
        <v>1</v>
      </c>
      <c r="F448" s="5" t="s">
        <v>3</v>
      </c>
      <c r="G448" s="5" t="s">
        <v>37</v>
      </c>
      <c r="H448" s="3">
        <v>79</v>
      </c>
      <c r="I448" s="3">
        <v>0</v>
      </c>
      <c r="J448" s="4">
        <f t="shared" si="6"/>
        <v>0</v>
      </c>
    </row>
    <row r="449" spans="1:10">
      <c r="A449" s="2">
        <v>2026</v>
      </c>
      <c r="B449" s="2">
        <v>4</v>
      </c>
      <c r="C449" s="2" t="s">
        <v>17</v>
      </c>
      <c r="D449" s="2">
        <v>2</v>
      </c>
      <c r="E449" s="2">
        <v>1</v>
      </c>
      <c r="F449" s="5" t="s">
        <v>3</v>
      </c>
      <c r="G449" s="5" t="s">
        <v>37</v>
      </c>
      <c r="H449" s="3">
        <v>79</v>
      </c>
      <c r="I449" s="3">
        <v>0</v>
      </c>
      <c r="J449" s="4">
        <f t="shared" si="6"/>
        <v>0</v>
      </c>
    </row>
    <row r="450" spans="1:10">
      <c r="A450" s="2">
        <v>2026</v>
      </c>
      <c r="B450" s="2">
        <v>5</v>
      </c>
      <c r="C450" s="2" t="s">
        <v>18</v>
      </c>
      <c r="D450" s="2">
        <v>2</v>
      </c>
      <c r="E450" s="2">
        <v>1</v>
      </c>
      <c r="F450" s="5" t="s">
        <v>3</v>
      </c>
      <c r="G450" s="5" t="s">
        <v>37</v>
      </c>
      <c r="H450" s="3">
        <v>79</v>
      </c>
      <c r="I450" s="3">
        <v>0</v>
      </c>
      <c r="J450" s="4">
        <f t="shared" ref="J450:J513" si="7">IF(I450="","",IFERROR(I450/H450,0))</f>
        <v>0</v>
      </c>
    </row>
    <row r="451" spans="1:10">
      <c r="A451" s="2">
        <v>2026</v>
      </c>
      <c r="B451" s="2">
        <v>6</v>
      </c>
      <c r="C451" s="2" t="s">
        <v>19</v>
      </c>
      <c r="D451" s="2">
        <v>2</v>
      </c>
      <c r="E451" s="2">
        <v>1</v>
      </c>
      <c r="F451" s="5" t="s">
        <v>3</v>
      </c>
      <c r="G451" s="5" t="s">
        <v>37</v>
      </c>
      <c r="H451" s="3">
        <v>79</v>
      </c>
      <c r="I451" s="3">
        <v>0</v>
      </c>
      <c r="J451" s="4">
        <f t="shared" si="7"/>
        <v>0</v>
      </c>
    </row>
    <row r="452" spans="1:10">
      <c r="A452" s="2">
        <v>2026</v>
      </c>
      <c r="B452" s="2">
        <v>7</v>
      </c>
      <c r="C452" s="2" t="s">
        <v>24</v>
      </c>
      <c r="D452" s="2">
        <v>3</v>
      </c>
      <c r="E452" s="2">
        <v>2</v>
      </c>
      <c r="F452" s="5" t="s">
        <v>3</v>
      </c>
      <c r="G452" s="5" t="s">
        <v>37</v>
      </c>
      <c r="H452" s="3">
        <v>79</v>
      </c>
      <c r="I452" s="3"/>
      <c r="J452" s="4" t="str">
        <f t="shared" si="7"/>
        <v/>
      </c>
    </row>
    <row r="453" spans="1:10">
      <c r="A453" s="2">
        <v>2026</v>
      </c>
      <c r="B453" s="2">
        <v>8</v>
      </c>
      <c r="C453" s="2" t="s">
        <v>32</v>
      </c>
      <c r="D453" s="2">
        <v>3</v>
      </c>
      <c r="E453" s="2">
        <v>2</v>
      </c>
      <c r="F453" s="5" t="s">
        <v>3</v>
      </c>
      <c r="G453" s="5" t="s">
        <v>37</v>
      </c>
      <c r="H453" s="3">
        <v>79</v>
      </c>
      <c r="I453" s="3"/>
      <c r="J453" s="4" t="str">
        <f t="shared" si="7"/>
        <v/>
      </c>
    </row>
    <row r="454" spans="1:10">
      <c r="A454" s="2">
        <v>2026</v>
      </c>
      <c r="B454" s="2">
        <v>9</v>
      </c>
      <c r="C454" s="2" t="s">
        <v>33</v>
      </c>
      <c r="D454" s="2">
        <v>3</v>
      </c>
      <c r="E454" s="2">
        <v>2</v>
      </c>
      <c r="F454" s="5" t="s">
        <v>3</v>
      </c>
      <c r="G454" s="5" t="s">
        <v>37</v>
      </c>
      <c r="H454" s="3">
        <v>79</v>
      </c>
      <c r="I454" s="3"/>
      <c r="J454" s="4" t="str">
        <f t="shared" si="7"/>
        <v/>
      </c>
    </row>
    <row r="455" spans="1:10">
      <c r="A455" s="2">
        <v>2026</v>
      </c>
      <c r="B455" s="2">
        <v>10</v>
      </c>
      <c r="C455" s="2" t="s">
        <v>34</v>
      </c>
      <c r="D455" s="2">
        <v>4</v>
      </c>
      <c r="E455" s="2">
        <v>2</v>
      </c>
      <c r="F455" s="5" t="s">
        <v>3</v>
      </c>
      <c r="G455" s="5" t="s">
        <v>37</v>
      </c>
      <c r="H455" s="3">
        <v>79</v>
      </c>
      <c r="I455" s="3"/>
      <c r="J455" s="4" t="str">
        <f t="shared" si="7"/>
        <v/>
      </c>
    </row>
    <row r="456" spans="1:10">
      <c r="A456" s="2">
        <v>2026</v>
      </c>
      <c r="B456" s="2">
        <v>11</v>
      </c>
      <c r="C456" s="2" t="s">
        <v>35</v>
      </c>
      <c r="D456" s="2">
        <v>4</v>
      </c>
      <c r="E456" s="2">
        <v>2</v>
      </c>
      <c r="F456" s="5" t="s">
        <v>3</v>
      </c>
      <c r="G456" s="5" t="s">
        <v>37</v>
      </c>
      <c r="H456" s="3">
        <v>79</v>
      </c>
      <c r="I456" s="3"/>
      <c r="J456" s="4" t="str">
        <f t="shared" si="7"/>
        <v/>
      </c>
    </row>
    <row r="457" spans="1:10">
      <c r="A457" s="2">
        <v>2026</v>
      </c>
      <c r="B457" s="2">
        <v>12</v>
      </c>
      <c r="C457" s="2" t="s">
        <v>36</v>
      </c>
      <c r="D457" s="2">
        <v>4</v>
      </c>
      <c r="E457" s="2">
        <v>2</v>
      </c>
      <c r="F457" s="5" t="s">
        <v>3</v>
      </c>
      <c r="G457" s="5" t="s">
        <v>37</v>
      </c>
      <c r="H457" s="3">
        <v>79</v>
      </c>
      <c r="I457" s="3"/>
      <c r="J457" s="4" t="str">
        <f t="shared" si="7"/>
        <v/>
      </c>
    </row>
    <row r="458" spans="1:10">
      <c r="A458" s="2">
        <v>2026</v>
      </c>
      <c r="B458" s="2">
        <v>1</v>
      </c>
      <c r="C458" s="2" t="s">
        <v>14</v>
      </c>
      <c r="D458" s="2">
        <v>1</v>
      </c>
      <c r="E458" s="2">
        <v>1</v>
      </c>
      <c r="F458" s="5" t="s">
        <v>4</v>
      </c>
      <c r="G458" s="5" t="s">
        <v>37</v>
      </c>
      <c r="H458" s="3">
        <v>147</v>
      </c>
      <c r="I458" s="3">
        <v>0</v>
      </c>
      <c r="J458" s="4">
        <f t="shared" si="7"/>
        <v>0</v>
      </c>
    </row>
    <row r="459" spans="1:10">
      <c r="A459" s="2">
        <v>2026</v>
      </c>
      <c r="B459" s="2">
        <v>2</v>
      </c>
      <c r="C459" s="2" t="s">
        <v>15</v>
      </c>
      <c r="D459" s="2">
        <v>1</v>
      </c>
      <c r="E459" s="2">
        <v>1</v>
      </c>
      <c r="F459" s="5" t="s">
        <v>4</v>
      </c>
      <c r="G459" s="5" t="s">
        <v>37</v>
      </c>
      <c r="H459" s="3">
        <v>147</v>
      </c>
      <c r="I459" s="3">
        <v>0</v>
      </c>
      <c r="J459" s="4">
        <f t="shared" si="7"/>
        <v>0</v>
      </c>
    </row>
    <row r="460" spans="1:10">
      <c r="A460" s="2">
        <v>2026</v>
      </c>
      <c r="B460" s="2">
        <v>3</v>
      </c>
      <c r="C460" s="2" t="s">
        <v>16</v>
      </c>
      <c r="D460" s="2">
        <v>1</v>
      </c>
      <c r="E460" s="2">
        <v>1</v>
      </c>
      <c r="F460" s="5" t="s">
        <v>4</v>
      </c>
      <c r="G460" s="5" t="s">
        <v>37</v>
      </c>
      <c r="H460" s="3">
        <v>147</v>
      </c>
      <c r="I460" s="3">
        <v>0</v>
      </c>
      <c r="J460" s="4">
        <f t="shared" si="7"/>
        <v>0</v>
      </c>
    </row>
    <row r="461" spans="1:10">
      <c r="A461" s="2">
        <v>2026</v>
      </c>
      <c r="B461" s="2">
        <v>4</v>
      </c>
      <c r="C461" s="2" t="s">
        <v>17</v>
      </c>
      <c r="D461" s="2">
        <v>2</v>
      </c>
      <c r="E461" s="2">
        <v>1</v>
      </c>
      <c r="F461" s="5" t="s">
        <v>4</v>
      </c>
      <c r="G461" s="5" t="s">
        <v>37</v>
      </c>
      <c r="H461" s="3">
        <v>147</v>
      </c>
      <c r="I461" s="3">
        <v>0</v>
      </c>
      <c r="J461" s="4">
        <f t="shared" si="7"/>
        <v>0</v>
      </c>
    </row>
    <row r="462" spans="1:10">
      <c r="A462" s="2">
        <v>2026</v>
      </c>
      <c r="B462" s="2">
        <v>5</v>
      </c>
      <c r="C462" s="2" t="s">
        <v>18</v>
      </c>
      <c r="D462" s="2">
        <v>2</v>
      </c>
      <c r="E462" s="2">
        <v>1</v>
      </c>
      <c r="F462" s="5" t="s">
        <v>4</v>
      </c>
      <c r="G462" s="5" t="s">
        <v>37</v>
      </c>
      <c r="H462" s="3">
        <v>147</v>
      </c>
      <c r="I462" s="3">
        <v>0</v>
      </c>
      <c r="J462" s="4">
        <f t="shared" si="7"/>
        <v>0</v>
      </c>
    </row>
    <row r="463" spans="1:10">
      <c r="A463" s="2">
        <v>2026</v>
      </c>
      <c r="B463" s="2">
        <v>6</v>
      </c>
      <c r="C463" s="2" t="s">
        <v>19</v>
      </c>
      <c r="D463" s="2">
        <v>2</v>
      </c>
      <c r="E463" s="2">
        <v>1</v>
      </c>
      <c r="F463" s="5" t="s">
        <v>4</v>
      </c>
      <c r="G463" s="5" t="s">
        <v>37</v>
      </c>
      <c r="H463" s="3">
        <v>147</v>
      </c>
      <c r="I463" s="3">
        <v>2</v>
      </c>
      <c r="J463" s="4">
        <f t="shared" si="7"/>
        <v>1.3605442176870748E-2</v>
      </c>
    </row>
    <row r="464" spans="1:10">
      <c r="A464" s="2">
        <v>2026</v>
      </c>
      <c r="B464" s="2">
        <v>7</v>
      </c>
      <c r="C464" s="2" t="s">
        <v>24</v>
      </c>
      <c r="D464" s="2">
        <v>3</v>
      </c>
      <c r="E464" s="2">
        <v>2</v>
      </c>
      <c r="F464" s="5" t="s">
        <v>4</v>
      </c>
      <c r="G464" s="5" t="s">
        <v>37</v>
      </c>
      <c r="H464" s="3">
        <v>147</v>
      </c>
      <c r="I464" s="3"/>
      <c r="J464" s="4" t="str">
        <f t="shared" si="7"/>
        <v/>
      </c>
    </row>
    <row r="465" spans="1:10">
      <c r="A465" s="2">
        <v>2026</v>
      </c>
      <c r="B465" s="2">
        <v>8</v>
      </c>
      <c r="C465" s="2" t="s">
        <v>32</v>
      </c>
      <c r="D465" s="2">
        <v>3</v>
      </c>
      <c r="E465" s="2">
        <v>2</v>
      </c>
      <c r="F465" s="5" t="s">
        <v>4</v>
      </c>
      <c r="G465" s="5" t="s">
        <v>37</v>
      </c>
      <c r="H465" s="3">
        <v>147</v>
      </c>
      <c r="I465" s="3"/>
      <c r="J465" s="4" t="str">
        <f t="shared" si="7"/>
        <v/>
      </c>
    </row>
    <row r="466" spans="1:10">
      <c r="A466" s="2">
        <v>2026</v>
      </c>
      <c r="B466" s="2">
        <v>9</v>
      </c>
      <c r="C466" s="2" t="s">
        <v>33</v>
      </c>
      <c r="D466" s="2">
        <v>3</v>
      </c>
      <c r="E466" s="2">
        <v>2</v>
      </c>
      <c r="F466" s="5" t="s">
        <v>4</v>
      </c>
      <c r="G466" s="5" t="s">
        <v>37</v>
      </c>
      <c r="H466" s="3">
        <v>147</v>
      </c>
      <c r="I466" s="3"/>
      <c r="J466" s="4" t="str">
        <f t="shared" si="7"/>
        <v/>
      </c>
    </row>
    <row r="467" spans="1:10">
      <c r="A467" s="2">
        <v>2026</v>
      </c>
      <c r="B467" s="2">
        <v>10</v>
      </c>
      <c r="C467" s="2" t="s">
        <v>34</v>
      </c>
      <c r="D467" s="2">
        <v>4</v>
      </c>
      <c r="E467" s="2">
        <v>2</v>
      </c>
      <c r="F467" s="5" t="s">
        <v>4</v>
      </c>
      <c r="G467" s="5" t="s">
        <v>37</v>
      </c>
      <c r="H467" s="3">
        <v>147</v>
      </c>
      <c r="I467" s="3"/>
      <c r="J467" s="4" t="str">
        <f t="shared" si="7"/>
        <v/>
      </c>
    </row>
    <row r="468" spans="1:10">
      <c r="A468" s="2">
        <v>2026</v>
      </c>
      <c r="B468" s="2">
        <v>11</v>
      </c>
      <c r="C468" s="2" t="s">
        <v>35</v>
      </c>
      <c r="D468" s="2">
        <v>4</v>
      </c>
      <c r="E468" s="2">
        <v>2</v>
      </c>
      <c r="F468" s="5" t="s">
        <v>4</v>
      </c>
      <c r="G468" s="5" t="s">
        <v>37</v>
      </c>
      <c r="H468" s="3">
        <v>147</v>
      </c>
      <c r="I468" s="3"/>
      <c r="J468" s="4" t="str">
        <f t="shared" si="7"/>
        <v/>
      </c>
    </row>
    <row r="469" spans="1:10">
      <c r="A469" s="2">
        <v>2026</v>
      </c>
      <c r="B469" s="2">
        <v>12</v>
      </c>
      <c r="C469" s="2" t="s">
        <v>36</v>
      </c>
      <c r="D469" s="2">
        <v>4</v>
      </c>
      <c r="E469" s="2">
        <v>2</v>
      </c>
      <c r="F469" s="5" t="s">
        <v>4</v>
      </c>
      <c r="G469" s="5" t="s">
        <v>37</v>
      </c>
      <c r="H469" s="3">
        <v>147</v>
      </c>
      <c r="I469" s="3"/>
      <c r="J469" s="4" t="str">
        <f t="shared" si="7"/>
        <v/>
      </c>
    </row>
    <row r="470" spans="1:10">
      <c r="A470" s="2">
        <v>2026</v>
      </c>
      <c r="B470" s="2">
        <v>1</v>
      </c>
      <c r="C470" s="2" t="s">
        <v>14</v>
      </c>
      <c r="D470" s="2">
        <v>1</v>
      </c>
      <c r="E470" s="2">
        <v>1</v>
      </c>
      <c r="F470" s="5" t="s">
        <v>5</v>
      </c>
      <c r="G470" s="5" t="s">
        <v>37</v>
      </c>
      <c r="H470" s="3">
        <v>84</v>
      </c>
      <c r="I470" s="3">
        <v>0</v>
      </c>
      <c r="J470" s="4">
        <f t="shared" si="7"/>
        <v>0</v>
      </c>
    </row>
    <row r="471" spans="1:10">
      <c r="A471" s="2">
        <v>2026</v>
      </c>
      <c r="B471" s="2">
        <v>2</v>
      </c>
      <c r="C471" s="2" t="s">
        <v>15</v>
      </c>
      <c r="D471" s="2">
        <v>1</v>
      </c>
      <c r="E471" s="2">
        <v>1</v>
      </c>
      <c r="F471" s="5" t="s">
        <v>5</v>
      </c>
      <c r="G471" s="5" t="s">
        <v>37</v>
      </c>
      <c r="H471" s="3">
        <v>84</v>
      </c>
      <c r="I471" s="3">
        <v>0</v>
      </c>
      <c r="J471" s="4">
        <f t="shared" si="7"/>
        <v>0</v>
      </c>
    </row>
    <row r="472" spans="1:10">
      <c r="A472" s="2">
        <v>2026</v>
      </c>
      <c r="B472" s="2">
        <v>3</v>
      </c>
      <c r="C472" s="2" t="s">
        <v>16</v>
      </c>
      <c r="D472" s="2">
        <v>1</v>
      </c>
      <c r="E472" s="2">
        <v>1</v>
      </c>
      <c r="F472" s="5" t="s">
        <v>5</v>
      </c>
      <c r="G472" s="5" t="s">
        <v>37</v>
      </c>
      <c r="H472" s="3">
        <v>84</v>
      </c>
      <c r="I472" s="3">
        <v>0</v>
      </c>
      <c r="J472" s="4">
        <f t="shared" si="7"/>
        <v>0</v>
      </c>
    </row>
    <row r="473" spans="1:10">
      <c r="A473" s="2">
        <v>2026</v>
      </c>
      <c r="B473" s="2">
        <v>4</v>
      </c>
      <c r="C473" s="2" t="s">
        <v>17</v>
      </c>
      <c r="D473" s="2">
        <v>2</v>
      </c>
      <c r="E473" s="2">
        <v>1</v>
      </c>
      <c r="F473" s="5" t="s">
        <v>5</v>
      </c>
      <c r="G473" s="5" t="s">
        <v>37</v>
      </c>
      <c r="H473" s="3">
        <v>84</v>
      </c>
      <c r="I473" s="3">
        <v>0</v>
      </c>
      <c r="J473" s="4">
        <f t="shared" si="7"/>
        <v>0</v>
      </c>
    </row>
    <row r="474" spans="1:10">
      <c r="A474" s="2">
        <v>2026</v>
      </c>
      <c r="B474" s="2">
        <v>5</v>
      </c>
      <c r="C474" s="2" t="s">
        <v>18</v>
      </c>
      <c r="D474" s="2">
        <v>2</v>
      </c>
      <c r="E474" s="2">
        <v>1</v>
      </c>
      <c r="F474" s="5" t="s">
        <v>5</v>
      </c>
      <c r="G474" s="5" t="s">
        <v>37</v>
      </c>
      <c r="H474" s="3">
        <v>84</v>
      </c>
      <c r="I474" s="3">
        <v>0</v>
      </c>
      <c r="J474" s="4">
        <f t="shared" si="7"/>
        <v>0</v>
      </c>
    </row>
    <row r="475" spans="1:10">
      <c r="A475" s="2">
        <v>2026</v>
      </c>
      <c r="B475" s="2">
        <v>6</v>
      </c>
      <c r="C475" s="2" t="s">
        <v>19</v>
      </c>
      <c r="D475" s="2">
        <v>2</v>
      </c>
      <c r="E475" s="2">
        <v>1</v>
      </c>
      <c r="F475" s="5" t="s">
        <v>5</v>
      </c>
      <c r="G475" s="5" t="s">
        <v>37</v>
      </c>
      <c r="H475" s="3">
        <v>84</v>
      </c>
      <c r="I475" s="3">
        <v>0</v>
      </c>
      <c r="J475" s="4">
        <f t="shared" si="7"/>
        <v>0</v>
      </c>
    </row>
    <row r="476" spans="1:10">
      <c r="A476" s="2">
        <v>2026</v>
      </c>
      <c r="B476" s="2">
        <v>7</v>
      </c>
      <c r="C476" s="2" t="s">
        <v>24</v>
      </c>
      <c r="D476" s="2">
        <v>3</v>
      </c>
      <c r="E476" s="2">
        <v>2</v>
      </c>
      <c r="F476" s="5" t="s">
        <v>5</v>
      </c>
      <c r="G476" s="5" t="s">
        <v>37</v>
      </c>
      <c r="H476" s="3">
        <v>84</v>
      </c>
      <c r="I476" s="3"/>
      <c r="J476" s="4" t="str">
        <f t="shared" si="7"/>
        <v/>
      </c>
    </row>
    <row r="477" spans="1:10">
      <c r="A477" s="2">
        <v>2026</v>
      </c>
      <c r="B477" s="2">
        <v>8</v>
      </c>
      <c r="C477" s="2" t="s">
        <v>32</v>
      </c>
      <c r="D477" s="2">
        <v>3</v>
      </c>
      <c r="E477" s="2">
        <v>2</v>
      </c>
      <c r="F477" s="5" t="s">
        <v>5</v>
      </c>
      <c r="G477" s="5" t="s">
        <v>37</v>
      </c>
      <c r="H477" s="3">
        <v>84</v>
      </c>
      <c r="I477" s="3"/>
      <c r="J477" s="4" t="str">
        <f t="shared" si="7"/>
        <v/>
      </c>
    </row>
    <row r="478" spans="1:10">
      <c r="A478" s="2">
        <v>2026</v>
      </c>
      <c r="B478" s="2">
        <v>9</v>
      </c>
      <c r="C478" s="2" t="s">
        <v>33</v>
      </c>
      <c r="D478" s="2">
        <v>3</v>
      </c>
      <c r="E478" s="2">
        <v>2</v>
      </c>
      <c r="F478" s="5" t="s">
        <v>5</v>
      </c>
      <c r="G478" s="5" t="s">
        <v>37</v>
      </c>
      <c r="H478" s="3">
        <v>84</v>
      </c>
      <c r="I478" s="3"/>
      <c r="J478" s="4" t="str">
        <f t="shared" si="7"/>
        <v/>
      </c>
    </row>
    <row r="479" spans="1:10">
      <c r="A479" s="2">
        <v>2026</v>
      </c>
      <c r="B479" s="2">
        <v>10</v>
      </c>
      <c r="C479" s="2" t="s">
        <v>34</v>
      </c>
      <c r="D479" s="2">
        <v>4</v>
      </c>
      <c r="E479" s="2">
        <v>2</v>
      </c>
      <c r="F479" s="5" t="s">
        <v>5</v>
      </c>
      <c r="G479" s="5" t="s">
        <v>37</v>
      </c>
      <c r="H479" s="3">
        <v>84</v>
      </c>
      <c r="I479" s="3"/>
      <c r="J479" s="4" t="str">
        <f t="shared" si="7"/>
        <v/>
      </c>
    </row>
    <row r="480" spans="1:10">
      <c r="A480" s="2">
        <v>2026</v>
      </c>
      <c r="B480" s="2">
        <v>11</v>
      </c>
      <c r="C480" s="2" t="s">
        <v>35</v>
      </c>
      <c r="D480" s="2">
        <v>4</v>
      </c>
      <c r="E480" s="2">
        <v>2</v>
      </c>
      <c r="F480" s="5" t="s">
        <v>5</v>
      </c>
      <c r="G480" s="5" t="s">
        <v>37</v>
      </c>
      <c r="H480" s="3">
        <v>84</v>
      </c>
      <c r="I480" s="3"/>
      <c r="J480" s="4" t="str">
        <f t="shared" si="7"/>
        <v/>
      </c>
    </row>
    <row r="481" spans="1:10">
      <c r="A481" s="2">
        <v>2026</v>
      </c>
      <c r="B481" s="2">
        <v>12</v>
      </c>
      <c r="C481" s="2" t="s">
        <v>36</v>
      </c>
      <c r="D481" s="2">
        <v>4</v>
      </c>
      <c r="E481" s="2">
        <v>2</v>
      </c>
      <c r="F481" s="5" t="s">
        <v>5</v>
      </c>
      <c r="G481" s="5" t="s">
        <v>37</v>
      </c>
      <c r="H481" s="3">
        <v>84</v>
      </c>
      <c r="I481" s="3"/>
      <c r="J481" s="4" t="str">
        <f t="shared" si="7"/>
        <v/>
      </c>
    </row>
    <row r="482" spans="1:10">
      <c r="A482" s="2">
        <v>2026</v>
      </c>
      <c r="B482" s="2">
        <v>1</v>
      </c>
      <c r="C482" s="2" t="s">
        <v>14</v>
      </c>
      <c r="D482" s="2">
        <v>1</v>
      </c>
      <c r="E482" s="2">
        <v>1</v>
      </c>
      <c r="F482" s="5" t="s">
        <v>6</v>
      </c>
      <c r="G482" s="5" t="s">
        <v>37</v>
      </c>
      <c r="H482" s="3">
        <v>155</v>
      </c>
      <c r="I482" s="3">
        <v>0</v>
      </c>
      <c r="J482" s="4">
        <f t="shared" si="7"/>
        <v>0</v>
      </c>
    </row>
    <row r="483" spans="1:10">
      <c r="A483" s="2">
        <v>2026</v>
      </c>
      <c r="B483" s="2">
        <v>2</v>
      </c>
      <c r="C483" s="2" t="s">
        <v>15</v>
      </c>
      <c r="D483" s="2">
        <v>1</v>
      </c>
      <c r="E483" s="2">
        <v>1</v>
      </c>
      <c r="F483" s="5" t="s">
        <v>6</v>
      </c>
      <c r="G483" s="5" t="s">
        <v>37</v>
      </c>
      <c r="H483" s="3">
        <v>155</v>
      </c>
      <c r="I483" s="3">
        <v>0</v>
      </c>
      <c r="J483" s="4">
        <f t="shared" si="7"/>
        <v>0</v>
      </c>
    </row>
    <row r="484" spans="1:10">
      <c r="A484" s="2">
        <v>2026</v>
      </c>
      <c r="B484" s="2">
        <v>3</v>
      </c>
      <c r="C484" s="2" t="s">
        <v>16</v>
      </c>
      <c r="D484" s="2">
        <v>1</v>
      </c>
      <c r="E484" s="2">
        <v>1</v>
      </c>
      <c r="F484" s="5" t="s">
        <v>6</v>
      </c>
      <c r="G484" s="5" t="s">
        <v>37</v>
      </c>
      <c r="H484" s="3">
        <v>155</v>
      </c>
      <c r="I484" s="3">
        <v>0</v>
      </c>
      <c r="J484" s="4">
        <f t="shared" si="7"/>
        <v>0</v>
      </c>
    </row>
    <row r="485" spans="1:10">
      <c r="A485" s="2">
        <v>2026</v>
      </c>
      <c r="B485" s="2">
        <v>4</v>
      </c>
      <c r="C485" s="2" t="s">
        <v>17</v>
      </c>
      <c r="D485" s="2">
        <v>2</v>
      </c>
      <c r="E485" s="2">
        <v>1</v>
      </c>
      <c r="F485" s="5" t="s">
        <v>6</v>
      </c>
      <c r="G485" s="5" t="s">
        <v>37</v>
      </c>
      <c r="H485" s="3">
        <v>155</v>
      </c>
      <c r="I485" s="3">
        <v>0</v>
      </c>
      <c r="J485" s="4">
        <f t="shared" si="7"/>
        <v>0</v>
      </c>
    </row>
    <row r="486" spans="1:10">
      <c r="A486" s="2">
        <v>2026</v>
      </c>
      <c r="B486" s="2">
        <v>5</v>
      </c>
      <c r="C486" s="2" t="s">
        <v>18</v>
      </c>
      <c r="D486" s="2">
        <v>2</v>
      </c>
      <c r="E486" s="2">
        <v>1</v>
      </c>
      <c r="F486" s="5" t="s">
        <v>6</v>
      </c>
      <c r="G486" s="5" t="s">
        <v>37</v>
      </c>
      <c r="H486" s="3">
        <v>155</v>
      </c>
      <c r="I486" s="3">
        <v>0</v>
      </c>
      <c r="J486" s="4">
        <f t="shared" si="7"/>
        <v>0</v>
      </c>
    </row>
    <row r="487" spans="1:10">
      <c r="A487" s="2">
        <v>2026</v>
      </c>
      <c r="B487" s="2">
        <v>6</v>
      </c>
      <c r="C487" s="2" t="s">
        <v>19</v>
      </c>
      <c r="D487" s="2">
        <v>2</v>
      </c>
      <c r="E487" s="2">
        <v>1</v>
      </c>
      <c r="F487" s="5" t="s">
        <v>6</v>
      </c>
      <c r="G487" s="5" t="s">
        <v>37</v>
      </c>
      <c r="H487" s="3">
        <v>155</v>
      </c>
      <c r="I487" s="3">
        <v>0</v>
      </c>
      <c r="J487" s="4">
        <f t="shared" si="7"/>
        <v>0</v>
      </c>
    </row>
    <row r="488" spans="1:10">
      <c r="A488" s="2">
        <v>2026</v>
      </c>
      <c r="B488" s="2">
        <v>7</v>
      </c>
      <c r="C488" s="2" t="s">
        <v>24</v>
      </c>
      <c r="D488" s="2">
        <v>3</v>
      </c>
      <c r="E488" s="2">
        <v>2</v>
      </c>
      <c r="F488" s="5" t="s">
        <v>6</v>
      </c>
      <c r="G488" s="5" t="s">
        <v>37</v>
      </c>
      <c r="H488" s="3">
        <v>155</v>
      </c>
      <c r="I488" s="3"/>
      <c r="J488" s="4" t="str">
        <f t="shared" si="7"/>
        <v/>
      </c>
    </row>
    <row r="489" spans="1:10">
      <c r="A489" s="2">
        <v>2026</v>
      </c>
      <c r="B489" s="2">
        <v>8</v>
      </c>
      <c r="C489" s="2" t="s">
        <v>32</v>
      </c>
      <c r="D489" s="2">
        <v>3</v>
      </c>
      <c r="E489" s="2">
        <v>2</v>
      </c>
      <c r="F489" s="5" t="s">
        <v>6</v>
      </c>
      <c r="G489" s="5" t="s">
        <v>37</v>
      </c>
      <c r="H489" s="3">
        <v>155</v>
      </c>
      <c r="I489" s="3"/>
      <c r="J489" s="4" t="str">
        <f t="shared" si="7"/>
        <v/>
      </c>
    </row>
    <row r="490" spans="1:10">
      <c r="A490" s="2">
        <v>2026</v>
      </c>
      <c r="B490" s="2">
        <v>9</v>
      </c>
      <c r="C490" s="2" t="s">
        <v>33</v>
      </c>
      <c r="D490" s="2">
        <v>3</v>
      </c>
      <c r="E490" s="2">
        <v>2</v>
      </c>
      <c r="F490" s="5" t="s">
        <v>6</v>
      </c>
      <c r="G490" s="5" t="s">
        <v>37</v>
      </c>
      <c r="H490" s="3">
        <v>155</v>
      </c>
      <c r="I490" s="3"/>
      <c r="J490" s="4" t="str">
        <f t="shared" si="7"/>
        <v/>
      </c>
    </row>
    <row r="491" spans="1:10">
      <c r="A491" s="2">
        <v>2026</v>
      </c>
      <c r="B491" s="2">
        <v>10</v>
      </c>
      <c r="C491" s="2" t="s">
        <v>34</v>
      </c>
      <c r="D491" s="2">
        <v>4</v>
      </c>
      <c r="E491" s="2">
        <v>2</v>
      </c>
      <c r="F491" s="5" t="s">
        <v>6</v>
      </c>
      <c r="G491" s="5" t="s">
        <v>37</v>
      </c>
      <c r="H491" s="3">
        <v>155</v>
      </c>
      <c r="I491" s="3"/>
      <c r="J491" s="4" t="str">
        <f t="shared" si="7"/>
        <v/>
      </c>
    </row>
    <row r="492" spans="1:10">
      <c r="A492" s="2">
        <v>2026</v>
      </c>
      <c r="B492" s="2">
        <v>11</v>
      </c>
      <c r="C492" s="2" t="s">
        <v>35</v>
      </c>
      <c r="D492" s="2">
        <v>4</v>
      </c>
      <c r="E492" s="2">
        <v>2</v>
      </c>
      <c r="F492" s="5" t="s">
        <v>6</v>
      </c>
      <c r="G492" s="5" t="s">
        <v>37</v>
      </c>
      <c r="H492" s="3">
        <v>155</v>
      </c>
      <c r="I492" s="3"/>
      <c r="J492" s="4" t="str">
        <f t="shared" si="7"/>
        <v/>
      </c>
    </row>
    <row r="493" spans="1:10">
      <c r="A493" s="2">
        <v>2026</v>
      </c>
      <c r="B493" s="2">
        <v>12</v>
      </c>
      <c r="C493" s="2" t="s">
        <v>36</v>
      </c>
      <c r="D493" s="2">
        <v>4</v>
      </c>
      <c r="E493" s="2">
        <v>2</v>
      </c>
      <c r="F493" s="5" t="s">
        <v>6</v>
      </c>
      <c r="G493" s="5" t="s">
        <v>37</v>
      </c>
      <c r="H493" s="3">
        <v>155</v>
      </c>
      <c r="I493" s="3"/>
      <c r="J493" s="4" t="str">
        <f t="shared" si="7"/>
        <v/>
      </c>
    </row>
    <row r="494" spans="1:10">
      <c r="A494" s="2">
        <v>2026</v>
      </c>
      <c r="B494" s="2">
        <v>1</v>
      </c>
      <c r="C494" s="2" t="s">
        <v>14</v>
      </c>
      <c r="D494" s="2">
        <v>1</v>
      </c>
      <c r="E494" s="2">
        <v>1</v>
      </c>
      <c r="F494" s="5" t="s">
        <v>7</v>
      </c>
      <c r="G494" s="5" t="s">
        <v>37</v>
      </c>
      <c r="H494" s="3">
        <v>546</v>
      </c>
      <c r="I494" s="3">
        <v>0</v>
      </c>
      <c r="J494" s="4">
        <f t="shared" si="7"/>
        <v>0</v>
      </c>
    </row>
    <row r="495" spans="1:10">
      <c r="A495" s="2">
        <v>2026</v>
      </c>
      <c r="B495" s="2">
        <v>2</v>
      </c>
      <c r="C495" s="2" t="s">
        <v>15</v>
      </c>
      <c r="D495" s="2">
        <v>1</v>
      </c>
      <c r="E495" s="2">
        <v>1</v>
      </c>
      <c r="F495" s="5" t="s">
        <v>7</v>
      </c>
      <c r="G495" s="5" t="s">
        <v>37</v>
      </c>
      <c r="H495" s="3">
        <v>546</v>
      </c>
      <c r="I495" s="3">
        <v>0</v>
      </c>
      <c r="J495" s="4">
        <f t="shared" si="7"/>
        <v>0</v>
      </c>
    </row>
    <row r="496" spans="1:10">
      <c r="A496" s="2">
        <v>2026</v>
      </c>
      <c r="B496" s="2">
        <v>3</v>
      </c>
      <c r="C496" s="2" t="s">
        <v>16</v>
      </c>
      <c r="D496" s="2">
        <v>1</v>
      </c>
      <c r="E496" s="2">
        <v>1</v>
      </c>
      <c r="F496" s="5" t="s">
        <v>7</v>
      </c>
      <c r="G496" s="5" t="s">
        <v>37</v>
      </c>
      <c r="H496" s="3">
        <v>546</v>
      </c>
      <c r="I496" s="3">
        <v>0</v>
      </c>
      <c r="J496" s="4">
        <f t="shared" si="7"/>
        <v>0</v>
      </c>
    </row>
    <row r="497" spans="1:10">
      <c r="A497" s="2">
        <v>2026</v>
      </c>
      <c r="B497" s="2">
        <v>4</v>
      </c>
      <c r="C497" s="2" t="s">
        <v>17</v>
      </c>
      <c r="D497" s="2">
        <v>2</v>
      </c>
      <c r="E497" s="2">
        <v>1</v>
      </c>
      <c r="F497" s="5" t="s">
        <v>7</v>
      </c>
      <c r="G497" s="5" t="s">
        <v>37</v>
      </c>
      <c r="H497" s="3">
        <v>546</v>
      </c>
      <c r="I497" s="3">
        <v>0</v>
      </c>
      <c r="J497" s="4">
        <f t="shared" si="7"/>
        <v>0</v>
      </c>
    </row>
    <row r="498" spans="1:10">
      <c r="A498" s="2">
        <v>2026</v>
      </c>
      <c r="B498" s="2">
        <v>5</v>
      </c>
      <c r="C498" s="2" t="s">
        <v>18</v>
      </c>
      <c r="D498" s="2">
        <v>2</v>
      </c>
      <c r="E498" s="2">
        <v>1</v>
      </c>
      <c r="F498" s="5" t="s">
        <v>7</v>
      </c>
      <c r="G498" s="5" t="s">
        <v>37</v>
      </c>
      <c r="H498" s="3">
        <v>546</v>
      </c>
      <c r="I498" s="3">
        <v>0</v>
      </c>
      <c r="J498" s="4">
        <f t="shared" si="7"/>
        <v>0</v>
      </c>
    </row>
    <row r="499" spans="1:10">
      <c r="A499" s="2">
        <v>2026</v>
      </c>
      <c r="B499" s="2">
        <v>6</v>
      </c>
      <c r="C499" s="2" t="s">
        <v>19</v>
      </c>
      <c r="D499" s="2">
        <v>2</v>
      </c>
      <c r="E499" s="2">
        <v>1</v>
      </c>
      <c r="F499" s="5" t="s">
        <v>7</v>
      </c>
      <c r="G499" s="5" t="s">
        <v>37</v>
      </c>
      <c r="H499" s="3">
        <v>546</v>
      </c>
      <c r="I499" s="3">
        <v>0</v>
      </c>
      <c r="J499" s="4">
        <f t="shared" si="7"/>
        <v>0</v>
      </c>
    </row>
    <row r="500" spans="1:10">
      <c r="A500" s="2">
        <v>2026</v>
      </c>
      <c r="B500" s="2">
        <v>7</v>
      </c>
      <c r="C500" s="2" t="s">
        <v>24</v>
      </c>
      <c r="D500" s="2">
        <v>3</v>
      </c>
      <c r="E500" s="2">
        <v>2</v>
      </c>
      <c r="F500" s="5" t="s">
        <v>7</v>
      </c>
      <c r="G500" s="5" t="s">
        <v>37</v>
      </c>
      <c r="H500" s="3">
        <v>546</v>
      </c>
      <c r="I500" s="3"/>
      <c r="J500" s="4" t="str">
        <f t="shared" si="7"/>
        <v/>
      </c>
    </row>
    <row r="501" spans="1:10">
      <c r="A501" s="2">
        <v>2026</v>
      </c>
      <c r="B501" s="2">
        <v>8</v>
      </c>
      <c r="C501" s="2" t="s">
        <v>32</v>
      </c>
      <c r="D501" s="2">
        <v>3</v>
      </c>
      <c r="E501" s="2">
        <v>2</v>
      </c>
      <c r="F501" s="5" t="s">
        <v>7</v>
      </c>
      <c r="G501" s="5" t="s">
        <v>37</v>
      </c>
      <c r="H501" s="3">
        <v>546</v>
      </c>
      <c r="I501" s="3"/>
      <c r="J501" s="4" t="str">
        <f t="shared" si="7"/>
        <v/>
      </c>
    </row>
    <row r="502" spans="1:10">
      <c r="A502" s="2">
        <v>2026</v>
      </c>
      <c r="B502" s="2">
        <v>9</v>
      </c>
      <c r="C502" s="2" t="s">
        <v>33</v>
      </c>
      <c r="D502" s="2">
        <v>3</v>
      </c>
      <c r="E502" s="2">
        <v>2</v>
      </c>
      <c r="F502" s="5" t="s">
        <v>7</v>
      </c>
      <c r="G502" s="5" t="s">
        <v>37</v>
      </c>
      <c r="H502" s="3">
        <v>546</v>
      </c>
      <c r="I502" s="3"/>
      <c r="J502" s="4" t="str">
        <f t="shared" si="7"/>
        <v/>
      </c>
    </row>
    <row r="503" spans="1:10">
      <c r="A503" s="2">
        <v>2026</v>
      </c>
      <c r="B503" s="2">
        <v>10</v>
      </c>
      <c r="C503" s="2" t="s">
        <v>34</v>
      </c>
      <c r="D503" s="2">
        <v>4</v>
      </c>
      <c r="E503" s="2">
        <v>2</v>
      </c>
      <c r="F503" s="5" t="s">
        <v>7</v>
      </c>
      <c r="G503" s="5" t="s">
        <v>37</v>
      </c>
      <c r="H503" s="3">
        <v>546</v>
      </c>
      <c r="I503" s="3"/>
      <c r="J503" s="4" t="str">
        <f t="shared" si="7"/>
        <v/>
      </c>
    </row>
    <row r="504" spans="1:10">
      <c r="A504" s="2">
        <v>2026</v>
      </c>
      <c r="B504" s="2">
        <v>11</v>
      </c>
      <c r="C504" s="2" t="s">
        <v>35</v>
      </c>
      <c r="D504" s="2">
        <v>4</v>
      </c>
      <c r="E504" s="2">
        <v>2</v>
      </c>
      <c r="F504" s="5" t="s">
        <v>7</v>
      </c>
      <c r="G504" s="5" t="s">
        <v>37</v>
      </c>
      <c r="H504" s="3">
        <v>546</v>
      </c>
      <c r="I504" s="3"/>
      <c r="J504" s="4" t="str">
        <f t="shared" si="7"/>
        <v/>
      </c>
    </row>
    <row r="505" spans="1:10">
      <c r="A505" s="2">
        <v>2026</v>
      </c>
      <c r="B505" s="2">
        <v>12</v>
      </c>
      <c r="C505" s="2" t="s">
        <v>36</v>
      </c>
      <c r="D505" s="2">
        <v>4</v>
      </c>
      <c r="E505" s="2">
        <v>2</v>
      </c>
      <c r="F505" s="5" t="s">
        <v>7</v>
      </c>
      <c r="G505" s="5" t="s">
        <v>37</v>
      </c>
      <c r="H505" s="3">
        <v>546</v>
      </c>
      <c r="I505" s="3"/>
      <c r="J505" s="4" t="str">
        <f t="shared" si="7"/>
        <v/>
      </c>
    </row>
    <row r="506" spans="1:10">
      <c r="A506" s="2">
        <v>2026</v>
      </c>
      <c r="B506" s="2">
        <v>1</v>
      </c>
      <c r="C506" s="2" t="s">
        <v>14</v>
      </c>
      <c r="D506" s="2">
        <v>1</v>
      </c>
      <c r="E506" s="2">
        <v>1</v>
      </c>
      <c r="F506" s="5" t="s">
        <v>8</v>
      </c>
      <c r="G506" s="5" t="s">
        <v>37</v>
      </c>
      <c r="H506" s="3">
        <v>96</v>
      </c>
      <c r="I506" s="3">
        <v>0</v>
      </c>
      <c r="J506" s="4">
        <f t="shared" si="7"/>
        <v>0</v>
      </c>
    </row>
    <row r="507" spans="1:10">
      <c r="A507" s="2">
        <v>2026</v>
      </c>
      <c r="B507" s="2">
        <v>2</v>
      </c>
      <c r="C507" s="2" t="s">
        <v>15</v>
      </c>
      <c r="D507" s="2">
        <v>1</v>
      </c>
      <c r="E507" s="2">
        <v>1</v>
      </c>
      <c r="F507" s="5" t="s">
        <v>8</v>
      </c>
      <c r="G507" s="5" t="s">
        <v>37</v>
      </c>
      <c r="H507" s="3">
        <v>96</v>
      </c>
      <c r="I507" s="3">
        <v>0</v>
      </c>
      <c r="J507" s="4">
        <f t="shared" si="7"/>
        <v>0</v>
      </c>
    </row>
    <row r="508" spans="1:10">
      <c r="A508" s="2">
        <v>2026</v>
      </c>
      <c r="B508" s="2">
        <v>3</v>
      </c>
      <c r="C508" s="2" t="s">
        <v>16</v>
      </c>
      <c r="D508" s="2">
        <v>1</v>
      </c>
      <c r="E508" s="2">
        <v>1</v>
      </c>
      <c r="F508" s="5" t="s">
        <v>8</v>
      </c>
      <c r="G508" s="5" t="s">
        <v>37</v>
      </c>
      <c r="H508" s="3">
        <v>96</v>
      </c>
      <c r="I508" s="3">
        <v>0</v>
      </c>
      <c r="J508" s="4">
        <f t="shared" si="7"/>
        <v>0</v>
      </c>
    </row>
    <row r="509" spans="1:10">
      <c r="A509" s="2">
        <v>2026</v>
      </c>
      <c r="B509" s="2">
        <v>4</v>
      </c>
      <c r="C509" s="2" t="s">
        <v>17</v>
      </c>
      <c r="D509" s="2">
        <v>2</v>
      </c>
      <c r="E509" s="2">
        <v>1</v>
      </c>
      <c r="F509" s="5" t="s">
        <v>8</v>
      </c>
      <c r="G509" s="5" t="s">
        <v>37</v>
      </c>
      <c r="H509" s="3">
        <v>96</v>
      </c>
      <c r="I509" s="3">
        <v>0</v>
      </c>
      <c r="J509" s="4">
        <f t="shared" si="7"/>
        <v>0</v>
      </c>
    </row>
    <row r="510" spans="1:10">
      <c r="A510" s="2">
        <v>2026</v>
      </c>
      <c r="B510" s="2">
        <v>5</v>
      </c>
      <c r="C510" s="2" t="s">
        <v>18</v>
      </c>
      <c r="D510" s="2">
        <v>2</v>
      </c>
      <c r="E510" s="2">
        <v>1</v>
      </c>
      <c r="F510" s="5" t="s">
        <v>8</v>
      </c>
      <c r="G510" s="5" t="s">
        <v>37</v>
      </c>
      <c r="H510" s="3">
        <v>96</v>
      </c>
      <c r="I510" s="3">
        <v>0</v>
      </c>
      <c r="J510" s="4">
        <f t="shared" si="7"/>
        <v>0</v>
      </c>
    </row>
    <row r="511" spans="1:10">
      <c r="A511" s="2">
        <v>2026</v>
      </c>
      <c r="B511" s="2">
        <v>6</v>
      </c>
      <c r="C511" s="2" t="s">
        <v>19</v>
      </c>
      <c r="D511" s="2">
        <v>2</v>
      </c>
      <c r="E511" s="2">
        <v>1</v>
      </c>
      <c r="F511" s="5" t="s">
        <v>8</v>
      </c>
      <c r="G511" s="5" t="s">
        <v>37</v>
      </c>
      <c r="H511" s="3">
        <v>96</v>
      </c>
      <c r="I511" s="3">
        <v>13</v>
      </c>
      <c r="J511" s="4">
        <f t="shared" si="7"/>
        <v>0.13541666666666666</v>
      </c>
    </row>
    <row r="512" spans="1:10">
      <c r="A512" s="2">
        <v>2026</v>
      </c>
      <c r="B512" s="2">
        <v>7</v>
      </c>
      <c r="C512" s="2" t="s">
        <v>24</v>
      </c>
      <c r="D512" s="2">
        <v>3</v>
      </c>
      <c r="E512" s="2">
        <v>2</v>
      </c>
      <c r="F512" s="5" t="s">
        <v>8</v>
      </c>
      <c r="G512" s="5" t="s">
        <v>37</v>
      </c>
      <c r="H512" s="3">
        <v>96</v>
      </c>
      <c r="I512" s="3"/>
      <c r="J512" s="4" t="str">
        <f t="shared" si="7"/>
        <v/>
      </c>
    </row>
    <row r="513" spans="1:10">
      <c r="A513" s="2">
        <v>2026</v>
      </c>
      <c r="B513" s="2">
        <v>8</v>
      </c>
      <c r="C513" s="2" t="s">
        <v>32</v>
      </c>
      <c r="D513" s="2">
        <v>3</v>
      </c>
      <c r="E513" s="2">
        <v>2</v>
      </c>
      <c r="F513" s="5" t="s">
        <v>8</v>
      </c>
      <c r="G513" s="5" t="s">
        <v>37</v>
      </c>
      <c r="H513" s="3">
        <v>96</v>
      </c>
      <c r="I513" s="3"/>
      <c r="J513" s="4" t="str">
        <f t="shared" si="7"/>
        <v/>
      </c>
    </row>
    <row r="514" spans="1:10">
      <c r="A514" s="2">
        <v>2026</v>
      </c>
      <c r="B514" s="2">
        <v>9</v>
      </c>
      <c r="C514" s="2" t="s">
        <v>33</v>
      </c>
      <c r="D514" s="2">
        <v>3</v>
      </c>
      <c r="E514" s="2">
        <v>2</v>
      </c>
      <c r="F514" s="5" t="s">
        <v>8</v>
      </c>
      <c r="G514" s="5" t="s">
        <v>37</v>
      </c>
      <c r="H514" s="3">
        <v>96</v>
      </c>
      <c r="I514" s="3"/>
      <c r="J514" s="4" t="str">
        <f t="shared" ref="J514:J577" si="8">IF(I514="","",IFERROR(I514/H514,0))</f>
        <v/>
      </c>
    </row>
    <row r="515" spans="1:10">
      <c r="A515" s="2">
        <v>2026</v>
      </c>
      <c r="B515" s="2">
        <v>10</v>
      </c>
      <c r="C515" s="2" t="s">
        <v>34</v>
      </c>
      <c r="D515" s="2">
        <v>4</v>
      </c>
      <c r="E515" s="2">
        <v>2</v>
      </c>
      <c r="F515" s="5" t="s">
        <v>8</v>
      </c>
      <c r="G515" s="5" t="s">
        <v>37</v>
      </c>
      <c r="H515" s="3">
        <v>96</v>
      </c>
      <c r="I515" s="3"/>
      <c r="J515" s="4" t="str">
        <f t="shared" si="8"/>
        <v/>
      </c>
    </row>
    <row r="516" spans="1:10">
      <c r="A516" s="2">
        <v>2026</v>
      </c>
      <c r="B516" s="2">
        <v>11</v>
      </c>
      <c r="C516" s="2" t="s">
        <v>35</v>
      </c>
      <c r="D516" s="2">
        <v>4</v>
      </c>
      <c r="E516" s="2">
        <v>2</v>
      </c>
      <c r="F516" s="5" t="s">
        <v>8</v>
      </c>
      <c r="G516" s="5" t="s">
        <v>37</v>
      </c>
      <c r="H516" s="3">
        <v>96</v>
      </c>
      <c r="I516" s="3"/>
      <c r="J516" s="4" t="str">
        <f t="shared" si="8"/>
        <v/>
      </c>
    </row>
    <row r="517" spans="1:10">
      <c r="A517" s="2">
        <v>2026</v>
      </c>
      <c r="B517" s="2">
        <v>12</v>
      </c>
      <c r="C517" s="2" t="s">
        <v>36</v>
      </c>
      <c r="D517" s="2">
        <v>4</v>
      </c>
      <c r="E517" s="2">
        <v>2</v>
      </c>
      <c r="F517" s="5" t="s">
        <v>8</v>
      </c>
      <c r="G517" s="5" t="s">
        <v>37</v>
      </c>
      <c r="H517" s="3">
        <v>96</v>
      </c>
      <c r="I517" s="3"/>
      <c r="J517" s="4" t="str">
        <f t="shared" si="8"/>
        <v/>
      </c>
    </row>
    <row r="518" spans="1:10">
      <c r="A518" s="2">
        <v>2026</v>
      </c>
      <c r="B518" s="2">
        <v>1</v>
      </c>
      <c r="C518" s="2" t="s">
        <v>14</v>
      </c>
      <c r="D518" s="2">
        <v>1</v>
      </c>
      <c r="E518" s="2">
        <v>1</v>
      </c>
      <c r="F518" s="5" t="s">
        <v>9</v>
      </c>
      <c r="G518" s="5" t="s">
        <v>37</v>
      </c>
      <c r="H518" s="3">
        <v>243</v>
      </c>
      <c r="I518" s="3">
        <v>0</v>
      </c>
      <c r="J518" s="4">
        <f t="shared" si="8"/>
        <v>0</v>
      </c>
    </row>
    <row r="519" spans="1:10">
      <c r="A519" s="2">
        <v>2026</v>
      </c>
      <c r="B519" s="2">
        <v>2</v>
      </c>
      <c r="C519" s="2" t="s">
        <v>15</v>
      </c>
      <c r="D519" s="2">
        <v>1</v>
      </c>
      <c r="E519" s="2">
        <v>1</v>
      </c>
      <c r="F519" s="5" t="s">
        <v>9</v>
      </c>
      <c r="G519" s="5" t="s">
        <v>37</v>
      </c>
      <c r="H519" s="3">
        <v>243</v>
      </c>
      <c r="I519" s="3">
        <v>0</v>
      </c>
      <c r="J519" s="4">
        <f t="shared" si="8"/>
        <v>0</v>
      </c>
    </row>
    <row r="520" spans="1:10">
      <c r="A520" s="2">
        <v>2026</v>
      </c>
      <c r="B520" s="2">
        <v>3</v>
      </c>
      <c r="C520" s="2" t="s">
        <v>16</v>
      </c>
      <c r="D520" s="2">
        <v>1</v>
      </c>
      <c r="E520" s="2">
        <v>1</v>
      </c>
      <c r="F520" s="5" t="s">
        <v>9</v>
      </c>
      <c r="G520" s="5" t="s">
        <v>37</v>
      </c>
      <c r="H520" s="3">
        <v>243</v>
      </c>
      <c r="I520" s="3">
        <v>0</v>
      </c>
      <c r="J520" s="4">
        <f t="shared" si="8"/>
        <v>0</v>
      </c>
    </row>
    <row r="521" spans="1:10">
      <c r="A521" s="2">
        <v>2026</v>
      </c>
      <c r="B521" s="2">
        <v>4</v>
      </c>
      <c r="C521" s="2" t="s">
        <v>17</v>
      </c>
      <c r="D521" s="2">
        <v>2</v>
      </c>
      <c r="E521" s="2">
        <v>1</v>
      </c>
      <c r="F521" s="5" t="s">
        <v>9</v>
      </c>
      <c r="G521" s="5" t="s">
        <v>37</v>
      </c>
      <c r="H521" s="3">
        <v>243</v>
      </c>
      <c r="I521" s="3">
        <v>0</v>
      </c>
      <c r="J521" s="4">
        <f t="shared" si="8"/>
        <v>0</v>
      </c>
    </row>
    <row r="522" spans="1:10">
      <c r="A522" s="2">
        <v>2026</v>
      </c>
      <c r="B522" s="2">
        <v>5</v>
      </c>
      <c r="C522" s="2" t="s">
        <v>18</v>
      </c>
      <c r="D522" s="2">
        <v>2</v>
      </c>
      <c r="E522" s="2">
        <v>1</v>
      </c>
      <c r="F522" s="5" t="s">
        <v>9</v>
      </c>
      <c r="G522" s="5" t="s">
        <v>37</v>
      </c>
      <c r="H522" s="3">
        <v>243</v>
      </c>
      <c r="I522" s="3">
        <v>10</v>
      </c>
      <c r="J522" s="4">
        <f t="shared" si="8"/>
        <v>4.1152263374485597E-2</v>
      </c>
    </row>
    <row r="523" spans="1:10">
      <c r="A523" s="2">
        <v>2026</v>
      </c>
      <c r="B523" s="2">
        <v>6</v>
      </c>
      <c r="C523" s="2" t="s">
        <v>19</v>
      </c>
      <c r="D523" s="2">
        <v>2</v>
      </c>
      <c r="E523" s="2">
        <v>1</v>
      </c>
      <c r="F523" s="5" t="s">
        <v>9</v>
      </c>
      <c r="G523" s="5" t="s">
        <v>37</v>
      </c>
      <c r="H523" s="3">
        <v>243</v>
      </c>
      <c r="I523" s="3">
        <v>13</v>
      </c>
      <c r="J523" s="4">
        <f t="shared" si="8"/>
        <v>5.3497942386831275E-2</v>
      </c>
    </row>
    <row r="524" spans="1:10">
      <c r="A524" s="2">
        <v>2026</v>
      </c>
      <c r="B524" s="2">
        <v>7</v>
      </c>
      <c r="C524" s="2" t="s">
        <v>24</v>
      </c>
      <c r="D524" s="2">
        <v>3</v>
      </c>
      <c r="E524" s="2">
        <v>2</v>
      </c>
      <c r="F524" s="5" t="s">
        <v>9</v>
      </c>
      <c r="G524" s="5" t="s">
        <v>37</v>
      </c>
      <c r="H524" s="3">
        <v>243</v>
      </c>
      <c r="I524" s="3"/>
      <c r="J524" s="4" t="str">
        <f t="shared" si="8"/>
        <v/>
      </c>
    </row>
    <row r="525" spans="1:10">
      <c r="A525" s="2">
        <v>2026</v>
      </c>
      <c r="B525" s="2">
        <v>8</v>
      </c>
      <c r="C525" s="2" t="s">
        <v>32</v>
      </c>
      <c r="D525" s="2">
        <v>3</v>
      </c>
      <c r="E525" s="2">
        <v>2</v>
      </c>
      <c r="F525" s="5" t="s">
        <v>9</v>
      </c>
      <c r="G525" s="5" t="s">
        <v>37</v>
      </c>
      <c r="H525" s="3">
        <v>243</v>
      </c>
      <c r="I525" s="3"/>
      <c r="J525" s="4" t="str">
        <f t="shared" si="8"/>
        <v/>
      </c>
    </row>
    <row r="526" spans="1:10">
      <c r="A526" s="2">
        <v>2026</v>
      </c>
      <c r="B526" s="2">
        <v>9</v>
      </c>
      <c r="C526" s="2" t="s">
        <v>33</v>
      </c>
      <c r="D526" s="2">
        <v>3</v>
      </c>
      <c r="E526" s="2">
        <v>2</v>
      </c>
      <c r="F526" s="5" t="s">
        <v>9</v>
      </c>
      <c r="G526" s="5" t="s">
        <v>37</v>
      </c>
      <c r="H526" s="3">
        <v>243</v>
      </c>
      <c r="I526" s="3"/>
      <c r="J526" s="4" t="str">
        <f t="shared" si="8"/>
        <v/>
      </c>
    </row>
    <row r="527" spans="1:10">
      <c r="A527" s="2">
        <v>2026</v>
      </c>
      <c r="B527" s="2">
        <v>10</v>
      </c>
      <c r="C527" s="2" t="s">
        <v>34</v>
      </c>
      <c r="D527" s="2">
        <v>4</v>
      </c>
      <c r="E527" s="2">
        <v>2</v>
      </c>
      <c r="F527" s="5" t="s">
        <v>9</v>
      </c>
      <c r="G527" s="5" t="s">
        <v>37</v>
      </c>
      <c r="H527" s="3">
        <v>243</v>
      </c>
      <c r="I527" s="3"/>
      <c r="J527" s="4" t="str">
        <f t="shared" si="8"/>
        <v/>
      </c>
    </row>
    <row r="528" spans="1:10">
      <c r="A528" s="2">
        <v>2026</v>
      </c>
      <c r="B528" s="2">
        <v>11</v>
      </c>
      <c r="C528" s="2" t="s">
        <v>35</v>
      </c>
      <c r="D528" s="2">
        <v>4</v>
      </c>
      <c r="E528" s="2">
        <v>2</v>
      </c>
      <c r="F528" s="5" t="s">
        <v>9</v>
      </c>
      <c r="G528" s="5" t="s">
        <v>37</v>
      </c>
      <c r="H528" s="3">
        <v>243</v>
      </c>
      <c r="I528" s="3"/>
      <c r="J528" s="4" t="str">
        <f t="shared" si="8"/>
        <v/>
      </c>
    </row>
    <row r="529" spans="1:10">
      <c r="A529" s="2">
        <v>2026</v>
      </c>
      <c r="B529" s="2">
        <v>12</v>
      </c>
      <c r="C529" s="2" t="s">
        <v>36</v>
      </c>
      <c r="D529" s="2">
        <v>4</v>
      </c>
      <c r="E529" s="2">
        <v>2</v>
      </c>
      <c r="F529" s="5" t="s">
        <v>9</v>
      </c>
      <c r="G529" s="5" t="s">
        <v>37</v>
      </c>
      <c r="H529" s="3">
        <v>243</v>
      </c>
      <c r="I529" s="3"/>
      <c r="J529" s="4" t="str">
        <f t="shared" si="8"/>
        <v/>
      </c>
    </row>
    <row r="530" spans="1:10">
      <c r="A530" s="2">
        <v>2026</v>
      </c>
      <c r="B530" s="2">
        <v>1</v>
      </c>
      <c r="C530" s="2" t="s">
        <v>14</v>
      </c>
      <c r="D530" s="2">
        <v>1</v>
      </c>
      <c r="E530" s="2">
        <v>1</v>
      </c>
      <c r="F530" s="5" t="s">
        <v>10</v>
      </c>
      <c r="G530" s="5" t="s">
        <v>37</v>
      </c>
      <c r="H530" s="3">
        <v>170</v>
      </c>
      <c r="I530" s="3">
        <v>0</v>
      </c>
      <c r="J530" s="4">
        <f t="shared" si="8"/>
        <v>0</v>
      </c>
    </row>
    <row r="531" spans="1:10">
      <c r="A531" s="2">
        <v>2026</v>
      </c>
      <c r="B531" s="2">
        <v>2</v>
      </c>
      <c r="C531" s="2" t="s">
        <v>15</v>
      </c>
      <c r="D531" s="2">
        <v>1</v>
      </c>
      <c r="E531" s="2">
        <v>1</v>
      </c>
      <c r="F531" s="5" t="s">
        <v>10</v>
      </c>
      <c r="G531" s="5" t="s">
        <v>37</v>
      </c>
      <c r="H531" s="3">
        <v>170</v>
      </c>
      <c r="I531" s="3">
        <v>0</v>
      </c>
      <c r="J531" s="4">
        <f t="shared" si="8"/>
        <v>0</v>
      </c>
    </row>
    <row r="532" spans="1:10">
      <c r="A532" s="2">
        <v>2026</v>
      </c>
      <c r="B532" s="2">
        <v>3</v>
      </c>
      <c r="C532" s="2" t="s">
        <v>16</v>
      </c>
      <c r="D532" s="2">
        <v>1</v>
      </c>
      <c r="E532" s="2">
        <v>1</v>
      </c>
      <c r="F532" s="5" t="s">
        <v>10</v>
      </c>
      <c r="G532" s="5" t="s">
        <v>37</v>
      </c>
      <c r="H532" s="3">
        <v>170</v>
      </c>
      <c r="I532" s="3">
        <v>0</v>
      </c>
      <c r="J532" s="4">
        <f t="shared" si="8"/>
        <v>0</v>
      </c>
    </row>
    <row r="533" spans="1:10">
      <c r="A533" s="2">
        <v>2026</v>
      </c>
      <c r="B533" s="2">
        <v>4</v>
      </c>
      <c r="C533" s="2" t="s">
        <v>17</v>
      </c>
      <c r="D533" s="2">
        <v>2</v>
      </c>
      <c r="E533" s="2">
        <v>1</v>
      </c>
      <c r="F533" s="5" t="s">
        <v>10</v>
      </c>
      <c r="G533" s="5" t="s">
        <v>37</v>
      </c>
      <c r="H533" s="3">
        <v>170</v>
      </c>
      <c r="I533" s="3">
        <v>22</v>
      </c>
      <c r="J533" s="4">
        <f t="shared" si="8"/>
        <v>0.12941176470588237</v>
      </c>
    </row>
    <row r="534" spans="1:10">
      <c r="A534" s="2">
        <v>2026</v>
      </c>
      <c r="B534" s="2">
        <v>5</v>
      </c>
      <c r="C534" s="2" t="s">
        <v>18</v>
      </c>
      <c r="D534" s="2">
        <v>2</v>
      </c>
      <c r="E534" s="2">
        <v>1</v>
      </c>
      <c r="F534" s="5" t="s">
        <v>10</v>
      </c>
      <c r="G534" s="5" t="s">
        <v>37</v>
      </c>
      <c r="H534" s="3">
        <v>170</v>
      </c>
      <c r="I534" s="3">
        <v>0</v>
      </c>
      <c r="J534" s="4">
        <f t="shared" si="8"/>
        <v>0</v>
      </c>
    </row>
    <row r="535" spans="1:10">
      <c r="A535" s="2">
        <v>2026</v>
      </c>
      <c r="B535" s="2">
        <v>6</v>
      </c>
      <c r="C535" s="2" t="s">
        <v>19</v>
      </c>
      <c r="D535" s="2">
        <v>2</v>
      </c>
      <c r="E535" s="2">
        <v>1</v>
      </c>
      <c r="F535" s="5" t="s">
        <v>10</v>
      </c>
      <c r="G535" s="5" t="s">
        <v>37</v>
      </c>
      <c r="H535" s="3">
        <v>170</v>
      </c>
      <c r="I535" s="3">
        <v>0</v>
      </c>
      <c r="J535" s="4">
        <f t="shared" si="8"/>
        <v>0</v>
      </c>
    </row>
    <row r="536" spans="1:10">
      <c r="A536" s="2">
        <v>2026</v>
      </c>
      <c r="B536" s="2">
        <v>7</v>
      </c>
      <c r="C536" s="2" t="s">
        <v>24</v>
      </c>
      <c r="D536" s="2">
        <v>3</v>
      </c>
      <c r="E536" s="2">
        <v>2</v>
      </c>
      <c r="F536" s="5" t="s">
        <v>10</v>
      </c>
      <c r="G536" s="5" t="s">
        <v>37</v>
      </c>
      <c r="H536" s="3">
        <v>170</v>
      </c>
      <c r="I536" s="3"/>
      <c r="J536" s="4" t="str">
        <f t="shared" si="8"/>
        <v/>
      </c>
    </row>
    <row r="537" spans="1:10">
      <c r="A537" s="2">
        <v>2026</v>
      </c>
      <c r="B537" s="2">
        <v>8</v>
      </c>
      <c r="C537" s="2" t="s">
        <v>32</v>
      </c>
      <c r="D537" s="2">
        <v>3</v>
      </c>
      <c r="E537" s="2">
        <v>2</v>
      </c>
      <c r="F537" s="5" t="s">
        <v>10</v>
      </c>
      <c r="G537" s="5" t="s">
        <v>37</v>
      </c>
      <c r="H537" s="3">
        <v>170</v>
      </c>
      <c r="I537" s="3"/>
      <c r="J537" s="4" t="str">
        <f t="shared" si="8"/>
        <v/>
      </c>
    </row>
    <row r="538" spans="1:10">
      <c r="A538" s="2">
        <v>2026</v>
      </c>
      <c r="B538" s="2">
        <v>9</v>
      </c>
      <c r="C538" s="2" t="s">
        <v>33</v>
      </c>
      <c r="D538" s="2">
        <v>3</v>
      </c>
      <c r="E538" s="2">
        <v>2</v>
      </c>
      <c r="F538" s="5" t="s">
        <v>10</v>
      </c>
      <c r="G538" s="5" t="s">
        <v>37</v>
      </c>
      <c r="H538" s="3">
        <v>170</v>
      </c>
      <c r="I538" s="3"/>
      <c r="J538" s="4" t="str">
        <f t="shared" si="8"/>
        <v/>
      </c>
    </row>
    <row r="539" spans="1:10">
      <c r="A539" s="2">
        <v>2026</v>
      </c>
      <c r="B539" s="2">
        <v>10</v>
      </c>
      <c r="C539" s="2" t="s">
        <v>34</v>
      </c>
      <c r="D539" s="2">
        <v>4</v>
      </c>
      <c r="E539" s="2">
        <v>2</v>
      </c>
      <c r="F539" s="5" t="s">
        <v>10</v>
      </c>
      <c r="G539" s="5" t="s">
        <v>37</v>
      </c>
      <c r="H539" s="3">
        <v>170</v>
      </c>
      <c r="I539" s="3"/>
      <c r="J539" s="4" t="str">
        <f t="shared" si="8"/>
        <v/>
      </c>
    </row>
    <row r="540" spans="1:10">
      <c r="A540" s="2">
        <v>2026</v>
      </c>
      <c r="B540" s="2">
        <v>11</v>
      </c>
      <c r="C540" s="2" t="s">
        <v>35</v>
      </c>
      <c r="D540" s="2">
        <v>4</v>
      </c>
      <c r="E540" s="2">
        <v>2</v>
      </c>
      <c r="F540" s="5" t="s">
        <v>10</v>
      </c>
      <c r="G540" s="5" t="s">
        <v>37</v>
      </c>
      <c r="H540" s="3">
        <v>170</v>
      </c>
      <c r="I540" s="3"/>
      <c r="J540" s="4" t="str">
        <f t="shared" si="8"/>
        <v/>
      </c>
    </row>
    <row r="541" spans="1:10">
      <c r="A541" s="2">
        <v>2026</v>
      </c>
      <c r="B541" s="2">
        <v>12</v>
      </c>
      <c r="C541" s="2" t="s">
        <v>36</v>
      </c>
      <c r="D541" s="2">
        <v>4</v>
      </c>
      <c r="E541" s="2">
        <v>2</v>
      </c>
      <c r="F541" s="5" t="s">
        <v>10</v>
      </c>
      <c r="G541" s="5" t="s">
        <v>37</v>
      </c>
      <c r="H541" s="3">
        <v>170</v>
      </c>
      <c r="I541" s="3"/>
      <c r="J541" s="4" t="str">
        <f t="shared" si="8"/>
        <v/>
      </c>
    </row>
    <row r="542" spans="1:10">
      <c r="A542" s="2">
        <v>2026</v>
      </c>
      <c r="B542" s="2">
        <v>1</v>
      </c>
      <c r="C542" s="2" t="s">
        <v>14</v>
      </c>
      <c r="D542" s="2">
        <v>1</v>
      </c>
      <c r="E542" s="2">
        <v>1</v>
      </c>
      <c r="F542" s="5" t="s">
        <v>11</v>
      </c>
      <c r="G542" s="5" t="s">
        <v>37</v>
      </c>
      <c r="H542" s="3">
        <v>368</v>
      </c>
      <c r="I542" s="3">
        <v>0</v>
      </c>
      <c r="J542" s="4">
        <f t="shared" si="8"/>
        <v>0</v>
      </c>
    </row>
    <row r="543" spans="1:10">
      <c r="A543" s="2">
        <v>2026</v>
      </c>
      <c r="B543" s="2">
        <v>2</v>
      </c>
      <c r="C543" s="2" t="s">
        <v>15</v>
      </c>
      <c r="D543" s="2">
        <v>1</v>
      </c>
      <c r="E543" s="2">
        <v>1</v>
      </c>
      <c r="F543" s="5" t="s">
        <v>11</v>
      </c>
      <c r="G543" s="5" t="s">
        <v>37</v>
      </c>
      <c r="H543" s="3">
        <v>368</v>
      </c>
      <c r="I543" s="3">
        <v>0</v>
      </c>
      <c r="J543" s="4">
        <f t="shared" si="8"/>
        <v>0</v>
      </c>
    </row>
    <row r="544" spans="1:10">
      <c r="A544" s="2">
        <v>2026</v>
      </c>
      <c r="B544" s="2">
        <v>3</v>
      </c>
      <c r="C544" s="2" t="s">
        <v>16</v>
      </c>
      <c r="D544" s="2">
        <v>1</v>
      </c>
      <c r="E544" s="2">
        <v>1</v>
      </c>
      <c r="F544" s="5" t="s">
        <v>11</v>
      </c>
      <c r="G544" s="5" t="s">
        <v>37</v>
      </c>
      <c r="H544" s="3">
        <v>368</v>
      </c>
      <c r="I544" s="3">
        <v>0</v>
      </c>
      <c r="J544" s="4">
        <f t="shared" si="8"/>
        <v>0</v>
      </c>
    </row>
    <row r="545" spans="1:10">
      <c r="A545" s="2">
        <v>2026</v>
      </c>
      <c r="B545" s="2">
        <v>4</v>
      </c>
      <c r="C545" s="2" t="s">
        <v>17</v>
      </c>
      <c r="D545" s="2">
        <v>2</v>
      </c>
      <c r="E545" s="2">
        <v>1</v>
      </c>
      <c r="F545" s="5" t="s">
        <v>11</v>
      </c>
      <c r="G545" s="5" t="s">
        <v>37</v>
      </c>
      <c r="H545" s="3">
        <v>368</v>
      </c>
      <c r="I545" s="3">
        <v>0</v>
      </c>
      <c r="J545" s="4">
        <f t="shared" si="8"/>
        <v>0</v>
      </c>
    </row>
    <row r="546" spans="1:10">
      <c r="A546" s="2">
        <v>2026</v>
      </c>
      <c r="B546" s="2">
        <v>5</v>
      </c>
      <c r="C546" s="2" t="s">
        <v>18</v>
      </c>
      <c r="D546" s="2">
        <v>2</v>
      </c>
      <c r="E546" s="2">
        <v>1</v>
      </c>
      <c r="F546" s="5" t="s">
        <v>11</v>
      </c>
      <c r="G546" s="5" t="s">
        <v>37</v>
      </c>
      <c r="H546" s="3">
        <v>368</v>
      </c>
      <c r="I546" s="3">
        <v>23</v>
      </c>
      <c r="J546" s="4">
        <f t="shared" si="8"/>
        <v>6.25E-2</v>
      </c>
    </row>
    <row r="547" spans="1:10">
      <c r="A547" s="2">
        <v>2026</v>
      </c>
      <c r="B547" s="2">
        <v>6</v>
      </c>
      <c r="C547" s="2" t="s">
        <v>19</v>
      </c>
      <c r="D547" s="2">
        <v>2</v>
      </c>
      <c r="E547" s="2">
        <v>1</v>
      </c>
      <c r="F547" s="5" t="s">
        <v>11</v>
      </c>
      <c r="G547" s="5" t="s">
        <v>37</v>
      </c>
      <c r="H547" s="3">
        <v>368</v>
      </c>
      <c r="I547" s="3">
        <v>0</v>
      </c>
      <c r="J547" s="4">
        <f t="shared" si="8"/>
        <v>0</v>
      </c>
    </row>
    <row r="548" spans="1:10">
      <c r="A548" s="2">
        <v>2026</v>
      </c>
      <c r="B548" s="2">
        <v>7</v>
      </c>
      <c r="C548" s="2" t="s">
        <v>24</v>
      </c>
      <c r="D548" s="2">
        <v>3</v>
      </c>
      <c r="E548" s="2">
        <v>2</v>
      </c>
      <c r="F548" s="5" t="s">
        <v>11</v>
      </c>
      <c r="G548" s="5" t="s">
        <v>37</v>
      </c>
      <c r="H548" s="3">
        <v>368</v>
      </c>
      <c r="I548" s="3"/>
      <c r="J548" s="4" t="str">
        <f t="shared" si="8"/>
        <v/>
      </c>
    </row>
    <row r="549" spans="1:10">
      <c r="A549" s="2">
        <v>2026</v>
      </c>
      <c r="B549" s="2">
        <v>8</v>
      </c>
      <c r="C549" s="2" t="s">
        <v>32</v>
      </c>
      <c r="D549" s="2">
        <v>3</v>
      </c>
      <c r="E549" s="2">
        <v>2</v>
      </c>
      <c r="F549" s="5" t="s">
        <v>11</v>
      </c>
      <c r="G549" s="5" t="s">
        <v>37</v>
      </c>
      <c r="H549" s="3">
        <v>368</v>
      </c>
      <c r="I549" s="3"/>
      <c r="J549" s="4" t="str">
        <f t="shared" si="8"/>
        <v/>
      </c>
    </row>
    <row r="550" spans="1:10">
      <c r="A550" s="2">
        <v>2026</v>
      </c>
      <c r="B550" s="2">
        <v>9</v>
      </c>
      <c r="C550" s="2" t="s">
        <v>33</v>
      </c>
      <c r="D550" s="2">
        <v>3</v>
      </c>
      <c r="E550" s="2">
        <v>2</v>
      </c>
      <c r="F550" s="5" t="s">
        <v>11</v>
      </c>
      <c r="G550" s="5" t="s">
        <v>37</v>
      </c>
      <c r="H550" s="3">
        <v>368</v>
      </c>
      <c r="I550" s="3"/>
      <c r="J550" s="4" t="str">
        <f t="shared" si="8"/>
        <v/>
      </c>
    </row>
    <row r="551" spans="1:10">
      <c r="A551" s="2">
        <v>2026</v>
      </c>
      <c r="B551" s="2">
        <v>10</v>
      </c>
      <c r="C551" s="2" t="s">
        <v>34</v>
      </c>
      <c r="D551" s="2">
        <v>4</v>
      </c>
      <c r="E551" s="2">
        <v>2</v>
      </c>
      <c r="F551" s="5" t="s">
        <v>11</v>
      </c>
      <c r="G551" s="5" t="s">
        <v>37</v>
      </c>
      <c r="H551" s="3">
        <v>368</v>
      </c>
      <c r="I551" s="3"/>
      <c r="J551" s="4" t="str">
        <f t="shared" si="8"/>
        <v/>
      </c>
    </row>
    <row r="552" spans="1:10">
      <c r="A552" s="2">
        <v>2026</v>
      </c>
      <c r="B552" s="2">
        <v>11</v>
      </c>
      <c r="C552" s="2" t="s">
        <v>35</v>
      </c>
      <c r="D552" s="2">
        <v>4</v>
      </c>
      <c r="E552" s="2">
        <v>2</v>
      </c>
      <c r="F552" s="5" t="s">
        <v>11</v>
      </c>
      <c r="G552" s="5" t="s">
        <v>37</v>
      </c>
      <c r="H552" s="3">
        <v>368</v>
      </c>
      <c r="I552" s="3"/>
      <c r="J552" s="4" t="str">
        <f t="shared" si="8"/>
        <v/>
      </c>
    </row>
    <row r="553" spans="1:10">
      <c r="A553" s="2">
        <v>2026</v>
      </c>
      <c r="B553" s="2">
        <v>12</v>
      </c>
      <c r="C553" s="2" t="s">
        <v>36</v>
      </c>
      <c r="D553" s="2">
        <v>4</v>
      </c>
      <c r="E553" s="2">
        <v>2</v>
      </c>
      <c r="F553" s="5" t="s">
        <v>11</v>
      </c>
      <c r="G553" s="5" t="s">
        <v>37</v>
      </c>
      <c r="H553" s="3">
        <v>368</v>
      </c>
      <c r="I553" s="3"/>
      <c r="J553" s="4" t="str">
        <f t="shared" si="8"/>
        <v/>
      </c>
    </row>
    <row r="554" spans="1:10">
      <c r="A554" s="2">
        <v>2026</v>
      </c>
      <c r="B554" s="2">
        <v>1</v>
      </c>
      <c r="C554" s="2" t="s">
        <v>14</v>
      </c>
      <c r="D554" s="2">
        <v>1</v>
      </c>
      <c r="E554" s="2">
        <v>1</v>
      </c>
      <c r="F554" s="5" t="s">
        <v>12</v>
      </c>
      <c r="G554" s="5" t="s">
        <v>37</v>
      </c>
      <c r="H554" s="3">
        <v>157</v>
      </c>
      <c r="I554" s="3">
        <v>0</v>
      </c>
      <c r="J554" s="4">
        <f t="shared" si="8"/>
        <v>0</v>
      </c>
    </row>
    <row r="555" spans="1:10">
      <c r="A555" s="2">
        <v>2026</v>
      </c>
      <c r="B555" s="2">
        <v>2</v>
      </c>
      <c r="C555" s="2" t="s">
        <v>15</v>
      </c>
      <c r="D555" s="2">
        <v>1</v>
      </c>
      <c r="E555" s="2">
        <v>1</v>
      </c>
      <c r="F555" s="5" t="s">
        <v>12</v>
      </c>
      <c r="G555" s="5" t="s">
        <v>37</v>
      </c>
      <c r="H555" s="3">
        <v>157</v>
      </c>
      <c r="I555" s="3">
        <v>0</v>
      </c>
      <c r="J555" s="4">
        <f t="shared" si="8"/>
        <v>0</v>
      </c>
    </row>
    <row r="556" spans="1:10">
      <c r="A556" s="2">
        <v>2026</v>
      </c>
      <c r="B556" s="2">
        <v>3</v>
      </c>
      <c r="C556" s="2" t="s">
        <v>16</v>
      </c>
      <c r="D556" s="2">
        <v>1</v>
      </c>
      <c r="E556" s="2">
        <v>1</v>
      </c>
      <c r="F556" s="5" t="s">
        <v>12</v>
      </c>
      <c r="G556" s="5" t="s">
        <v>37</v>
      </c>
      <c r="H556" s="3">
        <v>157</v>
      </c>
      <c r="I556" s="3">
        <v>20</v>
      </c>
      <c r="J556" s="4">
        <f t="shared" si="8"/>
        <v>0.12738853503184713</v>
      </c>
    </row>
    <row r="557" spans="1:10">
      <c r="A557" s="2">
        <v>2026</v>
      </c>
      <c r="B557" s="2">
        <v>4</v>
      </c>
      <c r="C557" s="2" t="s">
        <v>17</v>
      </c>
      <c r="D557" s="2">
        <v>2</v>
      </c>
      <c r="E557" s="2">
        <v>1</v>
      </c>
      <c r="F557" s="5" t="s">
        <v>12</v>
      </c>
      <c r="G557" s="5" t="s">
        <v>37</v>
      </c>
      <c r="H557" s="3">
        <v>157</v>
      </c>
      <c r="I557" s="3">
        <v>0</v>
      </c>
      <c r="J557" s="4">
        <f t="shared" si="8"/>
        <v>0</v>
      </c>
    </row>
    <row r="558" spans="1:10">
      <c r="A558" s="2">
        <v>2026</v>
      </c>
      <c r="B558" s="2">
        <v>5</v>
      </c>
      <c r="C558" s="2" t="s">
        <v>18</v>
      </c>
      <c r="D558" s="2">
        <v>2</v>
      </c>
      <c r="E558" s="2">
        <v>1</v>
      </c>
      <c r="F558" s="5" t="s">
        <v>12</v>
      </c>
      <c r="G558" s="5" t="s">
        <v>37</v>
      </c>
      <c r="H558" s="3">
        <v>157</v>
      </c>
      <c r="I558" s="3">
        <v>0</v>
      </c>
      <c r="J558" s="4">
        <f t="shared" si="8"/>
        <v>0</v>
      </c>
    </row>
    <row r="559" spans="1:10">
      <c r="A559" s="2">
        <v>2026</v>
      </c>
      <c r="B559" s="2">
        <v>6</v>
      </c>
      <c r="C559" s="2" t="s">
        <v>19</v>
      </c>
      <c r="D559" s="2">
        <v>2</v>
      </c>
      <c r="E559" s="2">
        <v>1</v>
      </c>
      <c r="F559" s="5" t="s">
        <v>12</v>
      </c>
      <c r="G559" s="5" t="s">
        <v>37</v>
      </c>
      <c r="H559" s="3">
        <v>157</v>
      </c>
      <c r="I559" s="3">
        <v>21</v>
      </c>
      <c r="J559" s="4">
        <f t="shared" si="8"/>
        <v>0.13375796178343949</v>
      </c>
    </row>
    <row r="560" spans="1:10">
      <c r="A560" s="2">
        <v>2026</v>
      </c>
      <c r="B560" s="2">
        <v>7</v>
      </c>
      <c r="C560" s="2" t="s">
        <v>24</v>
      </c>
      <c r="D560" s="2">
        <v>3</v>
      </c>
      <c r="E560" s="2">
        <v>2</v>
      </c>
      <c r="F560" s="5" t="s">
        <v>12</v>
      </c>
      <c r="G560" s="5" t="s">
        <v>37</v>
      </c>
      <c r="H560" s="3">
        <v>157</v>
      </c>
      <c r="I560" s="3"/>
      <c r="J560" s="4" t="str">
        <f t="shared" si="8"/>
        <v/>
      </c>
    </row>
    <row r="561" spans="1:10">
      <c r="A561" s="2">
        <v>2026</v>
      </c>
      <c r="B561" s="2">
        <v>8</v>
      </c>
      <c r="C561" s="2" t="s">
        <v>32</v>
      </c>
      <c r="D561" s="2">
        <v>3</v>
      </c>
      <c r="E561" s="2">
        <v>2</v>
      </c>
      <c r="F561" s="5" t="s">
        <v>12</v>
      </c>
      <c r="G561" s="5" t="s">
        <v>37</v>
      </c>
      <c r="H561" s="3">
        <v>157</v>
      </c>
      <c r="I561" s="3"/>
      <c r="J561" s="4" t="str">
        <f t="shared" si="8"/>
        <v/>
      </c>
    </row>
    <row r="562" spans="1:10">
      <c r="A562" s="2">
        <v>2026</v>
      </c>
      <c r="B562" s="2">
        <v>9</v>
      </c>
      <c r="C562" s="2" t="s">
        <v>33</v>
      </c>
      <c r="D562" s="2">
        <v>3</v>
      </c>
      <c r="E562" s="2">
        <v>2</v>
      </c>
      <c r="F562" s="5" t="s">
        <v>12</v>
      </c>
      <c r="G562" s="5" t="s">
        <v>37</v>
      </c>
      <c r="H562" s="3">
        <v>157</v>
      </c>
      <c r="I562" s="3"/>
      <c r="J562" s="4" t="str">
        <f t="shared" si="8"/>
        <v/>
      </c>
    </row>
    <row r="563" spans="1:10">
      <c r="A563" s="2">
        <v>2026</v>
      </c>
      <c r="B563" s="2">
        <v>10</v>
      </c>
      <c r="C563" s="2" t="s">
        <v>34</v>
      </c>
      <c r="D563" s="2">
        <v>4</v>
      </c>
      <c r="E563" s="2">
        <v>2</v>
      </c>
      <c r="F563" s="5" t="s">
        <v>12</v>
      </c>
      <c r="G563" s="5" t="s">
        <v>37</v>
      </c>
      <c r="H563" s="3">
        <v>157</v>
      </c>
      <c r="I563" s="3"/>
      <c r="J563" s="4" t="str">
        <f t="shared" si="8"/>
        <v/>
      </c>
    </row>
    <row r="564" spans="1:10">
      <c r="A564" s="2">
        <v>2026</v>
      </c>
      <c r="B564" s="2">
        <v>11</v>
      </c>
      <c r="C564" s="2" t="s">
        <v>35</v>
      </c>
      <c r="D564" s="2">
        <v>4</v>
      </c>
      <c r="E564" s="2">
        <v>2</v>
      </c>
      <c r="F564" s="5" t="s">
        <v>12</v>
      </c>
      <c r="G564" s="5" t="s">
        <v>37</v>
      </c>
      <c r="H564" s="3">
        <v>157</v>
      </c>
      <c r="I564" s="3"/>
      <c r="J564" s="4" t="str">
        <f t="shared" si="8"/>
        <v/>
      </c>
    </row>
    <row r="565" spans="1:10">
      <c r="A565" s="2">
        <v>2026</v>
      </c>
      <c r="B565" s="2">
        <v>12</v>
      </c>
      <c r="C565" s="2" t="s">
        <v>36</v>
      </c>
      <c r="D565" s="2">
        <v>4</v>
      </c>
      <c r="E565" s="2">
        <v>2</v>
      </c>
      <c r="F565" s="5" t="s">
        <v>12</v>
      </c>
      <c r="G565" s="5" t="s">
        <v>37</v>
      </c>
      <c r="H565" s="3">
        <v>157</v>
      </c>
      <c r="I565" s="3"/>
      <c r="J565" s="4" t="str">
        <f t="shared" si="8"/>
        <v/>
      </c>
    </row>
    <row r="566" spans="1:10">
      <c r="A566" s="2">
        <v>2026</v>
      </c>
      <c r="B566" s="2">
        <v>1</v>
      </c>
      <c r="C566" s="2" t="s">
        <v>14</v>
      </c>
      <c r="D566" s="2">
        <v>1</v>
      </c>
      <c r="E566" s="2">
        <v>1</v>
      </c>
      <c r="F566" s="5" t="s">
        <v>13</v>
      </c>
      <c r="G566" s="5" t="s">
        <v>37</v>
      </c>
      <c r="H566" s="3">
        <v>64</v>
      </c>
      <c r="I566" s="3">
        <v>0</v>
      </c>
      <c r="J566" s="4">
        <f t="shared" si="8"/>
        <v>0</v>
      </c>
    </row>
    <row r="567" spans="1:10">
      <c r="A567" s="2">
        <v>2026</v>
      </c>
      <c r="B567" s="2">
        <v>2</v>
      </c>
      <c r="C567" s="2" t="s">
        <v>15</v>
      </c>
      <c r="D567" s="2">
        <v>1</v>
      </c>
      <c r="E567" s="2">
        <v>1</v>
      </c>
      <c r="F567" s="5" t="s">
        <v>13</v>
      </c>
      <c r="G567" s="5" t="s">
        <v>37</v>
      </c>
      <c r="H567" s="3">
        <v>64</v>
      </c>
      <c r="I567" s="3">
        <v>0</v>
      </c>
      <c r="J567" s="4">
        <f t="shared" si="8"/>
        <v>0</v>
      </c>
    </row>
    <row r="568" spans="1:10">
      <c r="A568" s="2">
        <v>2026</v>
      </c>
      <c r="B568" s="2">
        <v>3</v>
      </c>
      <c r="C568" s="2" t="s">
        <v>16</v>
      </c>
      <c r="D568" s="2">
        <v>1</v>
      </c>
      <c r="E568" s="2">
        <v>1</v>
      </c>
      <c r="F568" s="5" t="s">
        <v>13</v>
      </c>
      <c r="G568" s="5" t="s">
        <v>37</v>
      </c>
      <c r="H568" s="3">
        <v>64</v>
      </c>
      <c r="I568" s="3">
        <v>0</v>
      </c>
      <c r="J568" s="4">
        <f t="shared" si="8"/>
        <v>0</v>
      </c>
    </row>
    <row r="569" spans="1:10">
      <c r="A569" s="2">
        <v>2026</v>
      </c>
      <c r="B569" s="2">
        <v>4</v>
      </c>
      <c r="C569" s="2" t="s">
        <v>17</v>
      </c>
      <c r="D569" s="2">
        <v>2</v>
      </c>
      <c r="E569" s="2">
        <v>1</v>
      </c>
      <c r="F569" s="5" t="s">
        <v>13</v>
      </c>
      <c r="G569" s="5" t="s">
        <v>37</v>
      </c>
      <c r="H569" s="3">
        <v>64</v>
      </c>
      <c r="I569" s="3">
        <v>0</v>
      </c>
      <c r="J569" s="4">
        <f t="shared" si="8"/>
        <v>0</v>
      </c>
    </row>
    <row r="570" spans="1:10">
      <c r="A570" s="2">
        <v>2026</v>
      </c>
      <c r="B570" s="2">
        <v>5</v>
      </c>
      <c r="C570" s="2" t="s">
        <v>18</v>
      </c>
      <c r="D570" s="2">
        <v>2</v>
      </c>
      <c r="E570" s="2">
        <v>1</v>
      </c>
      <c r="F570" s="5" t="s">
        <v>13</v>
      </c>
      <c r="G570" s="5" t="s">
        <v>37</v>
      </c>
      <c r="H570" s="3">
        <v>64</v>
      </c>
      <c r="I570" s="3">
        <v>0</v>
      </c>
      <c r="J570" s="4">
        <f t="shared" si="8"/>
        <v>0</v>
      </c>
    </row>
    <row r="571" spans="1:10">
      <c r="A571" s="2">
        <v>2026</v>
      </c>
      <c r="B571" s="2">
        <v>6</v>
      </c>
      <c r="C571" s="2" t="s">
        <v>19</v>
      </c>
      <c r="D571" s="2">
        <v>2</v>
      </c>
      <c r="E571" s="2">
        <v>1</v>
      </c>
      <c r="F571" s="5" t="s">
        <v>13</v>
      </c>
      <c r="G571" s="5" t="s">
        <v>37</v>
      </c>
      <c r="H571" s="3">
        <v>64</v>
      </c>
      <c r="I571" s="3">
        <v>0</v>
      </c>
      <c r="J571" s="4">
        <f t="shared" si="8"/>
        <v>0</v>
      </c>
    </row>
    <row r="572" spans="1:10">
      <c r="A572" s="2">
        <v>2026</v>
      </c>
      <c r="B572" s="2">
        <v>7</v>
      </c>
      <c r="C572" s="2" t="s">
        <v>24</v>
      </c>
      <c r="D572" s="2">
        <v>3</v>
      </c>
      <c r="E572" s="2">
        <v>2</v>
      </c>
      <c r="F572" s="5" t="s">
        <v>13</v>
      </c>
      <c r="G572" s="5" t="s">
        <v>37</v>
      </c>
      <c r="H572" s="3">
        <v>64</v>
      </c>
      <c r="I572" s="3"/>
      <c r="J572" s="4" t="str">
        <f t="shared" si="8"/>
        <v/>
      </c>
    </row>
    <row r="573" spans="1:10">
      <c r="A573" s="2">
        <v>2026</v>
      </c>
      <c r="B573" s="2">
        <v>8</v>
      </c>
      <c r="C573" s="2" t="s">
        <v>32</v>
      </c>
      <c r="D573" s="2">
        <v>3</v>
      </c>
      <c r="E573" s="2">
        <v>2</v>
      </c>
      <c r="F573" s="5" t="s">
        <v>13</v>
      </c>
      <c r="G573" s="5" t="s">
        <v>37</v>
      </c>
      <c r="H573" s="3">
        <v>64</v>
      </c>
      <c r="I573" s="3"/>
      <c r="J573" s="4" t="str">
        <f t="shared" si="8"/>
        <v/>
      </c>
    </row>
    <row r="574" spans="1:10">
      <c r="A574" s="2">
        <v>2026</v>
      </c>
      <c r="B574" s="2">
        <v>9</v>
      </c>
      <c r="C574" s="2" t="s">
        <v>33</v>
      </c>
      <c r="D574" s="2">
        <v>3</v>
      </c>
      <c r="E574" s="2">
        <v>2</v>
      </c>
      <c r="F574" s="5" t="s">
        <v>13</v>
      </c>
      <c r="G574" s="5" t="s">
        <v>37</v>
      </c>
      <c r="H574" s="3">
        <v>64</v>
      </c>
      <c r="I574" s="3"/>
      <c r="J574" s="4" t="str">
        <f t="shared" si="8"/>
        <v/>
      </c>
    </row>
    <row r="575" spans="1:10">
      <c r="A575" s="2">
        <v>2026</v>
      </c>
      <c r="B575" s="2">
        <v>10</v>
      </c>
      <c r="C575" s="2" t="s">
        <v>34</v>
      </c>
      <c r="D575" s="2">
        <v>4</v>
      </c>
      <c r="E575" s="2">
        <v>2</v>
      </c>
      <c r="F575" s="5" t="s">
        <v>13</v>
      </c>
      <c r="G575" s="5" t="s">
        <v>37</v>
      </c>
      <c r="H575" s="3">
        <v>64</v>
      </c>
      <c r="I575" s="3"/>
      <c r="J575" s="4" t="str">
        <f t="shared" si="8"/>
        <v/>
      </c>
    </row>
    <row r="576" spans="1:10">
      <c r="A576" s="2">
        <v>2026</v>
      </c>
      <c r="B576" s="2">
        <v>11</v>
      </c>
      <c r="C576" s="2" t="s">
        <v>35</v>
      </c>
      <c r="D576" s="2">
        <v>4</v>
      </c>
      <c r="E576" s="2">
        <v>2</v>
      </c>
      <c r="F576" s="5" t="s">
        <v>13</v>
      </c>
      <c r="G576" s="5" t="s">
        <v>37</v>
      </c>
      <c r="H576" s="3">
        <v>64</v>
      </c>
      <c r="I576" s="3"/>
      <c r="J576" s="4" t="str">
        <f t="shared" si="8"/>
        <v/>
      </c>
    </row>
    <row r="577" spans="1:10">
      <c r="A577" s="2">
        <v>2026</v>
      </c>
      <c r="B577" s="2">
        <v>12</v>
      </c>
      <c r="C577" s="2" t="s">
        <v>36</v>
      </c>
      <c r="D577" s="2">
        <v>4</v>
      </c>
      <c r="E577" s="2">
        <v>2</v>
      </c>
      <c r="F577" s="5" t="s">
        <v>13</v>
      </c>
      <c r="G577" s="5" t="s">
        <v>37</v>
      </c>
      <c r="H577" s="3">
        <v>64</v>
      </c>
      <c r="I577" s="3"/>
      <c r="J577" s="4" t="str">
        <f t="shared" si="8"/>
        <v/>
      </c>
    </row>
  </sheetData>
  <dataValidations count="1">
    <dataValidation sqref="B2:B577" xr:uid="{00000000-0002-0000-0D00-000000000000}">
      <formula1>1</formula1>
      <formula2>12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0A44-94B1-44F9-95D9-3CAA87FBFB15}">
  <sheetPr>
    <outlinePr summaryBelow="0" summaryRight="0"/>
  </sheetPr>
  <dimension ref="A1:P70"/>
  <sheetViews>
    <sheetView topLeftCell="A40" zoomScale="79" workbookViewId="0">
      <selection activeCell="D6" sqref="D6"/>
    </sheetView>
  </sheetViews>
  <sheetFormatPr defaultColWidth="12.5703125" defaultRowHeight="15.75" customHeight="1"/>
  <cols>
    <col min="1" max="1" width="12.5703125" style="6"/>
    <col min="2" max="2" width="8.85546875" style="6" customWidth="1"/>
    <col min="3" max="3" width="14.85546875" style="6" customWidth="1"/>
    <col min="4" max="4" width="18.42578125" style="6" customWidth="1"/>
    <col min="5" max="5" width="16.85546875" style="6" customWidth="1"/>
    <col min="6" max="6" width="15.42578125" style="6" customWidth="1"/>
    <col min="7" max="7" width="14" style="6" customWidth="1"/>
    <col min="8" max="8" width="14.5703125" style="6" customWidth="1"/>
    <col min="9" max="9" width="16.42578125" style="6" customWidth="1"/>
    <col min="10" max="12" width="14.140625" style="6" customWidth="1"/>
    <col min="13" max="15" width="16.7109375" style="6" customWidth="1"/>
    <col min="16" max="16" width="18.7109375" style="6" customWidth="1"/>
    <col min="17" max="16384" width="12.5703125" style="6"/>
  </cols>
  <sheetData>
    <row r="1" spans="1:16" ht="15.75" customHeight="1">
      <c r="A1" s="6" t="s">
        <v>38</v>
      </c>
    </row>
    <row r="2" spans="1:16" ht="15.75" customHeight="1">
      <c r="A2" s="7"/>
      <c r="B2" s="90" t="s">
        <v>39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spans="1:16" ht="15.75" customHeight="1">
      <c r="A3" s="7"/>
      <c r="B3" s="92" t="s">
        <v>40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</row>
    <row r="4" spans="1:16" ht="14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93" t="s">
        <v>41</v>
      </c>
      <c r="C5" s="93" t="s">
        <v>0</v>
      </c>
      <c r="D5" s="94" t="s">
        <v>42</v>
      </c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</row>
    <row r="6" spans="1:16" ht="34.5" customHeight="1">
      <c r="A6" s="7"/>
      <c r="B6" s="93"/>
      <c r="C6" s="93"/>
      <c r="D6" s="8" t="s">
        <v>1</v>
      </c>
      <c r="E6" s="9" t="s">
        <v>43</v>
      </c>
      <c r="F6" s="10" t="s">
        <v>44</v>
      </c>
      <c r="G6" s="10" t="s">
        <v>45</v>
      </c>
      <c r="H6" s="10" t="s">
        <v>46</v>
      </c>
      <c r="I6" s="10" t="s">
        <v>47</v>
      </c>
      <c r="J6" s="11" t="s">
        <v>48</v>
      </c>
      <c r="K6" s="11" t="s">
        <v>49</v>
      </c>
      <c r="L6" s="11" t="s">
        <v>50</v>
      </c>
      <c r="M6" s="10" t="s">
        <v>51</v>
      </c>
      <c r="N6" s="10" t="s">
        <v>52</v>
      </c>
      <c r="O6" s="10" t="s">
        <v>53</v>
      </c>
      <c r="P6" s="10" t="s">
        <v>54</v>
      </c>
    </row>
    <row r="7" spans="1:16" ht="15">
      <c r="A7" s="7"/>
      <c r="B7" s="12">
        <v>1</v>
      </c>
      <c r="C7" s="13" t="s">
        <v>2</v>
      </c>
      <c r="D7" s="14">
        <v>8998</v>
      </c>
      <c r="E7" s="15">
        <v>15</v>
      </c>
      <c r="F7" s="15">
        <v>58</v>
      </c>
      <c r="G7" s="15">
        <v>46</v>
      </c>
      <c r="H7" s="16">
        <f t="shared" ref="H7:H19" si="0">SUM(E7:G7)</f>
        <v>119</v>
      </c>
      <c r="I7" s="17">
        <f>H7/D7</f>
        <v>1.3225161146921538E-2</v>
      </c>
      <c r="J7" s="15">
        <v>222</v>
      </c>
      <c r="K7" s="15">
        <v>295</v>
      </c>
      <c r="L7" s="15">
        <v>481</v>
      </c>
      <c r="M7" s="18">
        <f>SUM(J7:L7)</f>
        <v>998</v>
      </c>
      <c r="N7" s="17">
        <f>M7/D7*100</f>
        <v>11.091353634140919</v>
      </c>
      <c r="O7" s="18">
        <f>H7+M7</f>
        <v>1117</v>
      </c>
      <c r="P7" s="17">
        <f>O7/D7*100</f>
        <v>12.413869748833074</v>
      </c>
    </row>
    <row r="8" spans="1:16" ht="15">
      <c r="A8" s="7"/>
      <c r="B8" s="16">
        <v>2</v>
      </c>
      <c r="C8" s="13" t="s">
        <v>3</v>
      </c>
      <c r="D8" s="14">
        <v>3234</v>
      </c>
      <c r="E8" s="15">
        <v>112</v>
      </c>
      <c r="F8" s="15">
        <v>244</v>
      </c>
      <c r="G8" s="15">
        <v>120</v>
      </c>
      <c r="H8" s="16">
        <f t="shared" si="0"/>
        <v>476</v>
      </c>
      <c r="I8" s="17">
        <f t="shared" ref="I8:I17" si="1">H8/D8</f>
        <v>0.1471861471861472</v>
      </c>
      <c r="J8" s="15">
        <v>133</v>
      </c>
      <c r="K8" s="15">
        <v>117</v>
      </c>
      <c r="L8" s="15">
        <v>214</v>
      </c>
      <c r="M8" s="18">
        <f t="shared" ref="M8:M18" si="2">SUM(J8:L8)</f>
        <v>464</v>
      </c>
      <c r="N8" s="17">
        <f t="shared" ref="N8:N18" si="3">M8/D8*100</f>
        <v>14.347557204700061</v>
      </c>
      <c r="O8" s="18">
        <f t="shared" ref="O8:O18" si="4">H8+M8</f>
        <v>940</v>
      </c>
      <c r="P8" s="17">
        <f t="shared" ref="P8:P18" si="5">O8/D8*100</f>
        <v>29.066171923314783</v>
      </c>
    </row>
    <row r="9" spans="1:16" ht="15">
      <c r="A9" s="7"/>
      <c r="B9" s="16">
        <v>3</v>
      </c>
      <c r="C9" s="13" t="s">
        <v>4</v>
      </c>
      <c r="D9" s="14">
        <v>5429</v>
      </c>
      <c r="E9" s="15">
        <v>107</v>
      </c>
      <c r="F9" s="15">
        <v>105</v>
      </c>
      <c r="G9" s="15">
        <v>86</v>
      </c>
      <c r="H9" s="16">
        <f t="shared" si="0"/>
        <v>298</v>
      </c>
      <c r="I9" s="17">
        <f t="shared" si="1"/>
        <v>5.4890403389206116E-2</v>
      </c>
      <c r="J9" s="15">
        <v>129</v>
      </c>
      <c r="K9" s="15">
        <v>90</v>
      </c>
      <c r="L9" s="15">
        <v>117</v>
      </c>
      <c r="M9" s="18">
        <f t="shared" si="2"/>
        <v>336</v>
      </c>
      <c r="N9" s="17">
        <f t="shared" si="3"/>
        <v>6.1889850801252528</v>
      </c>
      <c r="O9" s="18">
        <f t="shared" si="4"/>
        <v>634</v>
      </c>
      <c r="P9" s="17">
        <f t="shared" si="5"/>
        <v>11.678025419045865</v>
      </c>
    </row>
    <row r="10" spans="1:16" ht="15">
      <c r="A10" s="7"/>
      <c r="B10" s="16">
        <v>4</v>
      </c>
      <c r="C10" s="13" t="s">
        <v>5</v>
      </c>
      <c r="D10" s="14">
        <v>3480</v>
      </c>
      <c r="E10" s="15">
        <v>14</v>
      </c>
      <c r="F10" s="15">
        <v>42</v>
      </c>
      <c r="G10" s="15">
        <v>16</v>
      </c>
      <c r="H10" s="16">
        <f t="shared" si="0"/>
        <v>72</v>
      </c>
      <c r="I10" s="17">
        <f t="shared" si="1"/>
        <v>2.0689655172413793E-2</v>
      </c>
      <c r="J10" s="15">
        <v>148</v>
      </c>
      <c r="K10" s="15">
        <v>231</v>
      </c>
      <c r="L10" s="15">
        <v>618</v>
      </c>
      <c r="M10" s="18">
        <f t="shared" si="2"/>
        <v>997</v>
      </c>
      <c r="N10" s="17">
        <f t="shared" si="3"/>
        <v>28.649425287356323</v>
      </c>
      <c r="O10" s="18">
        <f t="shared" si="4"/>
        <v>1069</v>
      </c>
      <c r="P10" s="17">
        <f t="shared" si="5"/>
        <v>30.7183908045977</v>
      </c>
    </row>
    <row r="11" spans="1:16" ht="15">
      <c r="A11" s="7"/>
      <c r="B11" s="16">
        <v>5</v>
      </c>
      <c r="C11" s="13" t="s">
        <v>6</v>
      </c>
      <c r="D11" s="14">
        <v>5856</v>
      </c>
      <c r="E11" s="15">
        <v>475</v>
      </c>
      <c r="F11" s="15">
        <v>198</v>
      </c>
      <c r="G11" s="15">
        <v>139</v>
      </c>
      <c r="H11" s="16">
        <f t="shared" si="0"/>
        <v>812</v>
      </c>
      <c r="I11" s="17">
        <f t="shared" si="1"/>
        <v>0.13866120218579234</v>
      </c>
      <c r="J11" s="15">
        <v>228</v>
      </c>
      <c r="K11" s="15">
        <v>204</v>
      </c>
      <c r="L11" s="15">
        <v>113</v>
      </c>
      <c r="M11" s="18">
        <f t="shared" si="2"/>
        <v>545</v>
      </c>
      <c r="N11" s="17">
        <f t="shared" si="3"/>
        <v>9.3066939890710376</v>
      </c>
      <c r="O11" s="18">
        <f t="shared" si="4"/>
        <v>1357</v>
      </c>
      <c r="P11" s="17">
        <f t="shared" si="5"/>
        <v>23.172814207650273</v>
      </c>
    </row>
    <row r="12" spans="1:16" ht="15">
      <c r="A12" s="7"/>
      <c r="B12" s="16">
        <v>6</v>
      </c>
      <c r="C12" s="13" t="s">
        <v>7</v>
      </c>
      <c r="D12" s="14">
        <v>19105</v>
      </c>
      <c r="E12" s="15">
        <v>1120</v>
      </c>
      <c r="F12" s="15">
        <v>778</v>
      </c>
      <c r="G12" s="15">
        <v>843</v>
      </c>
      <c r="H12" s="16">
        <f t="shared" si="0"/>
        <v>2741</v>
      </c>
      <c r="I12" s="17">
        <f t="shared" si="1"/>
        <v>0.14347029573410103</v>
      </c>
      <c r="J12" s="15">
        <v>770</v>
      </c>
      <c r="K12" s="15">
        <v>535</v>
      </c>
      <c r="L12" s="15">
        <v>943</v>
      </c>
      <c r="M12" s="18">
        <f t="shared" si="2"/>
        <v>2248</v>
      </c>
      <c r="N12" s="17">
        <f t="shared" si="3"/>
        <v>11.766553258309344</v>
      </c>
      <c r="O12" s="18">
        <f t="shared" si="4"/>
        <v>4989</v>
      </c>
      <c r="P12" s="17">
        <f t="shared" si="5"/>
        <v>26.113582831719444</v>
      </c>
    </row>
    <row r="13" spans="1:16" ht="15">
      <c r="A13" s="7"/>
      <c r="B13" s="16">
        <v>7</v>
      </c>
      <c r="C13" s="13" t="s">
        <v>8</v>
      </c>
      <c r="D13" s="14">
        <v>3923</v>
      </c>
      <c r="E13" s="15">
        <v>48</v>
      </c>
      <c r="F13" s="15">
        <v>70</v>
      </c>
      <c r="G13" s="15">
        <v>231</v>
      </c>
      <c r="H13" s="16">
        <f t="shared" si="0"/>
        <v>349</v>
      </c>
      <c r="I13" s="17">
        <f t="shared" si="1"/>
        <v>8.8962528677032887E-2</v>
      </c>
      <c r="J13" s="15">
        <v>257</v>
      </c>
      <c r="K13" s="15">
        <v>311</v>
      </c>
      <c r="L13" s="15">
        <v>55</v>
      </c>
      <c r="M13" s="18">
        <f t="shared" si="2"/>
        <v>623</v>
      </c>
      <c r="N13" s="17">
        <f t="shared" si="3"/>
        <v>15.880703543206728</v>
      </c>
      <c r="O13" s="18">
        <f t="shared" si="4"/>
        <v>972</v>
      </c>
      <c r="P13" s="17">
        <f t="shared" si="5"/>
        <v>24.776956410910017</v>
      </c>
    </row>
    <row r="14" spans="1:16" ht="15">
      <c r="A14" s="7"/>
      <c r="B14" s="16">
        <v>8</v>
      </c>
      <c r="C14" s="13" t="s">
        <v>9</v>
      </c>
      <c r="D14" s="14">
        <v>10052</v>
      </c>
      <c r="E14" s="15">
        <v>114</v>
      </c>
      <c r="F14" s="15">
        <v>106</v>
      </c>
      <c r="G14" s="15">
        <v>148</v>
      </c>
      <c r="H14" s="16">
        <f t="shared" si="0"/>
        <v>368</v>
      </c>
      <c r="I14" s="17">
        <f t="shared" si="1"/>
        <v>3.6609629924393157E-2</v>
      </c>
      <c r="J14" s="15">
        <v>941</v>
      </c>
      <c r="K14" s="15">
        <v>122</v>
      </c>
      <c r="L14" s="15">
        <v>122</v>
      </c>
      <c r="M14" s="18">
        <f t="shared" si="2"/>
        <v>1185</v>
      </c>
      <c r="N14" s="17">
        <f t="shared" si="3"/>
        <v>11.788698766414644</v>
      </c>
      <c r="O14" s="18">
        <f t="shared" si="4"/>
        <v>1553</v>
      </c>
      <c r="P14" s="17">
        <f t="shared" si="5"/>
        <v>15.449661758853958</v>
      </c>
    </row>
    <row r="15" spans="1:16" ht="15">
      <c r="A15" s="7"/>
      <c r="B15" s="16">
        <v>9</v>
      </c>
      <c r="C15" s="13" t="s">
        <v>10</v>
      </c>
      <c r="D15" s="14">
        <v>7502</v>
      </c>
      <c r="E15" s="15">
        <v>0</v>
      </c>
      <c r="F15" s="15">
        <v>1493</v>
      </c>
      <c r="G15" s="15">
        <v>15</v>
      </c>
      <c r="H15" s="16">
        <f t="shared" si="0"/>
        <v>1508</v>
      </c>
      <c r="I15" s="17">
        <f t="shared" si="1"/>
        <v>0.20101306318315115</v>
      </c>
      <c r="J15" s="15">
        <v>1082</v>
      </c>
      <c r="K15" s="15">
        <v>980</v>
      </c>
      <c r="L15" s="15">
        <v>587</v>
      </c>
      <c r="M15" s="18">
        <f t="shared" si="2"/>
        <v>2649</v>
      </c>
      <c r="N15" s="17">
        <f t="shared" si="3"/>
        <v>35.310583844308184</v>
      </c>
      <c r="O15" s="18">
        <f t="shared" si="4"/>
        <v>4157</v>
      </c>
      <c r="P15" s="17">
        <f t="shared" si="5"/>
        <v>55.411890162623301</v>
      </c>
    </row>
    <row r="16" spans="1:16" ht="15">
      <c r="A16" s="7"/>
      <c r="B16" s="16">
        <v>10</v>
      </c>
      <c r="C16" s="13" t="s">
        <v>11</v>
      </c>
      <c r="D16" s="14">
        <v>16392</v>
      </c>
      <c r="E16" s="15">
        <v>138</v>
      </c>
      <c r="F16" s="15">
        <v>108</v>
      </c>
      <c r="G16" s="15">
        <v>121</v>
      </c>
      <c r="H16" s="16">
        <f t="shared" si="0"/>
        <v>367</v>
      </c>
      <c r="I16" s="17">
        <f t="shared" si="1"/>
        <v>2.2388970229380186E-2</v>
      </c>
      <c r="J16" s="15">
        <v>1218</v>
      </c>
      <c r="K16" s="15">
        <v>342</v>
      </c>
      <c r="L16" s="15">
        <v>13</v>
      </c>
      <c r="M16" s="18">
        <f t="shared" si="2"/>
        <v>1573</v>
      </c>
      <c r="N16" s="17">
        <f t="shared" si="3"/>
        <v>9.5961444607125426</v>
      </c>
      <c r="O16" s="18">
        <f t="shared" si="4"/>
        <v>1940</v>
      </c>
      <c r="P16" s="17">
        <f t="shared" si="5"/>
        <v>11.835041483650562</v>
      </c>
    </row>
    <row r="17" spans="1:16" ht="15">
      <c r="A17" s="7"/>
      <c r="B17" s="16">
        <v>11</v>
      </c>
      <c r="C17" s="13" t="s">
        <v>12</v>
      </c>
      <c r="D17" s="14">
        <v>6154</v>
      </c>
      <c r="E17" s="15">
        <v>302</v>
      </c>
      <c r="F17" s="15">
        <v>273</v>
      </c>
      <c r="G17" s="15">
        <v>373</v>
      </c>
      <c r="H17" s="16">
        <f t="shared" si="0"/>
        <v>948</v>
      </c>
      <c r="I17" s="17">
        <f t="shared" si="1"/>
        <v>0.15404614884627885</v>
      </c>
      <c r="J17" s="15">
        <v>261</v>
      </c>
      <c r="K17" s="15">
        <v>172</v>
      </c>
      <c r="L17" s="15">
        <v>157</v>
      </c>
      <c r="M17" s="18">
        <f t="shared" si="2"/>
        <v>590</v>
      </c>
      <c r="N17" s="17">
        <f t="shared" si="3"/>
        <v>9.5872603184920369</v>
      </c>
      <c r="O17" s="18">
        <f t="shared" si="4"/>
        <v>1538</v>
      </c>
      <c r="P17" s="17">
        <f t="shared" si="5"/>
        <v>24.991875203119925</v>
      </c>
    </row>
    <row r="18" spans="1:16" ht="15">
      <c r="A18" s="7"/>
      <c r="B18" s="16">
        <v>12</v>
      </c>
      <c r="C18" s="13" t="s">
        <v>13</v>
      </c>
      <c r="D18" s="14">
        <v>2274</v>
      </c>
      <c r="E18" s="15">
        <v>66</v>
      </c>
      <c r="F18" s="15">
        <v>15</v>
      </c>
      <c r="G18" s="15">
        <v>22</v>
      </c>
      <c r="H18" s="16">
        <f t="shared" si="0"/>
        <v>103</v>
      </c>
      <c r="I18" s="17">
        <f>H18/D18</f>
        <v>4.5294635004397538E-2</v>
      </c>
      <c r="J18" s="15">
        <v>25</v>
      </c>
      <c r="K18" s="15">
        <v>22</v>
      </c>
      <c r="L18" s="15">
        <v>20</v>
      </c>
      <c r="M18" s="18">
        <f t="shared" si="2"/>
        <v>67</v>
      </c>
      <c r="N18" s="17">
        <f t="shared" si="3"/>
        <v>2.9463500439753738</v>
      </c>
      <c r="O18" s="18">
        <f t="shared" si="4"/>
        <v>170</v>
      </c>
      <c r="P18" s="17">
        <f t="shared" si="5"/>
        <v>7.4758135444151277</v>
      </c>
    </row>
    <row r="19" spans="1:16">
      <c r="A19" s="7"/>
      <c r="B19" s="19"/>
      <c r="C19" s="20" t="s">
        <v>55</v>
      </c>
      <c r="D19" s="21">
        <f>SUM(D7:D18)</f>
        <v>92399</v>
      </c>
      <c r="E19" s="22">
        <f t="shared" ref="E19:G19" si="6">SUM(E7:E18)</f>
        <v>2511</v>
      </c>
      <c r="F19" s="22">
        <f t="shared" si="6"/>
        <v>3490</v>
      </c>
      <c r="G19" s="22">
        <f t="shared" si="6"/>
        <v>2160</v>
      </c>
      <c r="H19" s="23">
        <f t="shared" si="0"/>
        <v>8161</v>
      </c>
      <c r="I19" s="24">
        <f>H19/D19*100</f>
        <v>8.8323466704185112</v>
      </c>
      <c r="J19" s="25">
        <f t="shared" ref="J19:L19" si="7">SUM(J7:J18)</f>
        <v>5414</v>
      </c>
      <c r="K19" s="25">
        <f t="shared" si="7"/>
        <v>3421</v>
      </c>
      <c r="L19" s="25">
        <f t="shared" si="7"/>
        <v>3440</v>
      </c>
      <c r="M19" s="26">
        <f>SUM(J19:L19)</f>
        <v>12275</v>
      </c>
      <c r="N19" s="27">
        <f>M19/D19*100</f>
        <v>13.284775809262007</v>
      </c>
      <c r="O19" s="26">
        <f>M19+H19</f>
        <v>20436</v>
      </c>
      <c r="P19" s="27">
        <f>O19/D19*100</f>
        <v>22.117122479680514</v>
      </c>
    </row>
    <row r="20" spans="1:16" ht="12.75">
      <c r="F20" s="28"/>
    </row>
    <row r="22" spans="1:16" ht="15.75" customHeight="1">
      <c r="B22" s="95" t="s">
        <v>41</v>
      </c>
      <c r="C22" s="95" t="s">
        <v>0</v>
      </c>
      <c r="D22" s="96" t="s">
        <v>56</v>
      </c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</row>
    <row r="23" spans="1:16" ht="33.950000000000003" customHeight="1">
      <c r="B23" s="95"/>
      <c r="C23" s="95"/>
      <c r="D23" s="29" t="s">
        <v>1</v>
      </c>
      <c r="E23" s="30" t="s">
        <v>43</v>
      </c>
      <c r="F23" s="31" t="s">
        <v>44</v>
      </c>
      <c r="G23" s="31" t="s">
        <v>45</v>
      </c>
      <c r="H23" s="31" t="s">
        <v>46</v>
      </c>
      <c r="I23" s="31" t="s">
        <v>47</v>
      </c>
      <c r="J23" s="32" t="s">
        <v>48</v>
      </c>
      <c r="K23" s="32" t="s">
        <v>49</v>
      </c>
      <c r="L23" s="32" t="s">
        <v>50</v>
      </c>
      <c r="M23" s="31" t="s">
        <v>51</v>
      </c>
      <c r="N23" s="31" t="s">
        <v>52</v>
      </c>
      <c r="O23" s="31" t="s">
        <v>53</v>
      </c>
      <c r="P23" s="31" t="s">
        <v>54</v>
      </c>
    </row>
    <row r="24" spans="1:16" ht="15.75" customHeight="1">
      <c r="B24" s="33">
        <v>1</v>
      </c>
      <c r="C24" s="34" t="s">
        <v>2</v>
      </c>
      <c r="D24" s="35">
        <v>444</v>
      </c>
      <c r="E24" s="36">
        <v>0</v>
      </c>
      <c r="F24" s="36">
        <v>0</v>
      </c>
      <c r="G24" s="36">
        <v>1</v>
      </c>
      <c r="H24" s="37">
        <f>SUM(E24:G24)</f>
        <v>1</v>
      </c>
      <c r="I24" s="38">
        <f>H24/D24*100</f>
        <v>0.22522522522522523</v>
      </c>
      <c r="J24" s="36">
        <v>21</v>
      </c>
      <c r="K24" s="36">
        <v>7</v>
      </c>
      <c r="L24" s="36">
        <v>12</v>
      </c>
      <c r="M24" s="39">
        <f>SUM(J24:L24)</f>
        <v>40</v>
      </c>
      <c r="N24" s="38">
        <f>M24/D24*100</f>
        <v>9.0090090090090094</v>
      </c>
      <c r="O24" s="39">
        <f>M24+H24</f>
        <v>41</v>
      </c>
      <c r="P24" s="38">
        <f>O24/D24*100</f>
        <v>9.2342342342342345</v>
      </c>
    </row>
    <row r="25" spans="1:16" ht="15.75" customHeight="1">
      <c r="B25" s="37">
        <v>2</v>
      </c>
      <c r="C25" s="34" t="s">
        <v>3</v>
      </c>
      <c r="D25" s="35">
        <v>160</v>
      </c>
      <c r="E25" s="36">
        <v>26</v>
      </c>
      <c r="F25" s="36">
        <v>16</v>
      </c>
      <c r="G25" s="36">
        <v>36</v>
      </c>
      <c r="H25" s="37">
        <f t="shared" ref="H25:H35" si="8">SUM(E25:G25)</f>
        <v>78</v>
      </c>
      <c r="I25" s="38">
        <f t="shared" ref="I25:I35" si="9">H25/D25*100</f>
        <v>48.75</v>
      </c>
      <c r="J25" s="36">
        <v>13</v>
      </c>
      <c r="K25" s="36">
        <v>7</v>
      </c>
      <c r="L25" s="36">
        <v>105</v>
      </c>
      <c r="M25" s="39">
        <f t="shared" ref="M25:M35" si="10">SUM(J25:L25)</f>
        <v>125</v>
      </c>
      <c r="N25" s="38">
        <f t="shared" ref="N25:N35" si="11">M25/D25*100</f>
        <v>78.125</v>
      </c>
      <c r="O25" s="39">
        <f t="shared" ref="O25:O35" si="12">M25+H25</f>
        <v>203</v>
      </c>
      <c r="P25" s="38">
        <f t="shared" ref="P25:P35" si="13">O25/D25*100</f>
        <v>126.875</v>
      </c>
    </row>
    <row r="26" spans="1:16" ht="15.75" customHeight="1">
      <c r="B26" s="37">
        <v>3</v>
      </c>
      <c r="C26" s="34" t="s">
        <v>4</v>
      </c>
      <c r="D26" s="35">
        <v>271</v>
      </c>
      <c r="E26" s="36">
        <v>0</v>
      </c>
      <c r="F26" s="36">
        <v>0</v>
      </c>
      <c r="G26" s="36">
        <v>6</v>
      </c>
      <c r="H26" s="37">
        <f t="shared" si="8"/>
        <v>6</v>
      </c>
      <c r="I26" s="38">
        <f t="shared" si="9"/>
        <v>2.214022140221402</v>
      </c>
      <c r="J26" s="36">
        <v>6</v>
      </c>
      <c r="K26" s="36">
        <v>1</v>
      </c>
      <c r="L26" s="36">
        <v>2</v>
      </c>
      <c r="M26" s="39">
        <f t="shared" si="10"/>
        <v>9</v>
      </c>
      <c r="N26" s="38">
        <f t="shared" si="11"/>
        <v>3.3210332103321036</v>
      </c>
      <c r="O26" s="39">
        <f t="shared" si="12"/>
        <v>15</v>
      </c>
      <c r="P26" s="38">
        <f t="shared" si="13"/>
        <v>5.5350553505535052</v>
      </c>
    </row>
    <row r="27" spans="1:16" ht="15.75" customHeight="1">
      <c r="B27" s="37">
        <v>4</v>
      </c>
      <c r="C27" s="34" t="s">
        <v>5</v>
      </c>
      <c r="D27" s="35">
        <v>170</v>
      </c>
      <c r="E27" s="36">
        <v>1</v>
      </c>
      <c r="F27" s="36">
        <v>0</v>
      </c>
      <c r="G27" s="36">
        <v>1</v>
      </c>
      <c r="H27" s="37">
        <f t="shared" si="8"/>
        <v>2</v>
      </c>
      <c r="I27" s="38">
        <f t="shared" si="9"/>
        <v>1.1764705882352942</v>
      </c>
      <c r="J27" s="36">
        <v>2</v>
      </c>
      <c r="K27" s="36">
        <v>9</v>
      </c>
      <c r="L27" s="36">
        <v>10</v>
      </c>
      <c r="M27" s="39">
        <f t="shared" si="10"/>
        <v>21</v>
      </c>
      <c r="N27" s="38">
        <f t="shared" si="11"/>
        <v>12.352941176470589</v>
      </c>
      <c r="O27" s="39">
        <f t="shared" si="12"/>
        <v>23</v>
      </c>
      <c r="P27" s="38">
        <f t="shared" si="13"/>
        <v>13.529411764705882</v>
      </c>
    </row>
    <row r="28" spans="1:16" ht="15.75" customHeight="1">
      <c r="B28" s="37">
        <v>5</v>
      </c>
      <c r="C28" s="34" t="s">
        <v>6</v>
      </c>
      <c r="D28" s="35">
        <v>284</v>
      </c>
      <c r="E28" s="36">
        <v>21</v>
      </c>
      <c r="F28" s="36">
        <v>23</v>
      </c>
      <c r="G28" s="36">
        <v>8</v>
      </c>
      <c r="H28" s="37">
        <f t="shared" si="8"/>
        <v>52</v>
      </c>
      <c r="I28" s="38">
        <f t="shared" si="9"/>
        <v>18.30985915492958</v>
      </c>
      <c r="J28" s="36">
        <v>29</v>
      </c>
      <c r="K28" s="36">
        <v>24</v>
      </c>
      <c r="L28" s="36">
        <v>12</v>
      </c>
      <c r="M28" s="39">
        <f t="shared" si="10"/>
        <v>65</v>
      </c>
      <c r="N28" s="38">
        <f t="shared" si="11"/>
        <v>22.887323943661972</v>
      </c>
      <c r="O28" s="39">
        <f t="shared" si="12"/>
        <v>117</v>
      </c>
      <c r="P28" s="38">
        <f t="shared" si="13"/>
        <v>41.197183098591552</v>
      </c>
    </row>
    <row r="29" spans="1:16" ht="15.75" customHeight="1">
      <c r="B29" s="37">
        <v>6</v>
      </c>
      <c r="C29" s="34" t="s">
        <v>7</v>
      </c>
      <c r="D29" s="35">
        <v>909</v>
      </c>
      <c r="E29" s="36">
        <v>152</v>
      </c>
      <c r="F29" s="36">
        <v>76</v>
      </c>
      <c r="G29" s="36">
        <v>118</v>
      </c>
      <c r="H29" s="37">
        <f t="shared" si="8"/>
        <v>346</v>
      </c>
      <c r="I29" s="38">
        <f t="shared" si="9"/>
        <v>38.063806380638063</v>
      </c>
      <c r="J29" s="36">
        <v>79</v>
      </c>
      <c r="K29" s="36">
        <v>70</v>
      </c>
      <c r="L29" s="36">
        <v>100</v>
      </c>
      <c r="M29" s="39">
        <f t="shared" si="10"/>
        <v>249</v>
      </c>
      <c r="N29" s="38">
        <f t="shared" si="11"/>
        <v>27.39273927392739</v>
      </c>
      <c r="O29" s="39">
        <f t="shared" si="12"/>
        <v>595</v>
      </c>
      <c r="P29" s="38">
        <f t="shared" si="13"/>
        <v>65.45654565456546</v>
      </c>
    </row>
    <row r="30" spans="1:16" ht="15.75" customHeight="1">
      <c r="B30" s="37">
        <v>7</v>
      </c>
      <c r="C30" s="34" t="s">
        <v>8</v>
      </c>
      <c r="D30" s="35">
        <v>188</v>
      </c>
      <c r="E30" s="36">
        <v>22</v>
      </c>
      <c r="F30" s="36">
        <v>23</v>
      </c>
      <c r="G30" s="36">
        <v>11</v>
      </c>
      <c r="H30" s="37">
        <f t="shared" si="8"/>
        <v>56</v>
      </c>
      <c r="I30" s="38">
        <f t="shared" si="9"/>
        <v>29.787234042553191</v>
      </c>
      <c r="J30" s="36">
        <v>1</v>
      </c>
      <c r="K30" s="36">
        <v>4</v>
      </c>
      <c r="L30" s="36">
        <v>22</v>
      </c>
      <c r="M30" s="39">
        <f t="shared" si="10"/>
        <v>27</v>
      </c>
      <c r="N30" s="38">
        <f t="shared" si="11"/>
        <v>14.361702127659576</v>
      </c>
      <c r="O30" s="39">
        <f t="shared" si="12"/>
        <v>83</v>
      </c>
      <c r="P30" s="38">
        <f t="shared" si="13"/>
        <v>44.148936170212764</v>
      </c>
    </row>
    <row r="31" spans="1:16" ht="15.75" customHeight="1">
      <c r="B31" s="37">
        <v>8</v>
      </c>
      <c r="C31" s="34" t="s">
        <v>9</v>
      </c>
      <c r="D31" s="35">
        <v>459</v>
      </c>
      <c r="E31" s="36">
        <v>8</v>
      </c>
      <c r="F31" s="36">
        <v>11</v>
      </c>
      <c r="G31" s="36">
        <v>23</v>
      </c>
      <c r="H31" s="37">
        <f t="shared" si="8"/>
        <v>42</v>
      </c>
      <c r="I31" s="38">
        <f t="shared" si="9"/>
        <v>9.1503267973856204</v>
      </c>
      <c r="J31" s="36">
        <v>6</v>
      </c>
      <c r="K31" s="36">
        <v>29</v>
      </c>
      <c r="L31" s="36">
        <v>42</v>
      </c>
      <c r="M31" s="39">
        <f t="shared" si="10"/>
        <v>77</v>
      </c>
      <c r="N31" s="38">
        <f t="shared" si="11"/>
        <v>16.775599128540307</v>
      </c>
      <c r="O31" s="39">
        <f t="shared" si="12"/>
        <v>119</v>
      </c>
      <c r="P31" s="38">
        <f t="shared" si="13"/>
        <v>25.925925925925924</v>
      </c>
    </row>
    <row r="32" spans="1:16" ht="15.75" customHeight="1">
      <c r="B32" s="37">
        <v>9</v>
      </c>
      <c r="C32" s="34" t="s">
        <v>10</v>
      </c>
      <c r="D32" s="35">
        <v>341</v>
      </c>
      <c r="E32" s="36">
        <v>1</v>
      </c>
      <c r="F32" s="36">
        <v>0</v>
      </c>
      <c r="G32" s="36">
        <v>7</v>
      </c>
      <c r="H32" s="37">
        <f t="shared" si="8"/>
        <v>8</v>
      </c>
      <c r="I32" s="38">
        <f t="shared" si="9"/>
        <v>2.3460410557184752</v>
      </c>
      <c r="J32" s="36">
        <v>16</v>
      </c>
      <c r="K32" s="36">
        <v>28</v>
      </c>
      <c r="L32" s="36">
        <v>33</v>
      </c>
      <c r="M32" s="39">
        <f t="shared" si="10"/>
        <v>77</v>
      </c>
      <c r="N32" s="38">
        <f t="shared" si="11"/>
        <v>22.58064516129032</v>
      </c>
      <c r="O32" s="39">
        <f t="shared" si="12"/>
        <v>85</v>
      </c>
      <c r="P32" s="38">
        <f t="shared" si="13"/>
        <v>24.926686217008797</v>
      </c>
    </row>
    <row r="33" spans="2:16" ht="15.75" customHeight="1">
      <c r="B33" s="37">
        <v>10</v>
      </c>
      <c r="C33" s="34" t="s">
        <v>11</v>
      </c>
      <c r="D33" s="35">
        <v>726</v>
      </c>
      <c r="E33" s="36">
        <v>9</v>
      </c>
      <c r="F33" s="36">
        <v>1</v>
      </c>
      <c r="G33" s="36">
        <v>2</v>
      </c>
      <c r="H33" s="37">
        <f t="shared" si="8"/>
        <v>12</v>
      </c>
      <c r="I33" s="38">
        <f t="shared" si="9"/>
        <v>1.6528925619834711</v>
      </c>
      <c r="J33" s="36">
        <v>3</v>
      </c>
      <c r="K33" s="36">
        <v>4</v>
      </c>
      <c r="L33" s="36">
        <v>0</v>
      </c>
      <c r="M33" s="39">
        <f t="shared" si="10"/>
        <v>7</v>
      </c>
      <c r="N33" s="38">
        <f t="shared" si="11"/>
        <v>0.96418732782369143</v>
      </c>
      <c r="O33" s="39">
        <f t="shared" si="12"/>
        <v>19</v>
      </c>
      <c r="P33" s="38">
        <f t="shared" si="13"/>
        <v>2.6170798898071626</v>
      </c>
    </row>
    <row r="34" spans="2:16" ht="15.75" customHeight="1">
      <c r="B34" s="37">
        <v>11</v>
      </c>
      <c r="C34" s="34" t="s">
        <v>12</v>
      </c>
      <c r="D34" s="35">
        <v>282</v>
      </c>
      <c r="E34" s="36">
        <v>38</v>
      </c>
      <c r="F34" s="36">
        <v>48</v>
      </c>
      <c r="G34" s="36">
        <v>32</v>
      </c>
      <c r="H34" s="37">
        <f t="shared" si="8"/>
        <v>118</v>
      </c>
      <c r="I34" s="38">
        <f t="shared" si="9"/>
        <v>41.843971631205676</v>
      </c>
      <c r="J34" s="36">
        <v>19</v>
      </c>
      <c r="K34" s="36">
        <v>27</v>
      </c>
      <c r="L34" s="36">
        <v>25</v>
      </c>
      <c r="M34" s="39">
        <f t="shared" si="10"/>
        <v>71</v>
      </c>
      <c r="N34" s="38">
        <f t="shared" si="11"/>
        <v>25.177304964539005</v>
      </c>
      <c r="O34" s="39">
        <f t="shared" si="12"/>
        <v>189</v>
      </c>
      <c r="P34" s="38">
        <f t="shared" si="13"/>
        <v>67.021276595744681</v>
      </c>
    </row>
    <row r="35" spans="2:16" ht="15.75" customHeight="1">
      <c r="B35" s="37">
        <v>12</v>
      </c>
      <c r="C35" s="34" t="s">
        <v>13</v>
      </c>
      <c r="D35" s="35">
        <v>112</v>
      </c>
      <c r="E35" s="36">
        <v>3</v>
      </c>
      <c r="F35" s="36">
        <v>4</v>
      </c>
      <c r="G35" s="36">
        <v>5</v>
      </c>
      <c r="H35" s="37">
        <f t="shared" si="8"/>
        <v>12</v>
      </c>
      <c r="I35" s="38">
        <f t="shared" si="9"/>
        <v>10.714285714285714</v>
      </c>
      <c r="J35" s="36">
        <v>1</v>
      </c>
      <c r="K35" s="36">
        <v>1</v>
      </c>
      <c r="L35" s="36">
        <v>5</v>
      </c>
      <c r="M35" s="39">
        <f t="shared" si="10"/>
        <v>7</v>
      </c>
      <c r="N35" s="38">
        <f t="shared" si="11"/>
        <v>6.25</v>
      </c>
      <c r="O35" s="39">
        <f t="shared" si="12"/>
        <v>19</v>
      </c>
      <c r="P35" s="38">
        <f t="shared" si="13"/>
        <v>16.964285714285715</v>
      </c>
    </row>
    <row r="36" spans="2:16" ht="15.75" customHeight="1">
      <c r="B36" s="40"/>
      <c r="C36" s="41" t="s">
        <v>55</v>
      </c>
      <c r="D36" s="42">
        <f t="shared" ref="D36" si="14">SUM(D24:D35)</f>
        <v>4346</v>
      </c>
      <c r="E36" s="43">
        <f t="shared" ref="E36:G36" si="15">SUM(E24:E35)</f>
        <v>281</v>
      </c>
      <c r="F36" s="43">
        <f t="shared" si="15"/>
        <v>202</v>
      </c>
      <c r="G36" s="43">
        <f t="shared" si="15"/>
        <v>250</v>
      </c>
      <c r="H36" s="44">
        <f>SUM(H24:H35)</f>
        <v>733</v>
      </c>
      <c r="I36" s="45">
        <f>H36/D36*100</f>
        <v>16.866083755177176</v>
      </c>
      <c r="J36" s="43">
        <f t="shared" ref="J36:L36" si="16">SUM(J24:J35)</f>
        <v>196</v>
      </c>
      <c r="K36" s="43">
        <f t="shared" si="16"/>
        <v>211</v>
      </c>
      <c r="L36" s="43">
        <f t="shared" si="16"/>
        <v>368</v>
      </c>
      <c r="M36" s="46">
        <f>SUM(J36:L36)</f>
        <v>775</v>
      </c>
      <c r="N36" s="47">
        <f>M36/D36*100</f>
        <v>17.832489645651172</v>
      </c>
      <c r="O36" s="46">
        <f>SUM(O24:O35)</f>
        <v>1508</v>
      </c>
      <c r="P36" s="47">
        <f>O36/D36*100</f>
        <v>34.698573400828344</v>
      </c>
    </row>
    <row r="39" spans="2:16" ht="15.75" customHeight="1">
      <c r="B39" s="86" t="s">
        <v>41</v>
      </c>
      <c r="C39" s="86" t="s">
        <v>0</v>
      </c>
      <c r="D39" s="87" t="s">
        <v>57</v>
      </c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</row>
    <row r="40" spans="2:16" ht="39.6" customHeight="1">
      <c r="B40" s="86"/>
      <c r="C40" s="86"/>
      <c r="D40" s="48" t="s">
        <v>1</v>
      </c>
      <c r="E40" s="49" t="s">
        <v>43</v>
      </c>
      <c r="F40" s="50" t="s">
        <v>44</v>
      </c>
      <c r="G40" s="50" t="s">
        <v>45</v>
      </c>
      <c r="H40" s="50" t="s">
        <v>46</v>
      </c>
      <c r="I40" s="50" t="s">
        <v>47</v>
      </c>
      <c r="J40" s="51" t="s">
        <v>48</v>
      </c>
      <c r="K40" s="51" t="s">
        <v>49</v>
      </c>
      <c r="L40" s="51" t="s">
        <v>50</v>
      </c>
      <c r="M40" s="50" t="s">
        <v>51</v>
      </c>
      <c r="N40" s="50" t="s">
        <v>52</v>
      </c>
      <c r="O40" s="50" t="s">
        <v>53</v>
      </c>
      <c r="P40" s="50" t="s">
        <v>54</v>
      </c>
    </row>
    <row r="41" spans="2:16" ht="15.75" customHeight="1">
      <c r="B41" s="52">
        <v>1</v>
      </c>
      <c r="C41" s="53" t="s">
        <v>2</v>
      </c>
      <c r="D41" s="54">
        <v>111</v>
      </c>
      <c r="E41" s="55">
        <v>1</v>
      </c>
      <c r="F41" s="55">
        <v>0</v>
      </c>
      <c r="G41" s="55">
        <v>0</v>
      </c>
      <c r="H41" s="56">
        <f>SUM(E41:G41)</f>
        <v>1</v>
      </c>
      <c r="I41" s="57">
        <f>H41/D41</f>
        <v>9.0090090090090089E-3</v>
      </c>
      <c r="J41" s="55">
        <v>6</v>
      </c>
      <c r="K41" s="55">
        <v>9</v>
      </c>
      <c r="L41" s="55">
        <v>4</v>
      </c>
      <c r="M41" s="58">
        <f>SUM(J41:L41)</f>
        <v>19</v>
      </c>
      <c r="N41" s="57">
        <f>M41/D41*100</f>
        <v>17.117117117117118</v>
      </c>
      <c r="O41" s="58">
        <f>M41+H41</f>
        <v>20</v>
      </c>
      <c r="P41" s="57">
        <f>O41/D41*100</f>
        <v>18.018018018018019</v>
      </c>
    </row>
    <row r="42" spans="2:16" ht="15.75" customHeight="1">
      <c r="B42" s="56">
        <v>2</v>
      </c>
      <c r="C42" s="53" t="s">
        <v>3</v>
      </c>
      <c r="D42" s="54">
        <v>40</v>
      </c>
      <c r="E42" s="55">
        <v>6</v>
      </c>
      <c r="F42" s="55">
        <v>8</v>
      </c>
      <c r="G42" s="55">
        <v>2</v>
      </c>
      <c r="H42" s="56">
        <f t="shared" ref="H42:H52" si="17">SUM(E42:G42)</f>
        <v>16</v>
      </c>
      <c r="I42" s="57">
        <f t="shared" ref="I42:I52" si="18">H42/D42</f>
        <v>0.4</v>
      </c>
      <c r="J42" s="55">
        <v>7</v>
      </c>
      <c r="K42" s="55">
        <v>5</v>
      </c>
      <c r="L42" s="55">
        <v>6</v>
      </c>
      <c r="M42" s="58">
        <f t="shared" ref="M42:M52" si="19">SUM(J42:L42)</f>
        <v>18</v>
      </c>
      <c r="N42" s="57">
        <f t="shared" ref="N42:N52" si="20">M42/D42*100</f>
        <v>45</v>
      </c>
      <c r="O42" s="58">
        <f t="shared" ref="O42:O52" si="21">M42+H42</f>
        <v>34</v>
      </c>
      <c r="P42" s="57">
        <f t="shared" ref="P42:P52" si="22">O42/D42*100</f>
        <v>85</v>
      </c>
    </row>
    <row r="43" spans="2:16" ht="15.75" customHeight="1">
      <c r="B43" s="56">
        <v>3</v>
      </c>
      <c r="C43" s="53" t="s">
        <v>4</v>
      </c>
      <c r="D43" s="54">
        <v>67</v>
      </c>
      <c r="E43" s="55">
        <v>1</v>
      </c>
      <c r="F43" s="55">
        <v>0</v>
      </c>
      <c r="G43" s="55">
        <v>0</v>
      </c>
      <c r="H43" s="56">
        <f t="shared" si="17"/>
        <v>1</v>
      </c>
      <c r="I43" s="57">
        <f t="shared" si="18"/>
        <v>1.4925373134328358E-2</v>
      </c>
      <c r="J43" s="55">
        <v>2</v>
      </c>
      <c r="K43" s="55">
        <v>0</v>
      </c>
      <c r="L43" s="55">
        <v>0</v>
      </c>
      <c r="M43" s="58">
        <f t="shared" si="19"/>
        <v>2</v>
      </c>
      <c r="N43" s="57">
        <f t="shared" si="20"/>
        <v>2.9850746268656714</v>
      </c>
      <c r="O43" s="58">
        <f t="shared" si="21"/>
        <v>3</v>
      </c>
      <c r="P43" s="57">
        <f t="shared" si="22"/>
        <v>4.4776119402985071</v>
      </c>
    </row>
    <row r="44" spans="2:16" ht="15.75" customHeight="1">
      <c r="B44" s="56">
        <v>4</v>
      </c>
      <c r="C44" s="53" t="s">
        <v>5</v>
      </c>
      <c r="D44" s="54">
        <v>43</v>
      </c>
      <c r="E44" s="55">
        <v>0</v>
      </c>
      <c r="F44" s="55">
        <v>1</v>
      </c>
      <c r="G44" s="55">
        <v>2</v>
      </c>
      <c r="H44" s="56">
        <f t="shared" si="17"/>
        <v>3</v>
      </c>
      <c r="I44" s="57">
        <f t="shared" si="18"/>
        <v>6.9767441860465115E-2</v>
      </c>
      <c r="J44" s="55">
        <v>0</v>
      </c>
      <c r="K44" s="55">
        <v>2</v>
      </c>
      <c r="L44" s="55">
        <v>4</v>
      </c>
      <c r="M44" s="58">
        <f t="shared" si="19"/>
        <v>6</v>
      </c>
      <c r="N44" s="57">
        <f t="shared" si="20"/>
        <v>13.953488372093023</v>
      </c>
      <c r="O44" s="58">
        <f t="shared" si="21"/>
        <v>9</v>
      </c>
      <c r="P44" s="57">
        <f t="shared" si="22"/>
        <v>20.930232558139537</v>
      </c>
    </row>
    <row r="45" spans="2:16" ht="15.75" customHeight="1">
      <c r="B45" s="56">
        <v>5</v>
      </c>
      <c r="C45" s="53" t="s">
        <v>6</v>
      </c>
      <c r="D45" s="54">
        <v>71</v>
      </c>
      <c r="E45" s="55">
        <v>8</v>
      </c>
      <c r="F45" s="55">
        <v>10</v>
      </c>
      <c r="G45" s="55">
        <v>7</v>
      </c>
      <c r="H45" s="56">
        <f t="shared" si="17"/>
        <v>25</v>
      </c>
      <c r="I45" s="57">
        <f t="shared" si="18"/>
        <v>0.352112676056338</v>
      </c>
      <c r="J45" s="55">
        <v>9</v>
      </c>
      <c r="K45" s="55">
        <v>11</v>
      </c>
      <c r="L45" s="55">
        <v>6</v>
      </c>
      <c r="M45" s="58">
        <f t="shared" si="19"/>
        <v>26</v>
      </c>
      <c r="N45" s="57">
        <f t="shared" si="20"/>
        <v>36.619718309859159</v>
      </c>
      <c r="O45" s="58">
        <f t="shared" si="21"/>
        <v>51</v>
      </c>
      <c r="P45" s="57">
        <f t="shared" si="22"/>
        <v>71.83098591549296</v>
      </c>
    </row>
    <row r="46" spans="2:16" ht="15.75" customHeight="1">
      <c r="B46" s="56">
        <v>6</v>
      </c>
      <c r="C46" s="53" t="s">
        <v>7</v>
      </c>
      <c r="D46" s="54">
        <v>227</v>
      </c>
      <c r="E46" s="55">
        <v>61</v>
      </c>
      <c r="F46" s="55">
        <v>16</v>
      </c>
      <c r="G46" s="55">
        <v>35</v>
      </c>
      <c r="H46" s="56">
        <f t="shared" si="17"/>
        <v>112</v>
      </c>
      <c r="I46" s="57">
        <f t="shared" si="18"/>
        <v>0.4933920704845815</v>
      </c>
      <c r="J46" s="55">
        <v>23</v>
      </c>
      <c r="K46" s="55">
        <v>14</v>
      </c>
      <c r="L46" s="55">
        <v>21</v>
      </c>
      <c r="M46" s="58">
        <f t="shared" si="19"/>
        <v>58</v>
      </c>
      <c r="N46" s="57">
        <f t="shared" si="20"/>
        <v>25.55066079295154</v>
      </c>
      <c r="O46" s="58">
        <f t="shared" si="21"/>
        <v>170</v>
      </c>
      <c r="P46" s="57">
        <f t="shared" si="22"/>
        <v>74.889867841409696</v>
      </c>
    </row>
    <row r="47" spans="2:16" ht="15.75" customHeight="1">
      <c r="B47" s="56">
        <v>7</v>
      </c>
      <c r="C47" s="53" t="s">
        <v>8</v>
      </c>
      <c r="D47" s="54">
        <v>47</v>
      </c>
      <c r="E47" s="55">
        <v>0</v>
      </c>
      <c r="F47" s="55">
        <v>0</v>
      </c>
      <c r="G47" s="55">
        <v>8</v>
      </c>
      <c r="H47" s="56">
        <f t="shared" si="17"/>
        <v>8</v>
      </c>
      <c r="I47" s="57">
        <f t="shared" si="18"/>
        <v>0.1702127659574468</v>
      </c>
      <c r="J47" s="55">
        <v>0</v>
      </c>
      <c r="K47" s="55">
        <v>1</v>
      </c>
      <c r="L47" s="55">
        <v>10</v>
      </c>
      <c r="M47" s="58">
        <f t="shared" si="19"/>
        <v>11</v>
      </c>
      <c r="N47" s="57">
        <f t="shared" si="20"/>
        <v>23.404255319148938</v>
      </c>
      <c r="O47" s="58">
        <f t="shared" si="21"/>
        <v>19</v>
      </c>
      <c r="P47" s="57">
        <f t="shared" si="22"/>
        <v>40.425531914893611</v>
      </c>
    </row>
    <row r="48" spans="2:16" ht="15.75" customHeight="1">
      <c r="B48" s="56">
        <v>8</v>
      </c>
      <c r="C48" s="53" t="s">
        <v>9</v>
      </c>
      <c r="D48" s="54">
        <v>115</v>
      </c>
      <c r="E48" s="55">
        <v>1</v>
      </c>
      <c r="F48" s="55">
        <v>1</v>
      </c>
      <c r="G48" s="55">
        <v>0</v>
      </c>
      <c r="H48" s="56">
        <f t="shared" si="17"/>
        <v>2</v>
      </c>
      <c r="I48" s="57">
        <f t="shared" si="18"/>
        <v>1.7391304347826087E-2</v>
      </c>
      <c r="J48" s="55">
        <v>0</v>
      </c>
      <c r="K48" s="55">
        <v>4</v>
      </c>
      <c r="L48" s="55">
        <v>4</v>
      </c>
      <c r="M48" s="58">
        <f t="shared" si="19"/>
        <v>8</v>
      </c>
      <c r="N48" s="57">
        <f t="shared" si="20"/>
        <v>6.9565217391304346</v>
      </c>
      <c r="O48" s="58">
        <f t="shared" si="21"/>
        <v>10</v>
      </c>
      <c r="P48" s="57">
        <f t="shared" si="22"/>
        <v>8.695652173913043</v>
      </c>
    </row>
    <row r="49" spans="2:16" ht="15.75" customHeight="1">
      <c r="B49" s="56">
        <v>9</v>
      </c>
      <c r="C49" s="53" t="s">
        <v>10</v>
      </c>
      <c r="D49" s="54">
        <v>85</v>
      </c>
      <c r="E49" s="55">
        <v>5</v>
      </c>
      <c r="F49" s="55">
        <v>0</v>
      </c>
      <c r="G49" s="55">
        <v>2</v>
      </c>
      <c r="H49" s="56">
        <f t="shared" si="17"/>
        <v>7</v>
      </c>
      <c r="I49" s="57">
        <f t="shared" si="18"/>
        <v>8.2352941176470587E-2</v>
      </c>
      <c r="J49" s="55">
        <v>3</v>
      </c>
      <c r="K49" s="55">
        <v>5</v>
      </c>
      <c r="L49" s="55">
        <v>4</v>
      </c>
      <c r="M49" s="58">
        <f t="shared" si="19"/>
        <v>12</v>
      </c>
      <c r="N49" s="57">
        <f t="shared" si="20"/>
        <v>14.117647058823529</v>
      </c>
      <c r="O49" s="58">
        <f t="shared" si="21"/>
        <v>19</v>
      </c>
      <c r="P49" s="57">
        <f t="shared" si="22"/>
        <v>22.352941176470591</v>
      </c>
    </row>
    <row r="50" spans="2:16" ht="15.75" customHeight="1">
      <c r="B50" s="56">
        <v>10</v>
      </c>
      <c r="C50" s="53" t="s">
        <v>11</v>
      </c>
      <c r="D50" s="54">
        <v>182</v>
      </c>
      <c r="E50" s="55">
        <v>2</v>
      </c>
      <c r="F50" s="55">
        <v>2</v>
      </c>
      <c r="G50" s="55">
        <v>0</v>
      </c>
      <c r="H50" s="56">
        <f t="shared" si="17"/>
        <v>4</v>
      </c>
      <c r="I50" s="57">
        <f t="shared" si="18"/>
        <v>2.197802197802198E-2</v>
      </c>
      <c r="J50" s="55">
        <v>8</v>
      </c>
      <c r="K50" s="55">
        <v>10</v>
      </c>
      <c r="L50" s="55">
        <v>2</v>
      </c>
      <c r="M50" s="58">
        <f t="shared" si="19"/>
        <v>20</v>
      </c>
      <c r="N50" s="57">
        <f t="shared" si="20"/>
        <v>10.989010989010989</v>
      </c>
      <c r="O50" s="58">
        <f t="shared" si="21"/>
        <v>24</v>
      </c>
      <c r="P50" s="57">
        <f t="shared" si="22"/>
        <v>13.186813186813188</v>
      </c>
    </row>
    <row r="51" spans="2:16" ht="15.75" customHeight="1">
      <c r="B51" s="56">
        <v>11</v>
      </c>
      <c r="C51" s="53" t="s">
        <v>12</v>
      </c>
      <c r="D51" s="54">
        <v>70</v>
      </c>
      <c r="E51" s="55">
        <v>9</v>
      </c>
      <c r="F51" s="55">
        <v>9</v>
      </c>
      <c r="G51" s="55">
        <v>3</v>
      </c>
      <c r="H51" s="56">
        <f t="shared" si="17"/>
        <v>21</v>
      </c>
      <c r="I51" s="57">
        <f t="shared" si="18"/>
        <v>0.3</v>
      </c>
      <c r="J51" s="55">
        <v>3</v>
      </c>
      <c r="K51" s="55">
        <v>5</v>
      </c>
      <c r="L51" s="55">
        <v>4</v>
      </c>
      <c r="M51" s="58">
        <f t="shared" si="19"/>
        <v>12</v>
      </c>
      <c r="N51" s="57">
        <f t="shared" si="20"/>
        <v>17.142857142857142</v>
      </c>
      <c r="O51" s="58">
        <f t="shared" si="21"/>
        <v>33</v>
      </c>
      <c r="P51" s="57">
        <f t="shared" si="22"/>
        <v>47.142857142857139</v>
      </c>
    </row>
    <row r="52" spans="2:16" ht="15.75" customHeight="1">
      <c r="B52" s="56">
        <v>12</v>
      </c>
      <c r="C52" s="53" t="s">
        <v>13</v>
      </c>
      <c r="D52" s="54">
        <v>28</v>
      </c>
      <c r="E52" s="55">
        <v>2</v>
      </c>
      <c r="F52" s="55">
        <v>0</v>
      </c>
      <c r="G52" s="55">
        <v>0</v>
      </c>
      <c r="H52" s="56">
        <f t="shared" si="17"/>
        <v>2</v>
      </c>
      <c r="I52" s="57">
        <f t="shared" si="18"/>
        <v>7.1428571428571425E-2</v>
      </c>
      <c r="J52" s="55">
        <v>0</v>
      </c>
      <c r="K52" s="55">
        <v>1</v>
      </c>
      <c r="L52" s="55">
        <v>0</v>
      </c>
      <c r="M52" s="58">
        <f t="shared" si="19"/>
        <v>1</v>
      </c>
      <c r="N52" s="57">
        <f t="shared" si="20"/>
        <v>3.5714285714285712</v>
      </c>
      <c r="O52" s="58">
        <f t="shared" si="21"/>
        <v>3</v>
      </c>
      <c r="P52" s="57">
        <f t="shared" si="22"/>
        <v>10.714285714285714</v>
      </c>
    </row>
    <row r="53" spans="2:16" ht="15.75" customHeight="1">
      <c r="B53" s="59"/>
      <c r="C53" s="60" t="s">
        <v>55</v>
      </c>
      <c r="D53" s="61">
        <f t="shared" ref="D53" si="23">SUM(D41:D52)</f>
        <v>1086</v>
      </c>
      <c r="E53" s="62">
        <f t="shared" ref="E53:G53" si="24">SUM(E41:E52)</f>
        <v>96</v>
      </c>
      <c r="F53" s="62">
        <f t="shared" si="24"/>
        <v>47</v>
      </c>
      <c r="G53" s="62">
        <f t="shared" si="24"/>
        <v>59</v>
      </c>
      <c r="H53" s="63">
        <f>SUM(H41:H52)</f>
        <v>202</v>
      </c>
      <c r="I53" s="64">
        <f>H53/D53</f>
        <v>0.1860036832412523</v>
      </c>
      <c r="J53" s="62">
        <f t="shared" ref="J53:L53" si="25">SUM(J41:J52)</f>
        <v>61</v>
      </c>
      <c r="K53" s="62">
        <f t="shared" si="25"/>
        <v>67</v>
      </c>
      <c r="L53" s="62">
        <f t="shared" si="25"/>
        <v>65</v>
      </c>
      <c r="M53" s="65">
        <f>SUM(J53:L53)</f>
        <v>193</v>
      </c>
      <c r="N53" s="66">
        <f>M53/D53*100</f>
        <v>17.771639042357272</v>
      </c>
      <c r="O53" s="65">
        <f>SUM(O41:O52)</f>
        <v>395</v>
      </c>
      <c r="P53" s="66">
        <f>O53/D53*100</f>
        <v>36.372007366482507</v>
      </c>
    </row>
    <row r="56" spans="2:16" ht="15.75" customHeight="1">
      <c r="B56" s="88" t="s">
        <v>41</v>
      </c>
      <c r="C56" s="88" t="s">
        <v>0</v>
      </c>
      <c r="D56" s="89" t="s">
        <v>58</v>
      </c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</row>
    <row r="57" spans="2:16" ht="38.450000000000003" customHeight="1">
      <c r="B57" s="88"/>
      <c r="C57" s="88"/>
      <c r="D57" s="67" t="s">
        <v>1</v>
      </c>
      <c r="E57" s="68" t="s">
        <v>43</v>
      </c>
      <c r="F57" s="69" t="s">
        <v>44</v>
      </c>
      <c r="G57" s="69" t="s">
        <v>45</v>
      </c>
      <c r="H57" s="69" t="s">
        <v>46</v>
      </c>
      <c r="I57" s="69" t="s">
        <v>47</v>
      </c>
      <c r="J57" s="70" t="s">
        <v>48</v>
      </c>
      <c r="K57" s="70" t="s">
        <v>49</v>
      </c>
      <c r="L57" s="70" t="s">
        <v>50</v>
      </c>
      <c r="M57" s="69" t="s">
        <v>51</v>
      </c>
      <c r="N57" s="69" t="s">
        <v>52</v>
      </c>
      <c r="O57" s="69" t="s">
        <v>53</v>
      </c>
      <c r="P57" s="69" t="s">
        <v>54</v>
      </c>
    </row>
    <row r="58" spans="2:16" ht="15.75" customHeight="1">
      <c r="B58" s="71">
        <v>1</v>
      </c>
      <c r="C58" s="72" t="s">
        <v>2</v>
      </c>
      <c r="D58" s="73">
        <v>221</v>
      </c>
      <c r="E58" s="74">
        <v>0</v>
      </c>
      <c r="F58" s="74">
        <v>0</v>
      </c>
      <c r="G58" s="74">
        <v>0</v>
      </c>
      <c r="H58" s="75">
        <f>SUM(E58:G58)</f>
        <v>0</v>
      </c>
      <c r="I58" s="76">
        <f>H58/D58*100</f>
        <v>0</v>
      </c>
      <c r="J58" s="74">
        <v>0</v>
      </c>
      <c r="K58" s="74">
        <v>0</v>
      </c>
      <c r="L58" s="74">
        <v>0</v>
      </c>
      <c r="M58" s="77">
        <f>SUM(J58:L58)</f>
        <v>0</v>
      </c>
      <c r="N58" s="76">
        <f>M58/D58*100</f>
        <v>0</v>
      </c>
      <c r="O58" s="77">
        <f>M58+H58</f>
        <v>0</v>
      </c>
      <c r="P58" s="76">
        <f>O58/D58*100</f>
        <v>0</v>
      </c>
    </row>
    <row r="59" spans="2:16" ht="15.75" customHeight="1">
      <c r="B59" s="75">
        <v>2</v>
      </c>
      <c r="C59" s="72" t="s">
        <v>3</v>
      </c>
      <c r="D59" s="73">
        <v>79</v>
      </c>
      <c r="E59" s="74">
        <v>0</v>
      </c>
      <c r="F59" s="74">
        <v>0</v>
      </c>
      <c r="G59" s="74">
        <v>0</v>
      </c>
      <c r="H59" s="75">
        <f t="shared" ref="H59:H69" si="26">SUM(E59:G59)</f>
        <v>0</v>
      </c>
      <c r="I59" s="76">
        <f t="shared" ref="I59:I69" si="27">H59/D59*100</f>
        <v>0</v>
      </c>
      <c r="J59" s="74">
        <v>0</v>
      </c>
      <c r="K59" s="74">
        <v>0</v>
      </c>
      <c r="L59" s="74">
        <v>0</v>
      </c>
      <c r="M59" s="77">
        <f t="shared" ref="M59:M69" si="28">SUM(J59:L59)</f>
        <v>0</v>
      </c>
      <c r="N59" s="76">
        <f t="shared" ref="N59:N69" si="29">M59/D59*100</f>
        <v>0</v>
      </c>
      <c r="O59" s="77">
        <f t="shared" ref="O59:O69" si="30">M59+H59</f>
        <v>0</v>
      </c>
      <c r="P59" s="76">
        <f t="shared" ref="P59:P69" si="31">O59/D59*100</f>
        <v>0</v>
      </c>
    </row>
    <row r="60" spans="2:16" ht="15.75" customHeight="1">
      <c r="B60" s="75">
        <v>3</v>
      </c>
      <c r="C60" s="72" t="s">
        <v>4</v>
      </c>
      <c r="D60" s="73">
        <v>147</v>
      </c>
      <c r="E60" s="74">
        <v>0</v>
      </c>
      <c r="F60" s="74">
        <v>0</v>
      </c>
      <c r="G60" s="74">
        <v>0</v>
      </c>
      <c r="H60" s="75">
        <f t="shared" si="26"/>
        <v>0</v>
      </c>
      <c r="I60" s="76">
        <f t="shared" si="27"/>
        <v>0</v>
      </c>
      <c r="J60" s="74">
        <v>0</v>
      </c>
      <c r="K60" s="74">
        <v>0</v>
      </c>
      <c r="L60" s="74">
        <v>2</v>
      </c>
      <c r="M60" s="77">
        <f t="shared" si="28"/>
        <v>2</v>
      </c>
      <c r="N60" s="76">
        <f t="shared" si="29"/>
        <v>1.3605442176870748</v>
      </c>
      <c r="O60" s="77">
        <f t="shared" si="30"/>
        <v>2</v>
      </c>
      <c r="P60" s="76">
        <f t="shared" si="31"/>
        <v>1.3605442176870748</v>
      </c>
    </row>
    <row r="61" spans="2:16" ht="15.75" customHeight="1">
      <c r="B61" s="75">
        <v>4</v>
      </c>
      <c r="C61" s="72" t="s">
        <v>5</v>
      </c>
      <c r="D61" s="73">
        <v>84</v>
      </c>
      <c r="E61" s="74">
        <v>0</v>
      </c>
      <c r="F61" s="74">
        <v>0</v>
      </c>
      <c r="G61" s="74">
        <v>0</v>
      </c>
      <c r="H61" s="75">
        <f t="shared" si="26"/>
        <v>0</v>
      </c>
      <c r="I61" s="76">
        <f t="shared" si="27"/>
        <v>0</v>
      </c>
      <c r="J61" s="74">
        <v>0</v>
      </c>
      <c r="K61" s="74">
        <v>0</v>
      </c>
      <c r="L61" s="74">
        <v>0</v>
      </c>
      <c r="M61" s="77">
        <f t="shared" si="28"/>
        <v>0</v>
      </c>
      <c r="N61" s="76">
        <f t="shared" si="29"/>
        <v>0</v>
      </c>
      <c r="O61" s="77">
        <f t="shared" si="30"/>
        <v>0</v>
      </c>
      <c r="P61" s="76">
        <f t="shared" si="31"/>
        <v>0</v>
      </c>
    </row>
    <row r="62" spans="2:16" ht="15.75" customHeight="1">
      <c r="B62" s="75">
        <v>5</v>
      </c>
      <c r="C62" s="72" t="s">
        <v>6</v>
      </c>
      <c r="D62" s="73">
        <v>155</v>
      </c>
      <c r="E62" s="74">
        <v>0</v>
      </c>
      <c r="F62" s="74">
        <v>0</v>
      </c>
      <c r="G62" s="74">
        <v>0</v>
      </c>
      <c r="H62" s="75">
        <f t="shared" si="26"/>
        <v>0</v>
      </c>
      <c r="I62" s="76">
        <f t="shared" si="27"/>
        <v>0</v>
      </c>
      <c r="J62" s="74">
        <v>0</v>
      </c>
      <c r="K62" s="74">
        <v>0</v>
      </c>
      <c r="L62" s="74">
        <v>0</v>
      </c>
      <c r="M62" s="77">
        <f t="shared" si="28"/>
        <v>0</v>
      </c>
      <c r="N62" s="76">
        <f t="shared" si="29"/>
        <v>0</v>
      </c>
      <c r="O62" s="77">
        <f t="shared" si="30"/>
        <v>0</v>
      </c>
      <c r="P62" s="76">
        <f t="shared" si="31"/>
        <v>0</v>
      </c>
    </row>
    <row r="63" spans="2:16" ht="15.75" customHeight="1">
      <c r="B63" s="75">
        <v>6</v>
      </c>
      <c r="C63" s="72" t="s">
        <v>7</v>
      </c>
      <c r="D63" s="73">
        <v>546</v>
      </c>
      <c r="E63" s="74">
        <v>0</v>
      </c>
      <c r="F63" s="74">
        <v>0</v>
      </c>
      <c r="G63" s="74">
        <v>0</v>
      </c>
      <c r="H63" s="75">
        <f t="shared" si="26"/>
        <v>0</v>
      </c>
      <c r="I63" s="76">
        <f t="shared" si="27"/>
        <v>0</v>
      </c>
      <c r="J63" s="74">
        <v>0</v>
      </c>
      <c r="K63" s="74">
        <v>0</v>
      </c>
      <c r="L63" s="74">
        <v>0</v>
      </c>
      <c r="M63" s="77">
        <f t="shared" si="28"/>
        <v>0</v>
      </c>
      <c r="N63" s="76">
        <f t="shared" si="29"/>
        <v>0</v>
      </c>
      <c r="O63" s="77">
        <f t="shared" si="30"/>
        <v>0</v>
      </c>
      <c r="P63" s="76">
        <f t="shared" si="31"/>
        <v>0</v>
      </c>
    </row>
    <row r="64" spans="2:16" ht="15.75" customHeight="1">
      <c r="B64" s="75">
        <v>7</v>
      </c>
      <c r="C64" s="72" t="s">
        <v>8</v>
      </c>
      <c r="D64" s="73">
        <v>96</v>
      </c>
      <c r="E64" s="74">
        <v>0</v>
      </c>
      <c r="F64" s="74">
        <v>0</v>
      </c>
      <c r="G64" s="74">
        <v>0</v>
      </c>
      <c r="H64" s="75">
        <f t="shared" si="26"/>
        <v>0</v>
      </c>
      <c r="I64" s="76">
        <f t="shared" si="27"/>
        <v>0</v>
      </c>
      <c r="J64" s="74">
        <v>0</v>
      </c>
      <c r="K64" s="74">
        <v>0</v>
      </c>
      <c r="L64" s="74">
        <v>13</v>
      </c>
      <c r="M64" s="77">
        <f t="shared" si="28"/>
        <v>13</v>
      </c>
      <c r="N64" s="76">
        <f t="shared" si="29"/>
        <v>13.541666666666666</v>
      </c>
      <c r="O64" s="77">
        <f t="shared" si="30"/>
        <v>13</v>
      </c>
      <c r="P64" s="76">
        <f t="shared" si="31"/>
        <v>13.541666666666666</v>
      </c>
    </row>
    <row r="65" spans="2:16" ht="15.75" customHeight="1">
      <c r="B65" s="75">
        <v>8</v>
      </c>
      <c r="C65" s="72" t="s">
        <v>9</v>
      </c>
      <c r="D65" s="73">
        <v>243</v>
      </c>
      <c r="E65" s="74">
        <v>0</v>
      </c>
      <c r="F65" s="74">
        <v>0</v>
      </c>
      <c r="G65" s="74">
        <v>0</v>
      </c>
      <c r="H65" s="75">
        <f t="shared" si="26"/>
        <v>0</v>
      </c>
      <c r="I65" s="76">
        <f t="shared" si="27"/>
        <v>0</v>
      </c>
      <c r="J65" s="74">
        <v>0</v>
      </c>
      <c r="K65" s="74">
        <v>10</v>
      </c>
      <c r="L65" s="74">
        <v>13</v>
      </c>
      <c r="M65" s="77">
        <f t="shared" si="28"/>
        <v>23</v>
      </c>
      <c r="N65" s="76">
        <f t="shared" si="29"/>
        <v>9.4650205761316872</v>
      </c>
      <c r="O65" s="77">
        <f t="shared" si="30"/>
        <v>23</v>
      </c>
      <c r="P65" s="76">
        <f t="shared" si="31"/>
        <v>9.4650205761316872</v>
      </c>
    </row>
    <row r="66" spans="2:16" ht="15.75" customHeight="1">
      <c r="B66" s="75">
        <v>9</v>
      </c>
      <c r="C66" s="72" t="s">
        <v>10</v>
      </c>
      <c r="D66" s="73">
        <v>170</v>
      </c>
      <c r="E66" s="74">
        <v>0</v>
      </c>
      <c r="F66" s="74">
        <v>0</v>
      </c>
      <c r="G66" s="74">
        <v>0</v>
      </c>
      <c r="H66" s="75">
        <f t="shared" si="26"/>
        <v>0</v>
      </c>
      <c r="I66" s="76">
        <f t="shared" si="27"/>
        <v>0</v>
      </c>
      <c r="J66" s="74">
        <v>22</v>
      </c>
      <c r="K66" s="74">
        <v>0</v>
      </c>
      <c r="L66" s="74">
        <v>0</v>
      </c>
      <c r="M66" s="77">
        <f t="shared" si="28"/>
        <v>22</v>
      </c>
      <c r="N66" s="76">
        <f t="shared" si="29"/>
        <v>12.941176470588237</v>
      </c>
      <c r="O66" s="77">
        <f t="shared" si="30"/>
        <v>22</v>
      </c>
      <c r="P66" s="76">
        <f t="shared" si="31"/>
        <v>12.941176470588237</v>
      </c>
    </row>
    <row r="67" spans="2:16" ht="15.75" customHeight="1">
      <c r="B67" s="75">
        <v>10</v>
      </c>
      <c r="C67" s="72" t="s">
        <v>11</v>
      </c>
      <c r="D67" s="73">
        <v>368</v>
      </c>
      <c r="E67" s="74">
        <v>0</v>
      </c>
      <c r="F67" s="74">
        <v>0</v>
      </c>
      <c r="G67" s="74">
        <v>0</v>
      </c>
      <c r="H67" s="75">
        <f t="shared" si="26"/>
        <v>0</v>
      </c>
      <c r="I67" s="76">
        <f t="shared" si="27"/>
        <v>0</v>
      </c>
      <c r="J67" s="74">
        <v>0</v>
      </c>
      <c r="K67" s="74">
        <v>23</v>
      </c>
      <c r="L67" s="74">
        <v>0</v>
      </c>
      <c r="M67" s="77">
        <f t="shared" si="28"/>
        <v>23</v>
      </c>
      <c r="N67" s="76">
        <f t="shared" si="29"/>
        <v>6.25</v>
      </c>
      <c r="O67" s="77">
        <f t="shared" si="30"/>
        <v>23</v>
      </c>
      <c r="P67" s="76">
        <f t="shared" si="31"/>
        <v>6.25</v>
      </c>
    </row>
    <row r="68" spans="2:16" ht="15.75" customHeight="1">
      <c r="B68" s="75">
        <v>11</v>
      </c>
      <c r="C68" s="72" t="s">
        <v>12</v>
      </c>
      <c r="D68" s="73">
        <v>157</v>
      </c>
      <c r="E68" s="74">
        <v>0</v>
      </c>
      <c r="F68" s="74">
        <v>0</v>
      </c>
      <c r="G68" s="74">
        <v>20</v>
      </c>
      <c r="H68" s="75">
        <f t="shared" si="26"/>
        <v>20</v>
      </c>
      <c r="I68" s="76">
        <f t="shared" si="27"/>
        <v>12.738853503184714</v>
      </c>
      <c r="J68" s="74">
        <v>0</v>
      </c>
      <c r="K68" s="74">
        <v>0</v>
      </c>
      <c r="L68" s="74">
        <v>21</v>
      </c>
      <c r="M68" s="77">
        <f t="shared" si="28"/>
        <v>21</v>
      </c>
      <c r="N68" s="76">
        <f t="shared" si="29"/>
        <v>13.375796178343949</v>
      </c>
      <c r="O68" s="77">
        <f t="shared" si="30"/>
        <v>41</v>
      </c>
      <c r="P68" s="76">
        <f t="shared" si="31"/>
        <v>26.114649681528661</v>
      </c>
    </row>
    <row r="69" spans="2:16" ht="15.75" customHeight="1">
      <c r="B69" s="75">
        <v>12</v>
      </c>
      <c r="C69" s="72" t="s">
        <v>13</v>
      </c>
      <c r="D69" s="73">
        <v>64</v>
      </c>
      <c r="E69" s="74">
        <v>0</v>
      </c>
      <c r="F69" s="74">
        <v>0</v>
      </c>
      <c r="G69" s="74">
        <v>0</v>
      </c>
      <c r="H69" s="75">
        <f t="shared" si="26"/>
        <v>0</v>
      </c>
      <c r="I69" s="76">
        <f t="shared" si="27"/>
        <v>0</v>
      </c>
      <c r="J69" s="74">
        <v>0</v>
      </c>
      <c r="K69" s="74">
        <v>0</v>
      </c>
      <c r="L69" s="74">
        <v>0</v>
      </c>
      <c r="M69" s="77">
        <f t="shared" si="28"/>
        <v>0</v>
      </c>
      <c r="N69" s="76">
        <f t="shared" si="29"/>
        <v>0</v>
      </c>
      <c r="O69" s="77">
        <f t="shared" si="30"/>
        <v>0</v>
      </c>
      <c r="P69" s="76">
        <f t="shared" si="31"/>
        <v>0</v>
      </c>
    </row>
    <row r="70" spans="2:16" ht="15.75" customHeight="1">
      <c r="B70" s="78"/>
      <c r="C70" s="79" t="s">
        <v>55</v>
      </c>
      <c r="D70" s="80">
        <f t="shared" ref="D70" si="32">SUM(D58:D69)</f>
        <v>2330</v>
      </c>
      <c r="E70" s="81">
        <f>SUM(E58:E69)</f>
        <v>0</v>
      </c>
      <c r="F70" s="81">
        <f>SUM(F58:F69)</f>
        <v>0</v>
      </c>
      <c r="G70" s="81">
        <f>SUM(G58:G69)</f>
        <v>20</v>
      </c>
      <c r="H70" s="82">
        <f>SUM(E70:G70)</f>
        <v>20</v>
      </c>
      <c r="I70" s="83">
        <f>H70/D70*100</f>
        <v>0.85836909871244638</v>
      </c>
      <c r="J70" s="81">
        <f>SUM(J58:J69)</f>
        <v>22</v>
      </c>
      <c r="K70" s="81">
        <f>SUM(K58:K69)</f>
        <v>33</v>
      </c>
      <c r="L70" s="81">
        <f>SUM(L58:L69)</f>
        <v>49</v>
      </c>
      <c r="M70" s="84">
        <f>SUM(J70:L70)</f>
        <v>104</v>
      </c>
      <c r="N70" s="85">
        <f>M70/D70*100</f>
        <v>4.4635193133047206</v>
      </c>
      <c r="O70" s="84">
        <f>M70+H70</f>
        <v>124</v>
      </c>
      <c r="P70" s="85">
        <f>O70/D70*100</f>
        <v>5.3218884120171674</v>
      </c>
    </row>
  </sheetData>
  <mergeCells count="14">
    <mergeCell ref="B22:B23"/>
    <mergeCell ref="C22:C23"/>
    <mergeCell ref="D22:P22"/>
    <mergeCell ref="B2:P2"/>
    <mergeCell ref="B3:P3"/>
    <mergeCell ref="B5:B6"/>
    <mergeCell ref="C5:C6"/>
    <mergeCell ref="D5:P5"/>
    <mergeCell ref="B39:B40"/>
    <mergeCell ref="C39:C40"/>
    <mergeCell ref="D39:P39"/>
    <mergeCell ref="B56:B57"/>
    <mergeCell ref="C56:C57"/>
    <mergeCell ref="D56:P56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MASTER_SIPANDA_2026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JUBOX</cp:lastModifiedBy>
  <dcterms:modified xsi:type="dcterms:W3CDTF">2026-08-10T00:09:39Z</dcterms:modified>
</cp:coreProperties>
</file>