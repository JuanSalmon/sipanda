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9"/>
  </bookViews>
  <sheets>
    <sheet name="Capaian Skrining PTM Per Bulan" sheetId="1" state="visible" r:id="rId3"/>
    <sheet name="TW 2 SPM" sheetId="2" state="visible" r:id="rId4"/>
    <sheet name="Semester 1 (PTM)" sheetId="3" state="visible" r:id="rId5"/>
    <sheet name="HPV DNA " sheetId="4" state="visible" r:id="rId6"/>
    <sheet name="HPV DNA 2" sheetId="5" state="visible" r:id="rId7"/>
    <sheet name="HPV DNA 3" sheetId="6" state="visible" r:id="rId8"/>
    <sheet name="MASTER_PUSKESMAS" sheetId="7" state="visible" r:id="rId9"/>
    <sheet name="MASTER_INDIKATOR" sheetId="8" state="visible" r:id="rId10"/>
    <sheet name="TARGET" sheetId="9" state="visible" r:id="rId11"/>
    <sheet name="REALISASI" sheetId="10" state="visible" r:id="rId12"/>
    <sheet name="Tarikan ASIK" sheetId="11" state="hidden" r:id="rId13"/>
  </sheets>
  <definedNames>
    <definedName function="false" hidden="false" localSheetId="0" name="_xlnm.Print_Area" vbProcedure="false">'Capaian Skrining PTM Per Bulan'!$A$1:$Z$38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<sst xmlns="http://schemas.openxmlformats.org/spreadsheetml/2006/main" count="1573" uniqueCount="326">
  <si>
    <t xml:space="preserve">Puskemas</t>
  </si>
  <si>
    <t xml:space="preserve">Januari</t>
  </si>
  <si>
    <t xml:space="preserve">Februari</t>
  </si>
  <si>
    <t xml:space="preserve">Maret</t>
  </si>
  <si>
    <t xml:space="preserve">TW I</t>
  </si>
  <si>
    <t xml:space="preserve">April</t>
  </si>
  <si>
    <t xml:space="preserve">Mei</t>
  </si>
  <si>
    <t xml:space="preserve">Juni</t>
  </si>
  <si>
    <t xml:space="preserve">TW II</t>
  </si>
  <si>
    <t xml:space="preserve">Uspro</t>
  </si>
  <si>
    <t xml:space="preserve">HT</t>
  </si>
  <si>
    <t xml:space="preserve">DM</t>
  </si>
  <si>
    <t xml:space="preserve">Eahun</t>
  </si>
  <si>
    <t xml:space="preserve">Sotimori</t>
  </si>
  <si>
    <t xml:space="preserve">Korbafo</t>
  </si>
  <si>
    <t xml:space="preserve">Sonimanu</t>
  </si>
  <si>
    <t xml:space="preserve">Feapopi</t>
  </si>
  <si>
    <t xml:space="preserve">Baa</t>
  </si>
  <si>
    <t xml:space="preserve">Oele</t>
  </si>
  <si>
    <t xml:space="preserve">Busalangga</t>
  </si>
  <si>
    <t xml:space="preserve">Oelaba</t>
  </si>
  <si>
    <t xml:space="preserve">Batutua</t>
  </si>
  <si>
    <t xml:space="preserve">Delha</t>
  </si>
  <si>
    <t xml:space="preserve">Ndao</t>
  </si>
  <si>
    <t xml:space="preserve">Jumlah</t>
  </si>
  <si>
    <t xml:space="preserve">Rekapan Capaian Skrining PTM tahun 2026</t>
  </si>
  <si>
    <t xml:space="preserve">USPRO</t>
  </si>
  <si>
    <t xml:space="preserve">ASIK DAN RME (JIKA HANYA ADA DARI RME MAKA BISA DITERIMA)</t>
  </si>
  <si>
    <t xml:space="preserve">HT DAN DM</t>
  </si>
  <si>
    <t xml:space="preserve">HANYA AMBIL DARI RME</t>
  </si>
  <si>
    <t xml:space="preserve">SOP e-SPM</t>
  </si>
  <si>
    <t xml:space="preserve">PMK No. 6 Tahun 2024</t>
  </si>
  <si>
    <t xml:space="preserve">KMK No HK.01.07/MENKES/4634/2021 ttg PNPK Tatalaksana HT Dewasa</t>
  </si>
  <si>
    <t xml:space="preserve">PNPK 2021 Tatalaksana HT pada Anak</t>
  </si>
  <si>
    <t xml:space="preserve">Keputusan Menteri Kesehatan RI Nomor HK.01.07/MENKES/603/2020 tentang Pedoman Nasional Tata Laksana Diabetes Mellitus Tipe 2 Dewasa</t>
  </si>
  <si>
    <t xml:space="preserve">Keputusan Menteri Kesehatan Nomor HK.01.07/MENKES/2009/2024 tentang Pedoman Nasional Pelayanan Klinis Tata Laksana Diabetes Mellitus pada Anak</t>
  </si>
  <si>
    <t xml:space="preserve">CAPAIAN SKRINING PTM TW II</t>
  </si>
  <si>
    <t xml:space="preserve">TAHUN 2026</t>
  </si>
  <si>
    <t xml:space="preserve">NO</t>
  </si>
  <si>
    <t xml:space="preserve">PUSKESMAS</t>
  </si>
  <si>
    <t xml:space="preserve">USIA PRODUKTIF</t>
  </si>
  <si>
    <t xml:space="preserve">TARGET TAHUNAN</t>
  </si>
  <si>
    <t xml:space="preserve">CAPAIAN TW I</t>
  </si>
  <si>
    <t xml:space="preserve">% </t>
  </si>
  <si>
    <t xml:space="preserve">CAPAIAN TW II</t>
  </si>
  <si>
    <t xml:space="preserve">Total Capaian s/d TW II</t>
  </si>
  <si>
    <t xml:space="preserve">% s.d TW II</t>
  </si>
  <si>
    <t xml:space="preserve">EAHUN</t>
  </si>
  <si>
    <t xml:space="preserve">SOTIMORI</t>
  </si>
  <si>
    <t xml:space="preserve">KORBAFO</t>
  </si>
  <si>
    <t xml:space="preserve">SONIMANU</t>
  </si>
  <si>
    <t xml:space="preserve">FEAPOPI</t>
  </si>
  <si>
    <t xml:space="preserve">BAA</t>
  </si>
  <si>
    <t xml:space="preserve">OELE</t>
  </si>
  <si>
    <t xml:space="preserve">BUSALANGGA</t>
  </si>
  <si>
    <t xml:space="preserve">OELABA</t>
  </si>
  <si>
    <t xml:space="preserve">BATUTUA</t>
  </si>
  <si>
    <t xml:space="preserve">DELHA</t>
  </si>
  <si>
    <t xml:space="preserve">NDAO</t>
  </si>
  <si>
    <t xml:space="preserve">JUMLAH</t>
  </si>
  <si>
    <t xml:space="preserve">HIPERTENSI</t>
  </si>
  <si>
    <t xml:space="preserve">%</t>
  </si>
  <si>
    <t xml:space="preserve">DIABETES MELLITUS</t>
  </si>
  <si>
    <t xml:space="preserve">Total Capaian  s/d TW II</t>
  </si>
  <si>
    <t xml:space="preserve">CAPAIAN SKRINING PTM SEMESTER 1</t>
  </si>
  <si>
    <t xml:space="preserve">PELAYANAN KESEHATAN USIA PRODUKTIF</t>
  </si>
  <si>
    <t xml:space="preserve">TARGET TAHUNAN </t>
  </si>
  <si>
    <t xml:space="preserve">CAPAIAN SEMESTER 1</t>
  </si>
  <si>
    <t xml:space="preserve">PERSENTASE</t>
  </si>
  <si>
    <t xml:space="preserve">PELAYANAN KESEHATAN PENDERITA HIPERTENSI</t>
  </si>
  <si>
    <t xml:space="preserve">PELAYANAN KESEHATAN PENDERITA DIABETES MELLITUS</t>
  </si>
  <si>
    <t xml:space="preserve">Jlh spesimen  HPV DNA</t>
  </si>
  <si>
    <t xml:space="preserve">Pkm/Bln</t>
  </si>
  <si>
    <t xml:space="preserve">Jan</t>
  </si>
  <si>
    <t xml:space="preserve">Feb</t>
  </si>
  <si>
    <t xml:space="preserve">Apr</t>
  </si>
  <si>
    <t xml:space="preserve">Juli</t>
  </si>
  <si>
    <t xml:space="preserve">Agt</t>
  </si>
  <si>
    <t xml:space="preserve">Sep</t>
  </si>
  <si>
    <t xml:space="preserve">Okt</t>
  </si>
  <si>
    <t xml:space="preserve">Nov</t>
  </si>
  <si>
    <t xml:space="preserve">Des</t>
  </si>
  <si>
    <t xml:space="preserve">Total</t>
  </si>
  <si>
    <t xml:space="preserve">CAPAIAN PEMERIKSAAN DETEKSI DINI KANKER SERVIKS MELALUI METODE IVA DAN HPV DNA</t>
  </si>
  <si>
    <t xml:space="preserve"> SERTA DETEKSI DINI KANKER PAYUDARA MELALUI SADANIS TINGKAT KABUPATEN ROTE NDAO TAHUN 2026</t>
  </si>
  <si>
    <t xml:space="preserve">PUSKESMAS </t>
  </si>
  <si>
    <t xml:space="preserve">TARGET IVA/SADANIS</t>
  </si>
  <si>
    <t xml:space="preserve">TARGET PEMERIKSAAN HPV DNA</t>
  </si>
  <si>
    <t xml:space="preserve">CAPAIAN PEMERIKSAAN</t>
  </si>
  <si>
    <t xml:space="preserve">HASIL PEMERIKSAAN</t>
  </si>
  <si>
    <t xml:space="preserve">WUS (30-50 TAHUN)</t>
  </si>
  <si>
    <t xml:space="preserve">WUS (30-69 TAHUN)</t>
  </si>
  <si>
    <t xml:space="preserve">IVA</t>
  </si>
  <si>
    <t xml:space="preserve">SADANIS</t>
  </si>
  <si>
    <t xml:space="preserve">HPV DNA</t>
  </si>
  <si>
    <t xml:space="preserve">POSITIF IVA</t>
  </si>
  <si>
    <t xml:space="preserve">ADA TUMOR/ BENJOLAN</t>
  </si>
  <si>
    <t xml:space="preserve">POSITIF HPV DNA</t>
  </si>
  <si>
    <t xml:space="preserve">KETERANGAN</t>
  </si>
  <si>
    <t xml:space="preserve">Hasil Lab belum keluar</t>
  </si>
  <si>
    <t xml:space="preserve">REKAPAN DETEKSI DINI KANKER SERVIKS DENGAN METODE HPV DNA &amp; IVA TES</t>
  </si>
  <si>
    <t xml:space="preserve">KABUPATEN ROTE NDAO TAHUN 2026</t>
  </si>
  <si>
    <t xml:space="preserve">update data per 23 Juli 2026</t>
  </si>
  <si>
    <t xml:space="preserve">JUMLAH SPESIMEN</t>
  </si>
  <si>
    <t xml:space="preserve">HASIL LABORATORIUM BELUM KELUAR</t>
  </si>
  <si>
    <t xml:space="preserve">HASIL PEMERIKSAAN HPV DNA</t>
  </si>
  <si>
    <t xml:space="preserve">HASIL IVA</t>
  </si>
  <si>
    <t xml:space="preserve">IVA + DAN DNA HPV +</t>
  </si>
  <si>
    <t xml:space="preserve">IVA - DAN DNA HPV +</t>
  </si>
  <si>
    <t xml:space="preserve">IVA + DAN DNA HPV -</t>
  </si>
  <si>
    <t xml:space="preserve">IVA - DAN DNA HPV -</t>
  </si>
  <si>
    <t xml:space="preserve">NEGATIF</t>
  </si>
  <si>
    <t xml:space="preserve">SUB TIPE 16</t>
  </si>
  <si>
    <t xml:space="preserve">SUB TIPE 18</t>
  </si>
  <si>
    <t xml:space="preserve">SUB TIPE 52</t>
  </si>
  <si>
    <t xml:space="preserve">SUB TIPE LAINNYA</t>
  </si>
  <si>
    <t xml:space="preserve">POSITIF</t>
  </si>
  <si>
    <t xml:space="preserve">CURIGA KANKER</t>
  </si>
  <si>
    <t xml:space="preserve">No</t>
  </si>
  <si>
    <t xml:space="preserve">Kode PKM</t>
  </si>
  <si>
    <t xml:space="preserve">Nama Puskesmas</t>
  </si>
  <si>
    <t xml:space="preserve">Kecamatan</t>
  </si>
  <si>
    <t xml:space="preserve">Status</t>
  </si>
  <si>
    <t xml:space="preserve">PKM01</t>
  </si>
  <si>
    <t xml:space="preserve">ROTE TIMUR</t>
  </si>
  <si>
    <t xml:space="preserve">AKTIF</t>
  </si>
  <si>
    <t xml:space="preserve">PKM02</t>
  </si>
  <si>
    <t xml:space="preserve">LANDU LEKO</t>
  </si>
  <si>
    <t xml:space="preserve">PKM03</t>
  </si>
  <si>
    <t xml:space="preserve">PANTAI BARU</t>
  </si>
  <si>
    <t xml:space="preserve">PKM04</t>
  </si>
  <si>
    <t xml:space="preserve">PKM05</t>
  </si>
  <si>
    <t xml:space="preserve">ROTE TENGAH </t>
  </si>
  <si>
    <t xml:space="preserve">PKM06</t>
  </si>
  <si>
    <t xml:space="preserve">LOBALAIN</t>
  </si>
  <si>
    <t xml:space="preserve">PKM07</t>
  </si>
  <si>
    <t xml:space="preserve">ROTE SELATAN</t>
  </si>
  <si>
    <t xml:space="preserve">PKM08</t>
  </si>
  <si>
    <t xml:space="preserve">ROTE BARAT LAUT</t>
  </si>
  <si>
    <t xml:space="preserve">PKM09</t>
  </si>
  <si>
    <t xml:space="preserve">LOAHOLU</t>
  </si>
  <si>
    <t xml:space="preserve">PKM10</t>
  </si>
  <si>
    <t xml:space="preserve">ROTE BARAT DAYA</t>
  </si>
  <si>
    <t xml:space="preserve">PKM11</t>
  </si>
  <si>
    <t xml:space="preserve">ROTE BARAT</t>
  </si>
  <si>
    <t xml:space="preserve">PKM12</t>
  </si>
  <si>
    <t xml:space="preserve">NDAO NUSE</t>
  </si>
  <si>
    <t xml:space="preserve">Kode</t>
  </si>
  <si>
    <t xml:space="preserve">Nama Indikator</t>
  </si>
  <si>
    <t xml:space="preserve">Satuan</t>
  </si>
  <si>
    <t xml:space="preserve">UP</t>
  </si>
  <si>
    <t xml:space="preserve">Usia Produktif</t>
  </si>
  <si>
    <t xml:space="preserve">Orang</t>
  </si>
  <si>
    <t xml:space="preserve">Hipertensi</t>
  </si>
  <si>
    <t xml:space="preserve">Diabetes Melitus</t>
  </si>
  <si>
    <t xml:space="preserve">HPV</t>
  </si>
  <si>
    <t xml:space="preserve">HPV DNA Co Testing IVA</t>
  </si>
  <si>
    <t xml:space="preserve">Tahun</t>
  </si>
  <si>
    <t xml:space="preserve">Puskesmas</t>
  </si>
  <si>
    <t xml:space="preserve">Indikator</t>
  </si>
  <si>
    <t xml:space="preserve">Target Tahunan</t>
  </si>
  <si>
    <t xml:space="preserve">Target Bulanan</t>
  </si>
  <si>
    <t xml:space="preserve">Bulan</t>
  </si>
  <si>
    <t xml:space="preserve">CAPAIAN BULANAN</t>
  </si>
  <si>
    <t xml:space="preserve">Tarikan data ASIK CKG</t>
  </si>
  <si>
    <t xml:space="preserve">Tanggal 1 Januari s/d 16 Juni 2026</t>
  </si>
  <si>
    <t xml:space="preserve">Pendaftar berdasarkan Klaster Usia </t>
  </si>
  <si>
    <t xml:space="preserve">Klaster Usia</t>
  </si>
  <si>
    <t xml:space="preserve">Jumlah Pendaftar (Orang)</t>
  </si>
  <si>
    <t xml:space="preserve">Bayi Baru Lahir &lt; 1 tahun </t>
  </si>
  <si>
    <t xml:space="preserve">Anak 1 - 6 tahun </t>
  </si>
  <si>
    <t xml:space="preserve">Usia sekolah 7 - 12 tahun </t>
  </si>
  <si>
    <t xml:space="preserve">Usia sekolah 13 - 15 tahun</t>
  </si>
  <si>
    <t xml:space="preserve">Usia sekolah 16 s.d &lt;18 tahun </t>
  </si>
  <si>
    <t xml:space="preserve">Dewasa 18 - 29 tahun </t>
  </si>
  <si>
    <t xml:space="preserve">Dewasa 30 - 39 tahun </t>
  </si>
  <si>
    <t xml:space="preserve">Dewasa 40 - 59 tahun </t>
  </si>
  <si>
    <t xml:space="preserve">Lansia &gt;= 60 tahun </t>
  </si>
  <si>
    <t xml:space="preserve">Total Pemeriksaan Khusus</t>
  </si>
  <si>
    <t xml:space="preserve">Jenis Skrining</t>
  </si>
  <si>
    <t xml:space="preserve">Jumlah Pendaftar</t>
  </si>
  <si>
    <t xml:space="preserve">Skrining Talasemia dan GDS</t>
  </si>
  <si>
    <t xml:space="preserve">Skrining Anemia </t>
  </si>
  <si>
    <t xml:space="preserve">Skrining HPV DNA dan Kanker Payudara</t>
  </si>
  <si>
    <t xml:space="preserve">Skrining Kanker Kolorektar dan Kanker Paru</t>
  </si>
  <si>
    <t xml:space="preserve">Tabel Agregat</t>
  </si>
  <si>
    <t xml:space="preserve">Total Pendaftar</t>
  </si>
  <si>
    <t xml:space="preserve">Total Bayi</t>
  </si>
  <si>
    <t xml:space="preserve">Bayi Perempuan</t>
  </si>
  <si>
    <t xml:space="preserve">Bayi Laki - Laki</t>
  </si>
  <si>
    <t xml:space="preserve">Total Anak</t>
  </si>
  <si>
    <t xml:space="preserve">Anak Perempuan</t>
  </si>
  <si>
    <t xml:space="preserve">Anak Laki2</t>
  </si>
  <si>
    <t xml:space="preserve">Total SD</t>
  </si>
  <si>
    <t xml:space="preserve">SD Perempuan</t>
  </si>
  <si>
    <t xml:space="preserve">SD Laki - Laki</t>
  </si>
  <si>
    <t xml:space="preserve">Total SMP</t>
  </si>
  <si>
    <t xml:space="preserve">SMP Perempuan</t>
  </si>
  <si>
    <t xml:space="preserve">SMP Laki - Laki</t>
  </si>
  <si>
    <t xml:space="preserve">Total SMA</t>
  </si>
  <si>
    <t xml:space="preserve">SMA Perempuan</t>
  </si>
  <si>
    <t xml:space="preserve">SMA Laki - Laki</t>
  </si>
  <si>
    <t xml:space="preserve">Total Dewasa I</t>
  </si>
  <si>
    <t xml:space="preserve">Dewasa I Perempuan</t>
  </si>
  <si>
    <t xml:space="preserve">Dewasa I Laki - Laki</t>
  </si>
  <si>
    <t xml:space="preserve">Total Dewasa II</t>
  </si>
  <si>
    <t xml:space="preserve">Dewasa II Perempuan</t>
  </si>
  <si>
    <t xml:space="preserve">Dewasa II Laki - Laki</t>
  </si>
  <si>
    <t xml:space="preserve">Total Dewasa III</t>
  </si>
  <si>
    <t xml:space="preserve">Dewasa III Perempuan</t>
  </si>
  <si>
    <t xml:space="preserve">Dewasa III Laki - Laki</t>
  </si>
  <si>
    <t xml:space="preserve">Total Lansia</t>
  </si>
  <si>
    <t xml:space="preserve">Lansia Perempuan</t>
  </si>
  <si>
    <t xml:space="preserve">Lansia Laki - Laki</t>
  </si>
  <si>
    <t xml:space="preserve">Lobalain</t>
  </si>
  <si>
    <t xml:space="preserve">Pantai Baru</t>
  </si>
  <si>
    <t xml:space="preserve">Rote Barat</t>
  </si>
  <si>
    <t xml:space="preserve">Ndao Nuse</t>
  </si>
  <si>
    <t xml:space="preserve">Rote Barat Daya</t>
  </si>
  <si>
    <t xml:space="preserve">Loaholu</t>
  </si>
  <si>
    <t xml:space="preserve">Rote Barat Laut</t>
  </si>
  <si>
    <t xml:space="preserve">Rote Selatan</t>
  </si>
  <si>
    <t xml:space="preserve">Rote Tengah</t>
  </si>
  <si>
    <t xml:space="preserve">Landu Leko</t>
  </si>
  <si>
    <t xml:space="preserve">Rote Timur</t>
  </si>
  <si>
    <t xml:space="preserve">Total </t>
  </si>
  <si>
    <t xml:space="preserve">Tarikan data ASIK PTM Klaster 3 </t>
  </si>
  <si>
    <t xml:space="preserve">Dashboard Peserta</t>
  </si>
  <si>
    <t xml:space="preserve">Menu : Deteksi Dini Overview</t>
  </si>
  <si>
    <t xml:space="preserve">L</t>
  </si>
  <si>
    <t xml:space="preserve">P</t>
  </si>
  <si>
    <t xml:space="preserve">Diagnosis</t>
  </si>
  <si>
    <t xml:space="preserve">Tekanan Darah</t>
  </si>
  <si>
    <t xml:space="preserve">Gula Darah</t>
  </si>
  <si>
    <t xml:space="preserve">IMT</t>
  </si>
  <si>
    <t xml:space="preserve">Jumlah Peserta</t>
  </si>
  <si>
    <t xml:space="preserve">Normal</t>
  </si>
  <si>
    <t xml:space="preserve">Pre-Hipertensi</t>
  </si>
  <si>
    <t xml:space="preserve">Jlh peserta</t>
  </si>
  <si>
    <t xml:space="preserve">Pre-Diabetes</t>
  </si>
  <si>
    <t xml:space="preserve">Diabetes</t>
  </si>
  <si>
    <t xml:space="preserve">Underweight</t>
  </si>
  <si>
    <t xml:space="preserve">Overweight</t>
  </si>
  <si>
    <t xml:space="preserve">Obesitas</t>
  </si>
  <si>
    <t xml:space="preserve">Lingkar Perut</t>
  </si>
  <si>
    <t xml:space="preserve">EKG</t>
  </si>
  <si>
    <t xml:space="preserve">Jlh Peserta</t>
  </si>
  <si>
    <t xml:space="preserve">Obesitas Sentral </t>
  </si>
  <si>
    <t xml:space="preserve">Abnormal</t>
  </si>
  <si>
    <t xml:space="preserve">Jlh peserta -Penyandang DM/HT</t>
  </si>
  <si>
    <t xml:space="preserve">Abnormal - Penyandang DM/HT</t>
  </si>
  <si>
    <t xml:space="preserve">Normal - Penyandang DM/HT</t>
  </si>
  <si>
    <t xml:space="preserve">Jlh peserta - Penyandang DM</t>
  </si>
  <si>
    <t xml:space="preserve">Abnormal - Penyandang DM</t>
  </si>
  <si>
    <t xml:space="preserve">Normal - Penyandang DM</t>
  </si>
  <si>
    <t xml:space="preserve">Jlh Peserta - Penyandang HT</t>
  </si>
  <si>
    <t xml:space="preserve">Abnormal - Penyandang HT</t>
  </si>
  <si>
    <t xml:space="preserve">Normal - Penyandang HT</t>
  </si>
  <si>
    <t xml:space="preserve">Lemak Darah</t>
  </si>
  <si>
    <t xml:space="preserve">Tidak Normal</t>
  </si>
  <si>
    <t xml:space="preserve">Jlh peserta - Penyandang HT/DM</t>
  </si>
  <si>
    <t xml:space="preserve">Normal-Penyandang HT/DM</t>
  </si>
  <si>
    <t xml:space="preserve">Tidak Normal-Penyandang HT/DM</t>
  </si>
  <si>
    <t xml:space="preserve">Jlh peserta -Penyandang HT</t>
  </si>
  <si>
    <t xml:space="preserve">Tidak Normal-Penyandang HT</t>
  </si>
  <si>
    <t xml:space="preserve">Jlh Peserta - Penyandang DM</t>
  </si>
  <si>
    <t xml:space="preserve">Tidak normal - penyandang DM</t>
  </si>
  <si>
    <t xml:space="preserve">Ca Mamae - Sadanis</t>
  </si>
  <si>
    <t xml:space="preserve">Ca Mamae  USG</t>
  </si>
  <si>
    <t xml:space="preserve">Normal </t>
  </si>
  <si>
    <t xml:space="preserve">Curiga Kanker</t>
  </si>
  <si>
    <t xml:space="preserve">Benjolan</t>
  </si>
  <si>
    <t xml:space="preserve">Simple Cyst</t>
  </si>
  <si>
    <t xml:space="preserve">Non Simple cyst</t>
  </si>
  <si>
    <t xml:space="preserve">Ca Kolorektal - Kuesioner</t>
  </si>
  <si>
    <t xml:space="preserve">Ca Kolorektal - Risiko Tinggi</t>
  </si>
  <si>
    <t xml:space="preserve">Risiko rendah</t>
  </si>
  <si>
    <t xml:space="preserve">Risiko Sedang</t>
  </si>
  <si>
    <t xml:space="preserve">Risiko Tinggi</t>
  </si>
  <si>
    <t xml:space="preserve">Tidak curiga Kanker</t>
  </si>
  <si>
    <t xml:space="preserve">Curiga tumor jinak</t>
  </si>
  <si>
    <t xml:space="preserve">Curiga kanker kolorektal</t>
  </si>
  <si>
    <t xml:space="preserve">Curiga kanker</t>
  </si>
  <si>
    <t xml:space="preserve">Ca Paru - Kuesioner</t>
  </si>
  <si>
    <t xml:space="preserve">Ca Paru - Kuesioner (Umur 45 - 70 thn)</t>
  </si>
  <si>
    <t xml:space="preserve">Risiko sedang</t>
  </si>
  <si>
    <t xml:space="preserve">Risiko tinggi</t>
  </si>
  <si>
    <t xml:space="preserve">Thalassemia</t>
  </si>
  <si>
    <t xml:space="preserve">Tidak curiga</t>
  </si>
  <si>
    <t xml:space="preserve">Curiga</t>
  </si>
  <si>
    <t xml:space="preserve">Tajam penglihatan</t>
  </si>
  <si>
    <t xml:space="preserve">Katarak</t>
  </si>
  <si>
    <t xml:space="preserve">Gangguan ringan</t>
  </si>
  <si>
    <t xml:space="preserve">Gangguan sedang</t>
  </si>
  <si>
    <t xml:space="preserve">Gangguan berat</t>
  </si>
  <si>
    <t xml:space="preserve">Bukan katarak</t>
  </si>
  <si>
    <t xml:space="preserve">Curiga katarak</t>
  </si>
  <si>
    <t xml:space="preserve">Tajam pendengaran</t>
  </si>
  <si>
    <t xml:space="preserve">Congek OMSK</t>
  </si>
  <si>
    <t xml:space="preserve">Gangguan </t>
  </si>
  <si>
    <t xml:space="preserve">Gangguan</t>
  </si>
  <si>
    <t xml:space="preserve">PPOK</t>
  </si>
  <si>
    <t xml:space="preserve">Menu : Diagnosis Overview</t>
  </si>
  <si>
    <t xml:space="preserve">Penyandang Penyakit Jantung</t>
  </si>
  <si>
    <t xml:space="preserve">Umum</t>
  </si>
  <si>
    <t xml:space="preserve">Jtg koroner</t>
  </si>
  <si>
    <t xml:space="preserve">Gagal jtg</t>
  </si>
  <si>
    <t xml:space="preserve">Kongenital</t>
  </si>
  <si>
    <t xml:space="preserve">lainnya</t>
  </si>
  <si>
    <t xml:space="preserve">Penyandang HT</t>
  </si>
  <si>
    <t xml:space="preserve">Penyandang DM</t>
  </si>
  <si>
    <t xml:space="preserve">Penyandang Obes</t>
  </si>
  <si>
    <t xml:space="preserve">Penderita Stroke</t>
  </si>
  <si>
    <t xml:space="preserve">Penyandang Ca Mamae</t>
  </si>
  <si>
    <t xml:space="preserve">Penyandang Ca Serviks</t>
  </si>
  <si>
    <t xml:space="preserve">Penyandang Thalassemia</t>
  </si>
  <si>
    <t xml:space="preserve">Penyandang Gangguan Pendengaran</t>
  </si>
  <si>
    <t xml:space="preserve">Serumen Prop</t>
  </si>
  <si>
    <t xml:space="preserve">Otitis (OMSK)</t>
  </si>
  <si>
    <t xml:space="preserve">Presbikusis</t>
  </si>
  <si>
    <t xml:space="preserve">Penyandang Gangguan Penglihatan</t>
  </si>
  <si>
    <t xml:space="preserve">Refraksi</t>
  </si>
  <si>
    <t xml:space="preserve">Miopia</t>
  </si>
  <si>
    <t xml:space="preserve">umum</t>
  </si>
  <si>
    <t xml:space="preserve">stabil</t>
  </si>
  <si>
    <t xml:space="preserve">Akserbasi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</si>
</sst>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.0"/>
    <numFmt numFmtId="167" formatCode="0"/>
    <numFmt numFmtId="168" formatCode="#,##0"/>
  </numFmts>
  <fonts count="17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b val="true"/>
      <sz val="12"/>
      <color theme="1"/>
      <name val="Arial"/>
      <family val="0"/>
      <charset val="1"/>
    </font>
    <font>
      <b val="true"/>
      <sz val="12"/>
      <color theme="1"/>
      <name val="Calibri"/>
      <family val="0"/>
      <charset val="1"/>
    </font>
    <font>
      <sz val="11"/>
      <color theme="1"/>
      <name val="Arial"/>
      <family val="0"/>
      <charset val="1"/>
    </font>
    <font>
      <b val="true"/>
      <sz val="14"/>
      <color theme="1"/>
      <name val="Arial"/>
      <family val="0"/>
      <charset val="1"/>
    </font>
    <font>
      <b val="true"/>
      <sz val="12"/>
      <color theme="1"/>
      <name val="Arial"/>
      <family val="2"/>
      <charset val="1"/>
    </font>
    <font>
      <sz val="12"/>
      <color theme="1"/>
      <name val="Arial"/>
      <family val="2"/>
      <charset val="1"/>
    </font>
    <font>
      <b val="true"/>
      <sz val="14"/>
      <color theme="1"/>
      <name val="Arial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EAD1DC"/>
        <bgColor rgb="FFD9E2F3"/>
      </patternFill>
    </fill>
    <fill>
      <patternFill patternType="solid">
        <fgColor rgb="FFCFE2F3"/>
        <bgColor rgb="FFD9E2F3"/>
      </patternFill>
    </fill>
    <fill>
      <patternFill patternType="solid">
        <fgColor rgb="FFB4C6E7"/>
        <bgColor rgb="FFB4C7E7"/>
      </patternFill>
    </fill>
    <fill>
      <patternFill patternType="solid">
        <fgColor rgb="FFC5E0B3"/>
        <bgColor rgb="FFC5E0B4"/>
      </patternFill>
    </fill>
    <fill>
      <patternFill patternType="solid">
        <fgColor rgb="FFFFE598"/>
        <bgColor rgb="FFFFF2CC"/>
      </patternFill>
    </fill>
    <fill>
      <patternFill patternType="solid">
        <fgColor rgb="FFC9DAF8"/>
        <bgColor rgb="FFCFE2F3"/>
      </patternFill>
    </fill>
    <fill>
      <patternFill patternType="solid">
        <fgColor rgb="FFB6D7A8"/>
        <bgColor rgb="FFC5E0B3"/>
      </patternFill>
    </fill>
    <fill>
      <patternFill patternType="solid">
        <fgColor theme="7" tint="0.7999"/>
        <bgColor rgb="FFFFE598"/>
      </patternFill>
    </fill>
    <fill>
      <patternFill patternType="solid">
        <fgColor rgb="FF92D050"/>
        <bgColor rgb="FFB6D7A8"/>
      </patternFill>
    </fill>
    <fill>
      <patternFill patternType="solid">
        <fgColor rgb="FFFF0000"/>
        <bgColor rgb="FF993300"/>
      </patternFill>
    </fill>
    <fill>
      <patternFill patternType="solid">
        <fgColor rgb="FFFFFF00"/>
        <bgColor rgb="FFFFFF00"/>
      </patternFill>
    </fill>
    <fill>
      <patternFill patternType="solid">
        <fgColor theme="4" tint="0.7999"/>
        <bgColor rgb="FFD9E2F3"/>
      </patternFill>
    </fill>
    <fill>
      <patternFill patternType="solid">
        <fgColor theme="9" tint="0.5999"/>
        <bgColor rgb="FFC5E0B3"/>
      </patternFill>
    </fill>
    <fill>
      <patternFill patternType="solid">
        <fgColor theme="4" tint="0.5999"/>
        <bgColor rgb="FFB4C6E7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/>
      <top style="thin">
        <color theme="4" tint="0.3999"/>
      </top>
      <bottom style="thin">
        <color theme="4" tint="0.3999"/>
      </bottom>
      <diagonal/>
    </border>
    <border diagonalUp="false" diagonalDown="false">
      <left/>
      <right/>
      <top style="thin">
        <color theme="4" tint="0.3999"/>
      </top>
      <bottom style="thin">
        <color rgb="FFD9E2F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9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9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9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1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11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1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1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11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11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1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1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1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1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4" fillId="1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1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4" fillId="1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1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4" fillId="1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1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15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0" fillId="15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4" fillId="13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4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4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12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D9E2F3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8FAADC"/>
      <rgbColor rgb="FF7030A0"/>
      <rgbColor rgb="FFFFF2CC"/>
      <rgbColor rgb="FFCFE2F3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AE3F3"/>
      <rgbColor rgb="FFC5E0B4"/>
      <rgbColor rgb="FFC5E0B3"/>
      <rgbColor rgb="FFB4C7E7"/>
      <rgbColor rgb="FFEAD1DC"/>
      <rgbColor rgb="FFCC99FF"/>
      <rgbColor rgb="FFFFE598"/>
      <rgbColor rgb="FF3366FF"/>
      <rgbColor rgb="FF33CCCC"/>
      <rgbColor rgb="FF92D050"/>
      <rgbColor rgb="FFFFCC00"/>
      <rgbColor rgb="FFFF9900"/>
      <rgbColor rgb="FFFF6600"/>
      <rgbColor rgb="FF666699"/>
      <rgbColor rgb="FFB6D7A8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552600</xdr:colOff>
      <xdr:row>0</xdr:row>
      <xdr:rowOff>0</xdr:rowOff>
    </xdr:from>
    <xdr:to>
      <xdr:col>17</xdr:col>
      <xdr:colOff>221760</xdr:colOff>
      <xdr:row>8</xdr:row>
      <xdr:rowOff>246960</xdr:rowOff>
    </xdr:to>
    <xdr:pic>
      <xdr:nvPicPr>
        <xdr:cNvPr id="0" name="image1.png" descr=""/>
        <xdr:cNvPicPr/>
      </xdr:nvPicPr>
      <xdr:blipFill>
        <a:blip r:embed="rId1"/>
        <a:stretch/>
      </xdr:blipFill>
      <xdr:spPr>
        <a:xfrm>
          <a:off x="13756320" y="0"/>
          <a:ext cx="4761720" cy="20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76320</xdr:colOff>
      <xdr:row>10</xdr:row>
      <xdr:rowOff>104760</xdr:rowOff>
    </xdr:from>
    <xdr:to>
      <xdr:col>11</xdr:col>
      <xdr:colOff>878400</xdr:colOff>
      <xdr:row>16</xdr:row>
      <xdr:rowOff>170280</xdr:rowOff>
    </xdr:to>
    <xdr:pic>
      <xdr:nvPicPr>
        <xdr:cNvPr id="1" name="image5.png" descr=""/>
        <xdr:cNvPicPr/>
      </xdr:nvPicPr>
      <xdr:blipFill>
        <a:blip r:embed="rId2"/>
        <a:stretch/>
      </xdr:blipFill>
      <xdr:spPr>
        <a:xfrm>
          <a:off x="8187120" y="2628720"/>
          <a:ext cx="4876200" cy="1875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866880</xdr:colOff>
      <xdr:row>21</xdr:row>
      <xdr:rowOff>85680</xdr:rowOff>
    </xdr:from>
    <xdr:to>
      <xdr:col>8</xdr:col>
      <xdr:colOff>972360</xdr:colOff>
      <xdr:row>30</xdr:row>
      <xdr:rowOff>18360</xdr:rowOff>
    </xdr:to>
    <xdr:pic>
      <xdr:nvPicPr>
        <xdr:cNvPr id="2" name="image4.png" descr=""/>
        <xdr:cNvPicPr/>
      </xdr:nvPicPr>
      <xdr:blipFill>
        <a:blip r:embed="rId3"/>
        <a:stretch/>
      </xdr:blipFill>
      <xdr:spPr>
        <a:xfrm>
          <a:off x="7959240" y="5505480"/>
          <a:ext cx="2142360" cy="2266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647640</xdr:colOff>
      <xdr:row>21</xdr:row>
      <xdr:rowOff>85680</xdr:rowOff>
    </xdr:from>
    <xdr:to>
      <xdr:col>12</xdr:col>
      <xdr:colOff>429120</xdr:colOff>
      <xdr:row>30</xdr:row>
      <xdr:rowOff>18360</xdr:rowOff>
    </xdr:to>
    <xdr:pic>
      <xdr:nvPicPr>
        <xdr:cNvPr id="3" name="image3.png" descr=""/>
        <xdr:cNvPicPr/>
      </xdr:nvPicPr>
      <xdr:blipFill>
        <a:blip r:embed="rId4"/>
        <a:stretch/>
      </xdr:blipFill>
      <xdr:spPr>
        <a:xfrm>
          <a:off x="11814120" y="5505480"/>
          <a:ext cx="1818720" cy="2266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790560</xdr:colOff>
      <xdr:row>0</xdr:row>
      <xdr:rowOff>0</xdr:rowOff>
    </xdr:from>
    <xdr:to>
      <xdr:col>11</xdr:col>
      <xdr:colOff>69120</xdr:colOff>
      <xdr:row>8</xdr:row>
      <xdr:rowOff>75240</xdr:rowOff>
    </xdr:to>
    <xdr:pic>
      <xdr:nvPicPr>
        <xdr:cNvPr id="4" name="image6.png" descr=""/>
        <xdr:cNvPicPr/>
      </xdr:nvPicPr>
      <xdr:blipFill>
        <a:blip r:embed="rId5"/>
        <a:stretch/>
      </xdr:blipFill>
      <xdr:spPr>
        <a:xfrm>
          <a:off x="7882920" y="0"/>
          <a:ext cx="4371120" cy="18756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B2:Z1000"/>
  <sheetViews>
    <sheetView showFormulas="false" showGridLines="true" showRowColHeaders="true" showZeros="true" rightToLeft="false" tabSelected="false" showOutlineSymbols="true" defaultGridColor="true" view="normal" topLeftCell="B1" colorId="64" zoomScale="78" zoomScaleNormal="78" zoomScalePageLayoutView="100" workbookViewId="0">
      <selection pane="topLeft" activeCell="F8" activeCellId="0" sqref="F8"/>
    </sheetView>
  </sheetViews>
  <sheetFormatPr defaultColWidth="14.453125" defaultRowHeight="15" zeroHeight="false" outlineLevelRow="0" outlineLevelCol="0"/>
  <cols>
    <col collapsed="false" customWidth="true" hidden="false" outlineLevel="0" max="1" min="1" style="1" width="8.73"/>
    <col collapsed="false" customWidth="true" hidden="false" outlineLevel="0" max="2" min="2" style="1" width="14.09"/>
    <col collapsed="false" customWidth="true" hidden="false" outlineLevel="0" max="14" min="3" style="1" width="8.73"/>
    <col collapsed="false" customWidth="true" hidden="false" outlineLevel="0" max="26" min="15" style="1" width="12"/>
    <col collapsed="false" customWidth="true" hidden="false" outlineLevel="0" max="32" min="27" style="1" width="8.73"/>
  </cols>
  <sheetData>
    <row r="2" customFormat="false" ht="14.25" hidden="false" customHeight="true" outlineLevel="0" collapsed="false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4" customFormat="false" ht="19.5" hidden="false" customHeight="true" outlineLevel="0" collapsed="false">
      <c r="B4" s="3" t="s">
        <v>0</v>
      </c>
      <c r="C4" s="4" t="s">
        <v>1</v>
      </c>
      <c r="D4" s="4"/>
      <c r="E4" s="4"/>
      <c r="F4" s="4" t="s">
        <v>2</v>
      </c>
      <c r="G4" s="4"/>
      <c r="H4" s="4"/>
      <c r="I4" s="4" t="s">
        <v>3</v>
      </c>
      <c r="J4" s="4"/>
      <c r="K4" s="4"/>
      <c r="L4" s="5" t="s">
        <v>4</v>
      </c>
      <c r="M4" s="5"/>
      <c r="N4" s="5"/>
      <c r="O4" s="6" t="s">
        <v>5</v>
      </c>
      <c r="P4" s="6"/>
      <c r="Q4" s="6"/>
      <c r="R4" s="6" t="s">
        <v>6</v>
      </c>
      <c r="S4" s="6"/>
      <c r="T4" s="6"/>
      <c r="U4" s="6" t="s">
        <v>7</v>
      </c>
      <c r="V4" s="6"/>
      <c r="W4" s="6"/>
      <c r="X4" s="7" t="s">
        <v>8</v>
      </c>
      <c r="Y4" s="7"/>
      <c r="Z4" s="7"/>
    </row>
    <row r="5" customFormat="false" ht="19.5" hidden="false" customHeight="true" outlineLevel="0" collapsed="false">
      <c r="B5" s="3"/>
      <c r="C5" s="8" t="s">
        <v>9</v>
      </c>
      <c r="D5" s="9" t="s">
        <v>10</v>
      </c>
      <c r="E5" s="10" t="s">
        <v>11</v>
      </c>
      <c r="F5" s="8" t="s">
        <v>9</v>
      </c>
      <c r="G5" s="9" t="s">
        <v>10</v>
      </c>
      <c r="H5" s="10" t="s">
        <v>11</v>
      </c>
      <c r="I5" s="8" t="s">
        <v>9</v>
      </c>
      <c r="J5" s="9" t="s">
        <v>10</v>
      </c>
      <c r="K5" s="10" t="s">
        <v>11</v>
      </c>
      <c r="L5" s="8" t="s">
        <v>9</v>
      </c>
      <c r="M5" s="9" t="s">
        <v>10</v>
      </c>
      <c r="N5" s="10" t="s">
        <v>11</v>
      </c>
      <c r="O5" s="8" t="s">
        <v>9</v>
      </c>
      <c r="P5" s="9" t="s">
        <v>10</v>
      </c>
      <c r="Q5" s="10" t="s">
        <v>11</v>
      </c>
      <c r="R5" s="8" t="s">
        <v>9</v>
      </c>
      <c r="S5" s="9" t="s">
        <v>10</v>
      </c>
      <c r="T5" s="10" t="s">
        <v>11</v>
      </c>
      <c r="U5" s="8" t="s">
        <v>9</v>
      </c>
      <c r="V5" s="9" t="s">
        <v>10</v>
      </c>
      <c r="W5" s="10" t="s">
        <v>11</v>
      </c>
      <c r="X5" s="8" t="s">
        <v>9</v>
      </c>
      <c r="Y5" s="9" t="s">
        <v>10</v>
      </c>
      <c r="Z5" s="10" t="s">
        <v>11</v>
      </c>
    </row>
    <row r="6" customFormat="false" ht="16.5" hidden="false" customHeight="true" outlineLevel="0" collapsed="false">
      <c r="B6" s="11" t="s">
        <v>12</v>
      </c>
      <c r="C6" s="12" t="n">
        <v>15</v>
      </c>
      <c r="D6" s="13" t="n">
        <v>0</v>
      </c>
      <c r="E6" s="14" t="n">
        <v>1</v>
      </c>
      <c r="F6" s="12" t="n">
        <v>58</v>
      </c>
      <c r="G6" s="13" t="n">
        <v>0</v>
      </c>
      <c r="H6" s="14" t="n">
        <v>0</v>
      </c>
      <c r="I6" s="12" t="n">
        <v>46</v>
      </c>
      <c r="J6" s="13" t="n">
        <v>1</v>
      </c>
      <c r="K6" s="14" t="n">
        <v>0</v>
      </c>
      <c r="L6" s="12" t="n">
        <f aca="false">C6+F6+I6</f>
        <v>119</v>
      </c>
      <c r="M6" s="13" t="n">
        <f aca="false">D6+G6+J6</f>
        <v>1</v>
      </c>
      <c r="N6" s="14" t="n">
        <f aca="false">E6+H6+K6</f>
        <v>1</v>
      </c>
      <c r="O6" s="12" t="n">
        <v>222</v>
      </c>
      <c r="P6" s="13" t="n">
        <v>21</v>
      </c>
      <c r="Q6" s="14" t="n">
        <v>6</v>
      </c>
      <c r="R6" s="12" t="n">
        <v>295</v>
      </c>
      <c r="S6" s="13" t="n">
        <v>7</v>
      </c>
      <c r="T6" s="14" t="n">
        <v>9</v>
      </c>
      <c r="U6" s="12" t="n">
        <v>481</v>
      </c>
      <c r="V6" s="13" t="n">
        <v>12</v>
      </c>
      <c r="W6" s="14" t="n">
        <v>4</v>
      </c>
      <c r="X6" s="12" t="n">
        <f aca="false">O6+R6+U6</f>
        <v>998</v>
      </c>
      <c r="Y6" s="13" t="n">
        <f aca="false">P6+S6+V6</f>
        <v>40</v>
      </c>
      <c r="Z6" s="14" t="n">
        <f aca="false">Q6+T6+W6</f>
        <v>19</v>
      </c>
    </row>
    <row r="7" customFormat="false" ht="16.5" hidden="false" customHeight="true" outlineLevel="0" collapsed="false">
      <c r="B7" s="11" t="s">
        <v>13</v>
      </c>
      <c r="C7" s="12" t="n">
        <v>112</v>
      </c>
      <c r="D7" s="13" t="n">
        <v>26</v>
      </c>
      <c r="E7" s="14" t="n">
        <v>6</v>
      </c>
      <c r="F7" s="12" t="n">
        <v>244</v>
      </c>
      <c r="G7" s="13" t="n">
        <v>16</v>
      </c>
      <c r="H7" s="14" t="n">
        <v>8</v>
      </c>
      <c r="I7" s="12" t="n">
        <v>120</v>
      </c>
      <c r="J7" s="13" t="n">
        <v>36</v>
      </c>
      <c r="K7" s="14" t="n">
        <v>2</v>
      </c>
      <c r="L7" s="12" t="n">
        <f aca="false">C7+F7+I7</f>
        <v>476</v>
      </c>
      <c r="M7" s="13" t="n">
        <f aca="false">D7+G7+J7</f>
        <v>78</v>
      </c>
      <c r="N7" s="14" t="n">
        <f aca="false">E7+H7+K7</f>
        <v>16</v>
      </c>
      <c r="O7" s="12" t="n">
        <v>133</v>
      </c>
      <c r="P7" s="13" t="n">
        <v>13</v>
      </c>
      <c r="Q7" s="14" t="n">
        <v>7</v>
      </c>
      <c r="R7" s="12" t="n">
        <v>117</v>
      </c>
      <c r="S7" s="13" t="n">
        <v>7</v>
      </c>
      <c r="T7" s="14" t="n">
        <v>5</v>
      </c>
      <c r="U7" s="12" t="n">
        <v>214</v>
      </c>
      <c r="V7" s="13" t="n">
        <v>105</v>
      </c>
      <c r="W7" s="14" t="n">
        <v>6</v>
      </c>
      <c r="X7" s="12" t="n">
        <f aca="false">O7+R7+U7</f>
        <v>464</v>
      </c>
      <c r="Y7" s="13" t="n">
        <f aca="false">P7+S7+V7</f>
        <v>125</v>
      </c>
      <c r="Z7" s="14" t="n">
        <f aca="false">Q7+T7+W7</f>
        <v>18</v>
      </c>
    </row>
    <row r="8" customFormat="false" ht="16.5" hidden="false" customHeight="true" outlineLevel="0" collapsed="false">
      <c r="B8" s="11" t="s">
        <v>14</v>
      </c>
      <c r="C8" s="12" t="n">
        <v>107</v>
      </c>
      <c r="D8" s="13" t="n">
        <v>0</v>
      </c>
      <c r="E8" s="14" t="n">
        <v>1</v>
      </c>
      <c r="F8" s="12" t="n">
        <v>105</v>
      </c>
      <c r="G8" s="13" t="n">
        <v>0</v>
      </c>
      <c r="H8" s="14" t="n">
        <v>0</v>
      </c>
      <c r="I8" s="12" t="n">
        <v>86</v>
      </c>
      <c r="J8" s="13" t="n">
        <v>6</v>
      </c>
      <c r="K8" s="14" t="n">
        <v>0</v>
      </c>
      <c r="L8" s="12" t="n">
        <f aca="false">C8+F8+I8</f>
        <v>298</v>
      </c>
      <c r="M8" s="13" t="n">
        <f aca="false">D8+G8+J8</f>
        <v>6</v>
      </c>
      <c r="N8" s="14" t="n">
        <f aca="false">E8+H8+K8</f>
        <v>1</v>
      </c>
      <c r="O8" s="12" t="n">
        <v>129</v>
      </c>
      <c r="P8" s="13" t="n">
        <v>6</v>
      </c>
      <c r="Q8" s="14" t="n">
        <v>2</v>
      </c>
      <c r="R8" s="12" t="n">
        <v>90</v>
      </c>
      <c r="S8" s="13" t="n">
        <v>1</v>
      </c>
      <c r="T8" s="14" t="n">
        <v>0</v>
      </c>
      <c r="U8" s="12" t="n">
        <v>117</v>
      </c>
      <c r="V8" s="13" t="n">
        <v>2</v>
      </c>
      <c r="W8" s="14" t="n">
        <v>0</v>
      </c>
      <c r="X8" s="12" t="n">
        <f aca="false">O8+R8+U8</f>
        <v>336</v>
      </c>
      <c r="Y8" s="13" t="n">
        <f aca="false">P8+S8+V8</f>
        <v>9</v>
      </c>
      <c r="Z8" s="14" t="n">
        <f aca="false">Q8+T8+W8</f>
        <v>2</v>
      </c>
    </row>
    <row r="9" customFormat="false" ht="16.5" hidden="false" customHeight="true" outlineLevel="0" collapsed="false">
      <c r="B9" s="11" t="s">
        <v>15</v>
      </c>
      <c r="C9" s="12" t="n">
        <v>14</v>
      </c>
      <c r="D9" s="13" t="n">
        <v>1</v>
      </c>
      <c r="E9" s="14" t="n">
        <v>0</v>
      </c>
      <c r="F9" s="12" t="n">
        <v>42</v>
      </c>
      <c r="G9" s="13" t="n">
        <v>0</v>
      </c>
      <c r="H9" s="14" t="n">
        <v>1</v>
      </c>
      <c r="I9" s="12" t="n">
        <v>16</v>
      </c>
      <c r="J9" s="13" t="n">
        <v>1</v>
      </c>
      <c r="K9" s="14" t="n">
        <v>2</v>
      </c>
      <c r="L9" s="12" t="n">
        <f aca="false">C9+F9+I9</f>
        <v>72</v>
      </c>
      <c r="M9" s="13" t="n">
        <f aca="false">D9+G9+J9</f>
        <v>2</v>
      </c>
      <c r="N9" s="14" t="n">
        <f aca="false">E9+H9+K9</f>
        <v>3</v>
      </c>
      <c r="O9" s="12" t="n">
        <v>148</v>
      </c>
      <c r="P9" s="13" t="n">
        <v>2</v>
      </c>
      <c r="Q9" s="14" t="n">
        <v>0</v>
      </c>
      <c r="R9" s="12" t="n">
        <v>231</v>
      </c>
      <c r="S9" s="13" t="n">
        <v>9</v>
      </c>
      <c r="T9" s="14" t="n">
        <v>2</v>
      </c>
      <c r="U9" s="12" t="n">
        <v>618</v>
      </c>
      <c r="V9" s="13" t="n">
        <v>10</v>
      </c>
      <c r="W9" s="14" t="n">
        <v>4</v>
      </c>
      <c r="X9" s="12" t="n">
        <f aca="false">O9+R9+U9</f>
        <v>997</v>
      </c>
      <c r="Y9" s="13" t="n">
        <f aca="false">P9+S9+V9</f>
        <v>21</v>
      </c>
      <c r="Z9" s="14" t="n">
        <f aca="false">Q9+T9+W9</f>
        <v>6</v>
      </c>
    </row>
    <row r="10" customFormat="false" ht="16.5" hidden="false" customHeight="true" outlineLevel="0" collapsed="false">
      <c r="B10" s="11" t="s">
        <v>16</v>
      </c>
      <c r="C10" s="12" t="n">
        <v>475</v>
      </c>
      <c r="D10" s="13" t="n">
        <v>21</v>
      </c>
      <c r="E10" s="14" t="n">
        <v>8</v>
      </c>
      <c r="F10" s="12" t="n">
        <v>198</v>
      </c>
      <c r="G10" s="13" t="n">
        <v>23</v>
      </c>
      <c r="H10" s="14" t="n">
        <v>10</v>
      </c>
      <c r="I10" s="12" t="n">
        <v>139</v>
      </c>
      <c r="J10" s="13" t="n">
        <v>8</v>
      </c>
      <c r="K10" s="14" t="n">
        <v>7</v>
      </c>
      <c r="L10" s="12" t="n">
        <f aca="false">C10+F10+I10</f>
        <v>812</v>
      </c>
      <c r="M10" s="13" t="n">
        <f aca="false">D10+G10+J10</f>
        <v>52</v>
      </c>
      <c r="N10" s="14" t="n">
        <f aca="false">E10+H10+K10</f>
        <v>25</v>
      </c>
      <c r="O10" s="12" t="n">
        <v>228</v>
      </c>
      <c r="P10" s="13" t="n">
        <v>29</v>
      </c>
      <c r="Q10" s="14" t="n">
        <v>9</v>
      </c>
      <c r="R10" s="12" t="n">
        <v>204</v>
      </c>
      <c r="S10" s="13" t="n">
        <v>24</v>
      </c>
      <c r="T10" s="14" t="n">
        <v>11</v>
      </c>
      <c r="U10" s="12" t="n">
        <v>113</v>
      </c>
      <c r="V10" s="13" t="n">
        <v>12</v>
      </c>
      <c r="W10" s="14" t="n">
        <v>6</v>
      </c>
      <c r="X10" s="12" t="n">
        <f aca="false">O10+R10+U10</f>
        <v>545</v>
      </c>
      <c r="Y10" s="13" t="n">
        <f aca="false">P10+S10+V10</f>
        <v>65</v>
      </c>
      <c r="Z10" s="14" t="n">
        <f aca="false">Q10+T10+W10</f>
        <v>26</v>
      </c>
    </row>
    <row r="11" customFormat="false" ht="16.5" hidden="false" customHeight="true" outlineLevel="0" collapsed="false">
      <c r="B11" s="11" t="s">
        <v>17</v>
      </c>
      <c r="C11" s="12" t="n">
        <v>1120</v>
      </c>
      <c r="D11" s="13" t="n">
        <v>152</v>
      </c>
      <c r="E11" s="14" t="n">
        <v>61</v>
      </c>
      <c r="F11" s="12" t="n">
        <v>778</v>
      </c>
      <c r="G11" s="13" t="n">
        <v>76</v>
      </c>
      <c r="H11" s="14" t="n">
        <v>16</v>
      </c>
      <c r="I11" s="12" t="n">
        <v>843</v>
      </c>
      <c r="J11" s="13" t="n">
        <v>118</v>
      </c>
      <c r="K11" s="14" t="n">
        <v>35</v>
      </c>
      <c r="L11" s="12" t="n">
        <f aca="false">C11+F11+I11</f>
        <v>2741</v>
      </c>
      <c r="M11" s="13" t="n">
        <f aca="false">D11+G11+J11</f>
        <v>346</v>
      </c>
      <c r="N11" s="14" t="n">
        <f aca="false">E11+H11+K11</f>
        <v>112</v>
      </c>
      <c r="O11" s="12" t="n">
        <v>770</v>
      </c>
      <c r="P11" s="13" t="n">
        <v>79</v>
      </c>
      <c r="Q11" s="14" t="n">
        <v>23</v>
      </c>
      <c r="R11" s="12" t="n">
        <v>535</v>
      </c>
      <c r="S11" s="13" t="n">
        <v>70</v>
      </c>
      <c r="T11" s="14" t="n">
        <v>14</v>
      </c>
      <c r="U11" s="12" t="n">
        <v>943</v>
      </c>
      <c r="V11" s="13" t="n">
        <v>100</v>
      </c>
      <c r="W11" s="14" t="n">
        <v>21</v>
      </c>
      <c r="X11" s="12" t="n">
        <f aca="false">O11+R11+U11</f>
        <v>2248</v>
      </c>
      <c r="Y11" s="13" t="n">
        <f aca="false">P11+S11+V11</f>
        <v>249</v>
      </c>
      <c r="Z11" s="14" t="n">
        <f aca="false">Q11+T11+W11</f>
        <v>58</v>
      </c>
    </row>
    <row r="12" customFormat="false" ht="16.5" hidden="false" customHeight="true" outlineLevel="0" collapsed="false">
      <c r="B12" s="11" t="s">
        <v>18</v>
      </c>
      <c r="C12" s="12" t="n">
        <v>48</v>
      </c>
      <c r="D12" s="13" t="n">
        <v>22</v>
      </c>
      <c r="E12" s="14" t="n">
        <v>0</v>
      </c>
      <c r="F12" s="12" t="n">
        <v>70</v>
      </c>
      <c r="G12" s="13" t="n">
        <v>23</v>
      </c>
      <c r="H12" s="14" t="n">
        <v>0</v>
      </c>
      <c r="I12" s="12" t="n">
        <v>231</v>
      </c>
      <c r="J12" s="13" t="n">
        <v>11</v>
      </c>
      <c r="K12" s="14" t="n">
        <v>8</v>
      </c>
      <c r="L12" s="12" t="n">
        <f aca="false">C12+F12+I12</f>
        <v>349</v>
      </c>
      <c r="M12" s="13" t="n">
        <f aca="false">D12+G12+J12</f>
        <v>56</v>
      </c>
      <c r="N12" s="14" t="n">
        <f aca="false">E12+H12+K12</f>
        <v>8</v>
      </c>
      <c r="O12" s="12" t="n">
        <v>257</v>
      </c>
      <c r="P12" s="13" t="n">
        <v>1</v>
      </c>
      <c r="Q12" s="14" t="n">
        <v>0</v>
      </c>
      <c r="R12" s="12" t="n">
        <v>311</v>
      </c>
      <c r="S12" s="13" t="n">
        <v>4</v>
      </c>
      <c r="T12" s="14" t="n">
        <v>1</v>
      </c>
      <c r="U12" s="12" t="n">
        <v>55</v>
      </c>
      <c r="V12" s="13" t="n">
        <v>22</v>
      </c>
      <c r="W12" s="14" t="n">
        <v>10</v>
      </c>
      <c r="X12" s="12" t="n">
        <f aca="false">O12+R12+U12</f>
        <v>623</v>
      </c>
      <c r="Y12" s="13" t="n">
        <f aca="false">P12+S12+V12</f>
        <v>27</v>
      </c>
      <c r="Z12" s="14" t="n">
        <f aca="false">Q12+T12+W12</f>
        <v>11</v>
      </c>
    </row>
    <row r="13" customFormat="false" ht="16.5" hidden="false" customHeight="true" outlineLevel="0" collapsed="false">
      <c r="B13" s="11" t="s">
        <v>19</v>
      </c>
      <c r="C13" s="12" t="n">
        <v>114</v>
      </c>
      <c r="D13" s="13" t="n">
        <v>8</v>
      </c>
      <c r="E13" s="14" t="n">
        <v>1</v>
      </c>
      <c r="F13" s="12" t="n">
        <v>106</v>
      </c>
      <c r="G13" s="13" t="n">
        <v>11</v>
      </c>
      <c r="H13" s="14" t="n">
        <v>1</v>
      </c>
      <c r="I13" s="12" t="n">
        <v>148</v>
      </c>
      <c r="J13" s="13" t="n">
        <v>23</v>
      </c>
      <c r="K13" s="14" t="n">
        <v>0</v>
      </c>
      <c r="L13" s="12" t="n">
        <f aca="false">C13+F13+I13</f>
        <v>368</v>
      </c>
      <c r="M13" s="13" t="n">
        <f aca="false">D13+G13+J13</f>
        <v>42</v>
      </c>
      <c r="N13" s="14" t="n">
        <f aca="false">E13+H13+K13</f>
        <v>2</v>
      </c>
      <c r="O13" s="12" t="n">
        <v>941</v>
      </c>
      <c r="P13" s="13" t="n">
        <v>6</v>
      </c>
      <c r="Q13" s="14" t="n">
        <v>0</v>
      </c>
      <c r="R13" s="12" t="n">
        <v>122</v>
      </c>
      <c r="S13" s="13" t="n">
        <v>29</v>
      </c>
      <c r="T13" s="14" t="n">
        <v>4</v>
      </c>
      <c r="U13" s="12" t="n">
        <v>122</v>
      </c>
      <c r="V13" s="13" t="n">
        <v>42</v>
      </c>
      <c r="W13" s="14" t="n">
        <v>4</v>
      </c>
      <c r="X13" s="12" t="n">
        <f aca="false">O13+R13+U13</f>
        <v>1185</v>
      </c>
      <c r="Y13" s="13" t="n">
        <f aca="false">P13+S13+V13</f>
        <v>77</v>
      </c>
      <c r="Z13" s="14" t="n">
        <f aca="false">Q13+T13+W13</f>
        <v>8</v>
      </c>
    </row>
    <row r="14" customFormat="false" ht="16.5" hidden="false" customHeight="true" outlineLevel="0" collapsed="false">
      <c r="B14" s="11" t="s">
        <v>20</v>
      </c>
      <c r="C14" s="12" t="n">
        <v>0</v>
      </c>
      <c r="D14" s="13" t="n">
        <v>1</v>
      </c>
      <c r="E14" s="14" t="n">
        <v>5</v>
      </c>
      <c r="F14" s="12" t="n">
        <v>1493</v>
      </c>
      <c r="G14" s="13" t="n">
        <v>0</v>
      </c>
      <c r="H14" s="14" t="n">
        <v>0</v>
      </c>
      <c r="I14" s="12" t="n">
        <v>15</v>
      </c>
      <c r="J14" s="13" t="n">
        <v>7</v>
      </c>
      <c r="K14" s="14" t="n">
        <v>2</v>
      </c>
      <c r="L14" s="12" t="n">
        <f aca="false">C14+F14+I14</f>
        <v>1508</v>
      </c>
      <c r="M14" s="13" t="n">
        <f aca="false">D14+G14+J14</f>
        <v>8</v>
      </c>
      <c r="N14" s="14" t="n">
        <f aca="false">E14+H14+K14</f>
        <v>7</v>
      </c>
      <c r="O14" s="12" t="n">
        <v>1082</v>
      </c>
      <c r="P14" s="13" t="n">
        <v>16</v>
      </c>
      <c r="Q14" s="14" t="n">
        <v>3</v>
      </c>
      <c r="R14" s="12" t="n">
        <v>980</v>
      </c>
      <c r="S14" s="13" t="n">
        <v>28</v>
      </c>
      <c r="T14" s="14" t="n">
        <v>5</v>
      </c>
      <c r="U14" s="12" t="n">
        <v>587</v>
      </c>
      <c r="V14" s="13" t="n">
        <v>33</v>
      </c>
      <c r="W14" s="14" t="n">
        <v>4</v>
      </c>
      <c r="X14" s="12" t="n">
        <f aca="false">O14+R14+U14</f>
        <v>2649</v>
      </c>
      <c r="Y14" s="13" t="n">
        <f aca="false">P14+S14+V14</f>
        <v>77</v>
      </c>
      <c r="Z14" s="14" t="n">
        <f aca="false">Q14+T14+W14</f>
        <v>12</v>
      </c>
    </row>
    <row r="15" customFormat="false" ht="16.5" hidden="false" customHeight="true" outlineLevel="0" collapsed="false">
      <c r="B15" s="11" t="s">
        <v>21</v>
      </c>
      <c r="C15" s="12" t="n">
        <v>138</v>
      </c>
      <c r="D15" s="13" t="n">
        <v>9</v>
      </c>
      <c r="E15" s="14" t="n">
        <v>2</v>
      </c>
      <c r="F15" s="12" t="n">
        <v>108</v>
      </c>
      <c r="G15" s="13" t="n">
        <v>1</v>
      </c>
      <c r="H15" s="14" t="n">
        <v>2</v>
      </c>
      <c r="I15" s="12" t="n">
        <v>121</v>
      </c>
      <c r="J15" s="13" t="n">
        <v>2</v>
      </c>
      <c r="K15" s="14" t="n">
        <v>0</v>
      </c>
      <c r="L15" s="12" t="n">
        <f aca="false">C15+F15+I15</f>
        <v>367</v>
      </c>
      <c r="M15" s="13" t="n">
        <f aca="false">D15+G15+J15</f>
        <v>12</v>
      </c>
      <c r="N15" s="14" t="n">
        <f aca="false">E15+H15+K15</f>
        <v>4</v>
      </c>
      <c r="O15" s="12" t="n">
        <v>1218</v>
      </c>
      <c r="P15" s="13" t="n">
        <v>3</v>
      </c>
      <c r="Q15" s="14" t="n">
        <v>8</v>
      </c>
      <c r="R15" s="12" t="n">
        <v>342</v>
      </c>
      <c r="S15" s="13" t="n">
        <v>4</v>
      </c>
      <c r="T15" s="14" t="n">
        <v>10</v>
      </c>
      <c r="U15" s="12" t="n">
        <v>13</v>
      </c>
      <c r="V15" s="13" t="n">
        <v>0</v>
      </c>
      <c r="W15" s="14" t="n">
        <v>2</v>
      </c>
      <c r="X15" s="12" t="n">
        <f aca="false">O15+R15+U15</f>
        <v>1573</v>
      </c>
      <c r="Y15" s="13" t="n">
        <f aca="false">P15+S15+V15</f>
        <v>7</v>
      </c>
      <c r="Z15" s="14" t="n">
        <f aca="false">Q15+T15+W15</f>
        <v>20</v>
      </c>
    </row>
    <row r="16" customFormat="false" ht="16.5" hidden="false" customHeight="true" outlineLevel="0" collapsed="false">
      <c r="B16" s="11" t="s">
        <v>22</v>
      </c>
      <c r="C16" s="12" t="n">
        <v>302</v>
      </c>
      <c r="D16" s="13" t="n">
        <v>38</v>
      </c>
      <c r="E16" s="14" t="n">
        <v>9</v>
      </c>
      <c r="F16" s="12" t="n">
        <v>273</v>
      </c>
      <c r="G16" s="13" t="n">
        <v>48</v>
      </c>
      <c r="H16" s="14" t="n">
        <v>9</v>
      </c>
      <c r="I16" s="12" t="n">
        <v>373</v>
      </c>
      <c r="J16" s="13" t="n">
        <v>32</v>
      </c>
      <c r="K16" s="14" t="n">
        <v>3</v>
      </c>
      <c r="L16" s="12" t="n">
        <f aca="false">C16+F16+I16</f>
        <v>948</v>
      </c>
      <c r="M16" s="13" t="n">
        <f aca="false">D16+G16+J16</f>
        <v>118</v>
      </c>
      <c r="N16" s="14" t="n">
        <f aca="false">E16+H16+K16</f>
        <v>21</v>
      </c>
      <c r="O16" s="12" t="n">
        <v>261</v>
      </c>
      <c r="P16" s="13" t="n">
        <v>19</v>
      </c>
      <c r="Q16" s="14" t="n">
        <v>3</v>
      </c>
      <c r="R16" s="12" t="n">
        <v>172</v>
      </c>
      <c r="S16" s="13" t="n">
        <v>27</v>
      </c>
      <c r="T16" s="14" t="n">
        <v>5</v>
      </c>
      <c r="U16" s="12" t="n">
        <v>157</v>
      </c>
      <c r="V16" s="13" t="n">
        <v>25</v>
      </c>
      <c r="W16" s="14" t="n">
        <v>4</v>
      </c>
      <c r="X16" s="12" t="n">
        <f aca="false">O16+R16+U16</f>
        <v>590</v>
      </c>
      <c r="Y16" s="13" t="n">
        <f aca="false">P16+S16+V16</f>
        <v>71</v>
      </c>
      <c r="Z16" s="14" t="n">
        <f aca="false">Q16+T16+W16</f>
        <v>12</v>
      </c>
    </row>
    <row r="17" customFormat="false" ht="16.5" hidden="false" customHeight="true" outlineLevel="0" collapsed="false">
      <c r="B17" s="11" t="s">
        <v>23</v>
      </c>
      <c r="C17" s="12" t="n">
        <v>66</v>
      </c>
      <c r="D17" s="13" t="n">
        <v>3</v>
      </c>
      <c r="E17" s="14" t="n">
        <v>2</v>
      </c>
      <c r="F17" s="12" t="n">
        <v>15</v>
      </c>
      <c r="G17" s="13" t="n">
        <v>4</v>
      </c>
      <c r="H17" s="14" t="n">
        <v>0</v>
      </c>
      <c r="I17" s="12" t="n">
        <v>22</v>
      </c>
      <c r="J17" s="13" t="n">
        <v>5</v>
      </c>
      <c r="K17" s="14" t="n">
        <v>0</v>
      </c>
      <c r="L17" s="12" t="n">
        <f aca="false">C17+F17+I17</f>
        <v>103</v>
      </c>
      <c r="M17" s="13" t="n">
        <f aca="false">D17+G17+J17</f>
        <v>12</v>
      </c>
      <c r="N17" s="14" t="n">
        <f aca="false">E17+H17+K17</f>
        <v>2</v>
      </c>
      <c r="O17" s="12" t="n">
        <v>25</v>
      </c>
      <c r="P17" s="13" t="n">
        <v>1</v>
      </c>
      <c r="Q17" s="14" t="n">
        <v>0</v>
      </c>
      <c r="R17" s="12" t="n">
        <v>22</v>
      </c>
      <c r="S17" s="13" t="n">
        <v>1</v>
      </c>
      <c r="T17" s="14" t="n">
        <v>1</v>
      </c>
      <c r="U17" s="12" t="n">
        <v>20</v>
      </c>
      <c r="V17" s="13" t="n">
        <v>5</v>
      </c>
      <c r="W17" s="14" t="n">
        <v>0</v>
      </c>
      <c r="X17" s="12" t="n">
        <f aca="false">O17+R17+U17</f>
        <v>67</v>
      </c>
      <c r="Y17" s="13" t="n">
        <f aca="false">P17+S17+V17</f>
        <v>7</v>
      </c>
      <c r="Z17" s="14" t="n">
        <f aca="false">Q17+T17+W17</f>
        <v>1</v>
      </c>
    </row>
    <row r="18" customFormat="false" ht="16.5" hidden="false" customHeight="true" outlineLevel="0" collapsed="false">
      <c r="B18" s="15" t="s">
        <v>24</v>
      </c>
      <c r="C18" s="8" t="n">
        <f aca="false">SUM(C6:C17)</f>
        <v>2511</v>
      </c>
      <c r="D18" s="9" t="n">
        <f aca="false">SUM(D6:D17)</f>
        <v>281</v>
      </c>
      <c r="E18" s="10" t="n">
        <f aca="false">SUM(E6:E17)</f>
        <v>96</v>
      </c>
      <c r="F18" s="8" t="n">
        <f aca="false">SUM(F6:F17)</f>
        <v>3490</v>
      </c>
      <c r="G18" s="9" t="n">
        <f aca="false">SUM(G6:G17)</f>
        <v>202</v>
      </c>
      <c r="H18" s="10" t="n">
        <f aca="false">SUM(H6:H17)</f>
        <v>47</v>
      </c>
      <c r="I18" s="8" t="n">
        <f aca="false">SUM(I6:I17)</f>
        <v>2160</v>
      </c>
      <c r="J18" s="9" t="n">
        <f aca="false">SUM(J6:J17)</f>
        <v>250</v>
      </c>
      <c r="K18" s="10" t="n">
        <f aca="false">SUM(K6:K17)</f>
        <v>59</v>
      </c>
      <c r="L18" s="8" t="n">
        <f aca="false">C18+F18+I18</f>
        <v>8161</v>
      </c>
      <c r="M18" s="9" t="n">
        <f aca="false">D18+G18+J18</f>
        <v>733</v>
      </c>
      <c r="N18" s="10" t="n">
        <f aca="false">E18+H18+K18</f>
        <v>202</v>
      </c>
      <c r="O18" s="8" t="n">
        <f aca="false">SUM(O6:O17)</f>
        <v>5414</v>
      </c>
      <c r="P18" s="9" t="n">
        <f aca="false">SUM(P6:P17)</f>
        <v>196</v>
      </c>
      <c r="Q18" s="10" t="n">
        <f aca="false">SUM(Q6:Q17)</f>
        <v>61</v>
      </c>
      <c r="R18" s="8" t="n">
        <f aca="false">SUM(R6:R17)</f>
        <v>3421</v>
      </c>
      <c r="S18" s="9" t="n">
        <f aca="false">SUM(S6:S17)</f>
        <v>211</v>
      </c>
      <c r="T18" s="10" t="n">
        <f aca="false">SUM(T6:T17)</f>
        <v>67</v>
      </c>
      <c r="U18" s="8" t="n">
        <f aca="false">SUM(U6:U17)</f>
        <v>3440</v>
      </c>
      <c r="V18" s="9" t="n">
        <f aca="false">SUM(V6:V17)</f>
        <v>368</v>
      </c>
      <c r="W18" s="10" t="n">
        <f aca="false">SUM(W6:W17)</f>
        <v>65</v>
      </c>
      <c r="X18" s="8" t="n">
        <f aca="false">O18+R18+U18</f>
        <v>12275</v>
      </c>
      <c r="Y18" s="9" t="n">
        <f aca="false">P18+S18+V18</f>
        <v>775</v>
      </c>
      <c r="Z18" s="10" t="n">
        <f aca="false">Q18+T18+W18</f>
        <v>193</v>
      </c>
    </row>
    <row r="21" customFormat="false" ht="15.75" hidden="false" customHeight="true" outlineLevel="0" collapsed="false">
      <c r="B21" s="16" t="s">
        <v>25</v>
      </c>
    </row>
    <row r="22" customFormat="false" ht="15.75" hidden="false" customHeight="true" outlineLevel="0" collapsed="false"/>
    <row r="23" customFormat="false" ht="15.75" hidden="false" customHeight="true" outlineLevel="0" collapsed="false">
      <c r="B23" s="3" t="s">
        <v>0</v>
      </c>
      <c r="C23" s="4" t="s">
        <v>4</v>
      </c>
      <c r="D23" s="4"/>
      <c r="E23" s="4"/>
      <c r="F23" s="6" t="s">
        <v>8</v>
      </c>
      <c r="G23" s="6"/>
      <c r="H23" s="6"/>
    </row>
    <row r="24" customFormat="false" ht="15.75" hidden="false" customHeight="true" outlineLevel="0" collapsed="false">
      <c r="B24" s="3"/>
      <c r="C24" s="8" t="s">
        <v>9</v>
      </c>
      <c r="D24" s="9" t="s">
        <v>10</v>
      </c>
      <c r="E24" s="10" t="s">
        <v>11</v>
      </c>
      <c r="F24" s="17" t="s">
        <v>9</v>
      </c>
      <c r="G24" s="9" t="s">
        <v>10</v>
      </c>
      <c r="H24" s="10" t="s">
        <v>11</v>
      </c>
    </row>
    <row r="25" customFormat="false" ht="15.75" hidden="false" customHeight="true" outlineLevel="0" collapsed="false">
      <c r="B25" s="11" t="s">
        <v>12</v>
      </c>
      <c r="C25" s="18" t="n">
        <v>119</v>
      </c>
      <c r="D25" s="19" t="n">
        <v>1</v>
      </c>
      <c r="E25" s="20" t="n">
        <v>1</v>
      </c>
      <c r="F25" s="18" t="n">
        <v>998</v>
      </c>
      <c r="G25" s="19" t="n">
        <v>40</v>
      </c>
      <c r="H25" s="20" t="n">
        <v>19</v>
      </c>
    </row>
    <row r="26" customFormat="false" ht="15.75" hidden="false" customHeight="true" outlineLevel="0" collapsed="false">
      <c r="B26" s="11" t="s">
        <v>13</v>
      </c>
      <c r="C26" s="18" t="n">
        <v>476</v>
      </c>
      <c r="D26" s="19" t="n">
        <v>78</v>
      </c>
      <c r="E26" s="20" t="n">
        <v>16</v>
      </c>
      <c r="F26" s="18" t="n">
        <v>464</v>
      </c>
      <c r="G26" s="19" t="n">
        <v>125</v>
      </c>
      <c r="H26" s="20" t="n">
        <v>18</v>
      </c>
    </row>
    <row r="27" customFormat="false" ht="15.75" hidden="false" customHeight="true" outlineLevel="0" collapsed="false">
      <c r="B27" s="11" t="s">
        <v>14</v>
      </c>
      <c r="C27" s="18" t="n">
        <v>298</v>
      </c>
      <c r="D27" s="19" t="n">
        <v>6</v>
      </c>
      <c r="E27" s="20" t="n">
        <v>1</v>
      </c>
      <c r="F27" s="18" t="n">
        <v>336</v>
      </c>
      <c r="G27" s="19" t="n">
        <v>9</v>
      </c>
      <c r="H27" s="20" t="n">
        <v>2</v>
      </c>
    </row>
    <row r="28" customFormat="false" ht="15.75" hidden="false" customHeight="true" outlineLevel="0" collapsed="false">
      <c r="B28" s="11" t="s">
        <v>15</v>
      </c>
      <c r="C28" s="18" t="n">
        <v>72</v>
      </c>
      <c r="D28" s="19" t="n">
        <v>2</v>
      </c>
      <c r="E28" s="20" t="n">
        <v>3</v>
      </c>
      <c r="F28" s="18" t="n">
        <v>997</v>
      </c>
      <c r="G28" s="19" t="n">
        <v>21</v>
      </c>
      <c r="H28" s="20" t="n">
        <v>6</v>
      </c>
    </row>
    <row r="29" customFormat="false" ht="15.75" hidden="false" customHeight="true" outlineLevel="0" collapsed="false">
      <c r="B29" s="11" t="s">
        <v>16</v>
      </c>
      <c r="C29" s="18" t="n">
        <v>812</v>
      </c>
      <c r="D29" s="19" t="n">
        <v>52</v>
      </c>
      <c r="E29" s="20" t="n">
        <v>25</v>
      </c>
      <c r="F29" s="18" t="n">
        <v>545</v>
      </c>
      <c r="G29" s="19" t="n">
        <v>65</v>
      </c>
      <c r="H29" s="20" t="n">
        <v>26</v>
      </c>
    </row>
    <row r="30" customFormat="false" ht="15.75" hidden="false" customHeight="true" outlineLevel="0" collapsed="false">
      <c r="B30" s="11" t="s">
        <v>17</v>
      </c>
      <c r="C30" s="18" t="n">
        <v>2741</v>
      </c>
      <c r="D30" s="19" t="n">
        <v>346</v>
      </c>
      <c r="E30" s="20" t="n">
        <v>112</v>
      </c>
      <c r="F30" s="18" t="n">
        <v>2248</v>
      </c>
      <c r="G30" s="19" t="n">
        <v>249</v>
      </c>
      <c r="H30" s="20" t="n">
        <v>58</v>
      </c>
    </row>
    <row r="31" customFormat="false" ht="15.75" hidden="false" customHeight="true" outlineLevel="0" collapsed="false">
      <c r="B31" s="11" t="s">
        <v>18</v>
      </c>
      <c r="C31" s="18" t="n">
        <v>349</v>
      </c>
      <c r="D31" s="19" t="n">
        <v>56</v>
      </c>
      <c r="E31" s="20" t="n">
        <v>8</v>
      </c>
      <c r="F31" s="18" t="n">
        <v>623</v>
      </c>
      <c r="G31" s="19" t="n">
        <v>27</v>
      </c>
      <c r="H31" s="20" t="n">
        <v>11</v>
      </c>
    </row>
    <row r="32" customFormat="false" ht="15.75" hidden="false" customHeight="true" outlineLevel="0" collapsed="false">
      <c r="B32" s="11" t="s">
        <v>19</v>
      </c>
      <c r="C32" s="18" t="n">
        <v>368</v>
      </c>
      <c r="D32" s="19" t="n">
        <v>42</v>
      </c>
      <c r="E32" s="20" t="n">
        <v>2</v>
      </c>
      <c r="F32" s="18" t="n">
        <v>1185</v>
      </c>
      <c r="G32" s="19" t="n">
        <v>77</v>
      </c>
      <c r="H32" s="20" t="n">
        <v>8</v>
      </c>
    </row>
    <row r="33" customFormat="false" ht="15.75" hidden="false" customHeight="true" outlineLevel="0" collapsed="false">
      <c r="B33" s="11" t="s">
        <v>20</v>
      </c>
      <c r="C33" s="18" t="n">
        <v>1508</v>
      </c>
      <c r="D33" s="19" t="n">
        <v>8</v>
      </c>
      <c r="E33" s="20" t="n">
        <v>7</v>
      </c>
      <c r="F33" s="18" t="n">
        <v>2649</v>
      </c>
      <c r="G33" s="19" t="n">
        <v>77</v>
      </c>
      <c r="H33" s="20" t="n">
        <v>12</v>
      </c>
    </row>
    <row r="34" customFormat="false" ht="15.75" hidden="false" customHeight="true" outlineLevel="0" collapsed="false">
      <c r="B34" s="11" t="s">
        <v>21</v>
      </c>
      <c r="C34" s="18" t="n">
        <v>367</v>
      </c>
      <c r="D34" s="19" t="n">
        <v>12</v>
      </c>
      <c r="E34" s="20" t="n">
        <v>4</v>
      </c>
      <c r="F34" s="18" t="n">
        <v>1573</v>
      </c>
      <c r="G34" s="19" t="n">
        <v>7</v>
      </c>
      <c r="H34" s="20" t="n">
        <v>20</v>
      </c>
    </row>
    <row r="35" customFormat="false" ht="15.75" hidden="false" customHeight="true" outlineLevel="0" collapsed="false">
      <c r="B35" s="11" t="s">
        <v>22</v>
      </c>
      <c r="C35" s="18" t="n">
        <v>948</v>
      </c>
      <c r="D35" s="19" t="n">
        <v>118</v>
      </c>
      <c r="E35" s="20" t="n">
        <v>21</v>
      </c>
      <c r="F35" s="18" t="n">
        <v>590</v>
      </c>
      <c r="G35" s="19" t="n">
        <v>71</v>
      </c>
      <c r="H35" s="20" t="n">
        <v>12</v>
      </c>
    </row>
    <row r="36" customFormat="false" ht="15.75" hidden="false" customHeight="true" outlineLevel="0" collapsed="false">
      <c r="B36" s="11" t="s">
        <v>23</v>
      </c>
      <c r="C36" s="18" t="n">
        <v>103</v>
      </c>
      <c r="D36" s="19" t="n">
        <v>12</v>
      </c>
      <c r="E36" s="20" t="n">
        <v>2</v>
      </c>
      <c r="F36" s="18" t="n">
        <v>67</v>
      </c>
      <c r="G36" s="19" t="n">
        <v>7</v>
      </c>
      <c r="H36" s="20" t="n">
        <v>1</v>
      </c>
    </row>
    <row r="37" customFormat="false" ht="15.75" hidden="false" customHeight="true" outlineLevel="0" collapsed="false">
      <c r="B37" s="15" t="s">
        <v>24</v>
      </c>
      <c r="C37" s="21" t="n">
        <f aca="false">SUM(C25:C36)</f>
        <v>8161</v>
      </c>
      <c r="D37" s="22" t="n">
        <f aca="false">SUM(D25:D36)</f>
        <v>733</v>
      </c>
      <c r="E37" s="23" t="n">
        <f aca="false">SUM(E25:E36)</f>
        <v>202</v>
      </c>
      <c r="F37" s="21" t="n">
        <f aca="false">SUM(F25:F36)</f>
        <v>12275</v>
      </c>
      <c r="G37" s="22" t="n">
        <f aca="false">SUM(G25:G36)</f>
        <v>775</v>
      </c>
      <c r="H37" s="23" t="n">
        <f aca="false">SUM(H25:H36)</f>
        <v>193</v>
      </c>
    </row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>
      <c r="B41" s="1" t="s">
        <v>26</v>
      </c>
      <c r="C41" s="1" t="s">
        <v>27</v>
      </c>
    </row>
    <row r="42" customFormat="false" ht="15.75" hidden="false" customHeight="true" outlineLevel="0" collapsed="false">
      <c r="B42" s="1" t="s">
        <v>28</v>
      </c>
      <c r="C42" s="1" t="s">
        <v>29</v>
      </c>
    </row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>
      <c r="B45" s="24" t="s">
        <v>30</v>
      </c>
      <c r="C45" s="24"/>
      <c r="D45" s="24"/>
    </row>
    <row r="46" customFormat="false" ht="15.75" hidden="false" customHeight="true" outlineLevel="0" collapsed="false">
      <c r="B46" s="16"/>
      <c r="C46" s="24"/>
      <c r="D46" s="24"/>
    </row>
    <row r="47" customFormat="false" ht="15.75" hidden="false" customHeight="true" outlineLevel="0" collapsed="false">
      <c r="B47" s="16" t="s">
        <v>9</v>
      </c>
      <c r="C47" s="24" t="s">
        <v>31</v>
      </c>
      <c r="D47" s="24"/>
    </row>
    <row r="48" customFormat="false" ht="15.75" hidden="false" customHeight="true" outlineLevel="0" collapsed="false">
      <c r="B48" s="25" t="s">
        <v>10</v>
      </c>
      <c r="C48" s="24" t="s">
        <v>32</v>
      </c>
      <c r="D48" s="24"/>
    </row>
    <row r="49" customFormat="false" ht="15.75" hidden="false" customHeight="true" outlineLevel="0" collapsed="false">
      <c r="B49" s="25"/>
      <c r="C49" s="24" t="s">
        <v>33</v>
      </c>
      <c r="D49" s="24"/>
    </row>
    <row r="50" customFormat="false" ht="15.75" hidden="false" customHeight="true" outlineLevel="0" collapsed="false">
      <c r="B50" s="25" t="s">
        <v>11</v>
      </c>
      <c r="C50" s="24" t="s">
        <v>34</v>
      </c>
      <c r="D50" s="24"/>
    </row>
    <row r="51" customFormat="false" ht="15.75" hidden="false" customHeight="true" outlineLevel="0" collapsed="false">
      <c r="B51" s="25"/>
      <c r="C51" s="24" t="s">
        <v>35</v>
      </c>
      <c r="D51" s="24"/>
    </row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5">
    <mergeCell ref="B2:Z2"/>
    <mergeCell ref="B4:B5"/>
    <mergeCell ref="C4:E4"/>
    <mergeCell ref="F4:H4"/>
    <mergeCell ref="I4:K4"/>
    <mergeCell ref="L4:N4"/>
    <mergeCell ref="O4:Q4"/>
    <mergeCell ref="R4:T4"/>
    <mergeCell ref="U4:W4"/>
    <mergeCell ref="X4:Z4"/>
    <mergeCell ref="B23:B24"/>
    <mergeCell ref="C23:E23"/>
    <mergeCell ref="F23:H23"/>
    <mergeCell ref="B48:B49"/>
    <mergeCell ref="B50:B51"/>
  </mergeCells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9" scale="48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994"/>
  <sheetViews>
    <sheetView showFormulas="false" showGridLines="true" showRowColHeaders="true" showZeros="true" rightToLeft="false" tabSelected="false" showOutlineSymbols="true" defaultGridColor="true" view="normal" topLeftCell="A36" colorId="64" zoomScale="66" zoomScaleNormal="66" zoomScalePageLayoutView="100" workbookViewId="0">
      <selection pane="topLeft" activeCell="B1" activeCellId="0" sqref="B1"/>
    </sheetView>
  </sheetViews>
  <sheetFormatPr defaultColWidth="14.453125" defaultRowHeight="15" zeroHeight="false" outlineLevelRow="0" outlineLevelCol="0"/>
  <cols>
    <col collapsed="false" customWidth="true" hidden="false" outlineLevel="0" max="1" min="1" style="1" width="8.73"/>
    <col collapsed="false" customWidth="true" hidden="false" outlineLevel="0" max="2" min="2" style="1" width="7.82"/>
    <col collapsed="false" customWidth="true" hidden="false" outlineLevel="0" max="3" min="3" style="1" width="19.09"/>
    <col collapsed="false" customWidth="false" hidden="false" outlineLevel="0" max="4" min="4" style="1" width="14.45"/>
    <col collapsed="false" customWidth="true" hidden="false" outlineLevel="0" max="5" min="5" style="1" width="17.82"/>
    <col collapsed="false" customWidth="false" hidden="false" outlineLevel="0" max="6" min="6" style="1" width="14.45"/>
    <col collapsed="false" customWidth="true" hidden="false" outlineLevel="0" max="7" min="7" style="1" width="16.54"/>
    <col collapsed="false" customWidth="false" hidden="false" outlineLevel="0" max="11" min="8" style="1" width="14.45"/>
    <col collapsed="false" customWidth="true" hidden="false" outlineLevel="0" max="12" min="12" style="1" width="17.82"/>
    <col collapsed="false" customWidth="false" hidden="false" outlineLevel="0" max="13" min="13" style="1" width="14.45"/>
    <col collapsed="false" customWidth="true" hidden="false" outlineLevel="0" max="14" min="14" style="1" width="16.54"/>
    <col collapsed="false" customWidth="false" hidden="false" outlineLevel="0" max="17" min="15" style="1" width="14.45"/>
    <col collapsed="false" customWidth="true" hidden="false" outlineLevel="0" max="29" min="18" style="1" width="8.73"/>
  </cols>
  <sheetData>
    <row r="1" customFormat="false" ht="15" hidden="false" customHeight="true" outlineLevel="0" collapsed="false">
      <c r="B1" s="26" t="s">
        <v>36</v>
      </c>
      <c r="C1" s="26"/>
      <c r="D1" s="26"/>
      <c r="E1" s="26"/>
      <c r="F1" s="26"/>
      <c r="G1" s="26"/>
      <c r="H1" s="26"/>
      <c r="I1" s="26"/>
      <c r="J1" s="26"/>
    </row>
    <row r="2" customFormat="false" ht="18" hidden="false" customHeight="true" outlineLevel="0" collapsed="false">
      <c r="B2" s="26"/>
      <c r="C2" s="26"/>
      <c r="D2" s="26"/>
      <c r="E2" s="26"/>
      <c r="F2" s="26"/>
      <c r="G2" s="26"/>
      <c r="H2" s="26"/>
      <c r="I2" s="26"/>
      <c r="J2" s="26"/>
    </row>
    <row r="3" customFormat="false" ht="18" hidden="false" customHeight="true" outlineLevel="0" collapsed="false">
      <c r="B3" s="26" t="s">
        <v>37</v>
      </c>
      <c r="C3" s="26"/>
      <c r="D3" s="26"/>
      <c r="E3" s="26"/>
      <c r="F3" s="26"/>
      <c r="G3" s="26"/>
      <c r="H3" s="26"/>
      <c r="I3" s="26"/>
      <c r="J3" s="26"/>
    </row>
    <row r="5" customFormat="false" ht="15" hidden="false" customHeight="true" outlineLevel="0" collapsed="false">
      <c r="B5" s="27" t="s">
        <v>38</v>
      </c>
      <c r="C5" s="27" t="s">
        <v>39</v>
      </c>
      <c r="D5" s="28" t="s">
        <v>40</v>
      </c>
      <c r="E5" s="28"/>
      <c r="F5" s="28"/>
      <c r="G5" s="28"/>
      <c r="H5" s="28"/>
      <c r="I5" s="28"/>
      <c r="J5" s="28"/>
    </row>
    <row r="6" customFormat="false" ht="55.5" hidden="false" customHeight="true" outlineLevel="0" collapsed="false">
      <c r="B6" s="27"/>
      <c r="C6" s="27"/>
      <c r="D6" s="29" t="s">
        <v>41</v>
      </c>
      <c r="E6" s="30" t="s">
        <v>42</v>
      </c>
      <c r="F6" s="30" t="s">
        <v>43</v>
      </c>
      <c r="G6" s="30" t="s">
        <v>44</v>
      </c>
      <c r="H6" s="30" t="s">
        <v>43</v>
      </c>
      <c r="I6" s="31" t="s">
        <v>45</v>
      </c>
      <c r="J6" s="30" t="s">
        <v>46</v>
      </c>
    </row>
    <row r="7" customFormat="false" ht="15" hidden="false" customHeight="true" outlineLevel="0" collapsed="false">
      <c r="B7" s="32" t="n">
        <v>1</v>
      </c>
      <c r="C7" s="32" t="s">
        <v>47</v>
      </c>
      <c r="D7" s="33" t="n">
        <v>8998</v>
      </c>
      <c r="E7" s="33" t="n">
        <v>119</v>
      </c>
      <c r="F7" s="34" t="n">
        <f aca="false">E7/D7*100</f>
        <v>1.32251611469215</v>
      </c>
      <c r="G7" s="33" t="n">
        <v>998</v>
      </c>
      <c r="H7" s="34" t="n">
        <f aca="false">G7/D7*100</f>
        <v>11.0913536341409</v>
      </c>
      <c r="I7" s="35" t="n">
        <f aca="false">E7+G7</f>
        <v>1117</v>
      </c>
      <c r="J7" s="34" t="n">
        <f aca="false">I7/D7*100</f>
        <v>12.4138697488331</v>
      </c>
    </row>
    <row r="8" customFormat="false" ht="15" hidden="false" customHeight="true" outlineLevel="0" collapsed="false">
      <c r="B8" s="32" t="n">
        <v>2</v>
      </c>
      <c r="C8" s="32" t="s">
        <v>48</v>
      </c>
      <c r="D8" s="33" t="n">
        <v>3234</v>
      </c>
      <c r="E8" s="33" t="n">
        <v>476</v>
      </c>
      <c r="F8" s="34" t="n">
        <f aca="false">E8/D8*100</f>
        <v>14.7186147186147</v>
      </c>
      <c r="G8" s="33" t="n">
        <v>464</v>
      </c>
      <c r="H8" s="34" t="n">
        <f aca="false">G8/D8*100</f>
        <v>14.3475572047001</v>
      </c>
      <c r="I8" s="35" t="n">
        <f aca="false">E8+G8</f>
        <v>940</v>
      </c>
      <c r="J8" s="34" t="n">
        <f aca="false">I8/D8*100</f>
        <v>29.0661719233148</v>
      </c>
    </row>
    <row r="9" customFormat="false" ht="15" hidden="false" customHeight="true" outlineLevel="0" collapsed="false">
      <c r="B9" s="32" t="n">
        <v>3</v>
      </c>
      <c r="C9" s="32" t="s">
        <v>49</v>
      </c>
      <c r="D9" s="33" t="n">
        <v>5429</v>
      </c>
      <c r="E9" s="33" t="n">
        <v>298</v>
      </c>
      <c r="F9" s="34" t="n">
        <f aca="false">E9/D9*100</f>
        <v>5.48904033892061</v>
      </c>
      <c r="G9" s="33" t="n">
        <v>336</v>
      </c>
      <c r="H9" s="34" t="n">
        <f aca="false">G9/D9*100</f>
        <v>6.18898508012525</v>
      </c>
      <c r="I9" s="35" t="n">
        <f aca="false">E9+G9</f>
        <v>634</v>
      </c>
      <c r="J9" s="34" t="n">
        <f aca="false">I9/D9*100</f>
        <v>11.6780254190459</v>
      </c>
    </row>
    <row r="10" customFormat="false" ht="15" hidden="false" customHeight="true" outlineLevel="0" collapsed="false">
      <c r="B10" s="32" t="n">
        <v>4</v>
      </c>
      <c r="C10" s="32" t="s">
        <v>50</v>
      </c>
      <c r="D10" s="33" t="n">
        <v>3480</v>
      </c>
      <c r="E10" s="33" t="n">
        <v>72</v>
      </c>
      <c r="F10" s="34" t="n">
        <f aca="false">E10/D10*100</f>
        <v>2.06896551724138</v>
      </c>
      <c r="G10" s="33" t="n">
        <v>997</v>
      </c>
      <c r="H10" s="34" t="n">
        <f aca="false">G10/D10*100</f>
        <v>28.6494252873563</v>
      </c>
      <c r="I10" s="35" t="n">
        <f aca="false">E10+G10</f>
        <v>1069</v>
      </c>
      <c r="J10" s="34" t="n">
        <f aca="false">I10/D10*100</f>
        <v>30.7183908045977</v>
      </c>
    </row>
    <row r="11" customFormat="false" ht="15" hidden="false" customHeight="true" outlineLevel="0" collapsed="false">
      <c r="B11" s="32" t="n">
        <v>5</v>
      </c>
      <c r="C11" s="32" t="s">
        <v>51</v>
      </c>
      <c r="D11" s="33" t="n">
        <v>5856</v>
      </c>
      <c r="E11" s="33" t="n">
        <v>812</v>
      </c>
      <c r="F11" s="34" t="n">
        <f aca="false">E11/D11*100</f>
        <v>13.8661202185792</v>
      </c>
      <c r="G11" s="33" t="n">
        <v>545</v>
      </c>
      <c r="H11" s="34" t="n">
        <f aca="false">G11/D11*100</f>
        <v>9.30669398907104</v>
      </c>
      <c r="I11" s="35" t="n">
        <f aca="false">E11+G11</f>
        <v>1357</v>
      </c>
      <c r="J11" s="34" t="n">
        <f aca="false">I11/D11*100</f>
        <v>23.1728142076503</v>
      </c>
    </row>
    <row r="12" customFormat="false" ht="15" hidden="false" customHeight="true" outlineLevel="0" collapsed="false">
      <c r="B12" s="32" t="n">
        <v>6</v>
      </c>
      <c r="C12" s="32" t="s">
        <v>52</v>
      </c>
      <c r="D12" s="33" t="n">
        <v>19105</v>
      </c>
      <c r="E12" s="33" t="n">
        <v>2741</v>
      </c>
      <c r="F12" s="34" t="n">
        <f aca="false">E12/D12*100</f>
        <v>14.3470295734101</v>
      </c>
      <c r="G12" s="33" t="n">
        <v>2248</v>
      </c>
      <c r="H12" s="34" t="n">
        <f aca="false">G12/D12*100</f>
        <v>11.7665532583093</v>
      </c>
      <c r="I12" s="35" t="n">
        <f aca="false">E12+G12</f>
        <v>4989</v>
      </c>
      <c r="J12" s="34" t="n">
        <f aca="false">I12/D12*100</f>
        <v>26.1135828317194</v>
      </c>
    </row>
    <row r="13" customFormat="false" ht="15" hidden="false" customHeight="true" outlineLevel="0" collapsed="false">
      <c r="B13" s="32" t="n">
        <v>7</v>
      </c>
      <c r="C13" s="32" t="s">
        <v>53</v>
      </c>
      <c r="D13" s="33" t="n">
        <v>3923</v>
      </c>
      <c r="E13" s="33" t="n">
        <v>349</v>
      </c>
      <c r="F13" s="34" t="n">
        <f aca="false">E13/D13*100</f>
        <v>8.89625286770329</v>
      </c>
      <c r="G13" s="33" t="n">
        <v>623</v>
      </c>
      <c r="H13" s="34" t="n">
        <f aca="false">G13/D13*100</f>
        <v>15.8807035432067</v>
      </c>
      <c r="I13" s="35" t="n">
        <f aca="false">E13+G13</f>
        <v>972</v>
      </c>
      <c r="J13" s="34" t="n">
        <f aca="false">I13/D13*100</f>
        <v>24.77695641091</v>
      </c>
    </row>
    <row r="14" customFormat="false" ht="15" hidden="false" customHeight="true" outlineLevel="0" collapsed="false">
      <c r="B14" s="32" t="n">
        <v>8</v>
      </c>
      <c r="C14" s="32" t="s">
        <v>54</v>
      </c>
      <c r="D14" s="33" t="n">
        <v>10052</v>
      </c>
      <c r="E14" s="33" t="n">
        <v>368</v>
      </c>
      <c r="F14" s="34" t="n">
        <f aca="false">E14/D14*100</f>
        <v>3.66096299243932</v>
      </c>
      <c r="G14" s="33" t="n">
        <v>1185</v>
      </c>
      <c r="H14" s="34" t="n">
        <f aca="false">G14/D14*100</f>
        <v>11.7886987664146</v>
      </c>
      <c r="I14" s="35" t="n">
        <f aca="false">E14+G14</f>
        <v>1553</v>
      </c>
      <c r="J14" s="34" t="n">
        <f aca="false">I14/D14*100</f>
        <v>15.449661758854</v>
      </c>
    </row>
    <row r="15" customFormat="false" ht="15" hidden="false" customHeight="true" outlineLevel="0" collapsed="false">
      <c r="B15" s="32" t="n">
        <v>9</v>
      </c>
      <c r="C15" s="32" t="s">
        <v>55</v>
      </c>
      <c r="D15" s="33" t="n">
        <v>7502</v>
      </c>
      <c r="E15" s="33" t="n">
        <v>1508</v>
      </c>
      <c r="F15" s="34" t="n">
        <f aca="false">E15/D15*100</f>
        <v>20.1013063183151</v>
      </c>
      <c r="G15" s="33" t="n">
        <v>2649</v>
      </c>
      <c r="H15" s="34" t="n">
        <f aca="false">G15/D15*100</f>
        <v>35.3105838443082</v>
      </c>
      <c r="I15" s="35" t="n">
        <f aca="false">E15+G15</f>
        <v>4157</v>
      </c>
      <c r="J15" s="34" t="n">
        <f aca="false">I15/D15*100</f>
        <v>55.4118901626233</v>
      </c>
    </row>
    <row r="16" customFormat="false" ht="15" hidden="false" customHeight="true" outlineLevel="0" collapsed="false">
      <c r="B16" s="32" t="n">
        <v>10</v>
      </c>
      <c r="C16" s="32" t="s">
        <v>56</v>
      </c>
      <c r="D16" s="33" t="n">
        <v>16392</v>
      </c>
      <c r="E16" s="33" t="n">
        <v>367</v>
      </c>
      <c r="F16" s="34" t="n">
        <f aca="false">E16/D16*100</f>
        <v>2.23889702293802</v>
      </c>
      <c r="G16" s="33" t="n">
        <v>1573</v>
      </c>
      <c r="H16" s="34" t="n">
        <f aca="false">G16/D16*100</f>
        <v>9.59614446071254</v>
      </c>
      <c r="I16" s="35" t="n">
        <f aca="false">E16+G16</f>
        <v>1940</v>
      </c>
      <c r="J16" s="34" t="n">
        <f aca="false">I16/D16*100</f>
        <v>11.8350414836506</v>
      </c>
    </row>
    <row r="17" customFormat="false" ht="15" hidden="false" customHeight="true" outlineLevel="0" collapsed="false">
      <c r="B17" s="32" t="n">
        <v>11</v>
      </c>
      <c r="C17" s="32" t="s">
        <v>57</v>
      </c>
      <c r="D17" s="33" t="n">
        <v>6154</v>
      </c>
      <c r="E17" s="33" t="n">
        <v>948</v>
      </c>
      <c r="F17" s="34" t="n">
        <f aca="false">E17/D17*100</f>
        <v>15.4046148846279</v>
      </c>
      <c r="G17" s="33" t="n">
        <v>590</v>
      </c>
      <c r="H17" s="34" t="n">
        <f aca="false">G17/D17*100</f>
        <v>9.58726031849204</v>
      </c>
      <c r="I17" s="35" t="n">
        <f aca="false">E17+G17</f>
        <v>1538</v>
      </c>
      <c r="J17" s="34" t="n">
        <f aca="false">I17/D17*100</f>
        <v>24.9918752031199</v>
      </c>
    </row>
    <row r="18" customFormat="false" ht="15" hidden="false" customHeight="true" outlineLevel="0" collapsed="false">
      <c r="B18" s="32" t="n">
        <v>12</v>
      </c>
      <c r="C18" s="32" t="s">
        <v>58</v>
      </c>
      <c r="D18" s="33" t="n">
        <v>2274</v>
      </c>
      <c r="E18" s="33" t="n">
        <v>103</v>
      </c>
      <c r="F18" s="34" t="n">
        <f aca="false">E18/D18*100</f>
        <v>4.52946350043975</v>
      </c>
      <c r="G18" s="33" t="n">
        <v>67</v>
      </c>
      <c r="H18" s="34" t="n">
        <f aca="false">G18/D18*100</f>
        <v>2.94635004397537</v>
      </c>
      <c r="I18" s="35" t="n">
        <f aca="false">E18+G18</f>
        <v>170</v>
      </c>
      <c r="J18" s="34" t="n">
        <f aca="false">I18/D18*100</f>
        <v>7.47581354441513</v>
      </c>
    </row>
    <row r="19" customFormat="false" ht="15" hidden="false" customHeight="true" outlineLevel="0" collapsed="false">
      <c r="B19" s="36"/>
      <c r="C19" s="37" t="s">
        <v>59</v>
      </c>
      <c r="D19" s="38" t="n">
        <f aca="false">SUM(D7:D18)</f>
        <v>92399</v>
      </c>
      <c r="E19" s="38" t="n">
        <f aca="false">SUM(E7:E18)</f>
        <v>8161</v>
      </c>
      <c r="F19" s="39" t="n">
        <f aca="false">E19/D19*100</f>
        <v>8.83234667041851</v>
      </c>
      <c r="G19" s="30" t="n">
        <f aca="false">SUM(G7:G18)</f>
        <v>12275</v>
      </c>
      <c r="H19" s="34" t="n">
        <f aca="false">G19/D19*100</f>
        <v>13.284775809262</v>
      </c>
      <c r="I19" s="40" t="n">
        <f aca="false">G19+E19</f>
        <v>20436</v>
      </c>
      <c r="J19" s="41" t="n">
        <f aca="false">I19/D19*100</f>
        <v>22.1171224796805</v>
      </c>
    </row>
    <row r="21" customFormat="false" ht="15.75" hidden="false" customHeight="true" outlineLevel="0" collapsed="false"/>
    <row r="22" customFormat="false" ht="15.75" hidden="false" customHeight="true" outlineLevel="0" collapsed="false">
      <c r="B22" s="27" t="s">
        <v>38</v>
      </c>
      <c r="C22" s="27" t="s">
        <v>39</v>
      </c>
      <c r="D22" s="42" t="s">
        <v>60</v>
      </c>
      <c r="E22" s="42"/>
      <c r="F22" s="42"/>
      <c r="G22" s="42"/>
      <c r="H22" s="42"/>
      <c r="I22" s="42"/>
      <c r="J22" s="42"/>
    </row>
    <row r="23" customFormat="false" ht="44.25" hidden="false" customHeight="true" outlineLevel="0" collapsed="false">
      <c r="B23" s="27"/>
      <c r="C23" s="27"/>
      <c r="D23" s="43" t="s">
        <v>41</v>
      </c>
      <c r="E23" s="44" t="s">
        <v>42</v>
      </c>
      <c r="F23" s="44" t="s">
        <v>61</v>
      </c>
      <c r="G23" s="44" t="s">
        <v>44</v>
      </c>
      <c r="H23" s="43" t="s">
        <v>61</v>
      </c>
      <c r="I23" s="43" t="s">
        <v>45</v>
      </c>
      <c r="J23" s="43" t="s">
        <v>46</v>
      </c>
    </row>
    <row r="24" customFormat="false" ht="15.75" hidden="false" customHeight="true" outlineLevel="0" collapsed="false">
      <c r="B24" s="32" t="n">
        <v>1</v>
      </c>
      <c r="C24" s="32" t="s">
        <v>47</v>
      </c>
      <c r="D24" s="45" t="n">
        <v>444</v>
      </c>
      <c r="E24" s="45" t="n">
        <v>1</v>
      </c>
      <c r="F24" s="46" t="n">
        <f aca="false">E24/D24*100</f>
        <v>0.225225225225225</v>
      </c>
      <c r="G24" s="47" t="n">
        <v>40</v>
      </c>
      <c r="H24" s="46" t="n">
        <f aca="false">G24/D24*100</f>
        <v>9.00900900900901</v>
      </c>
      <c r="I24" s="48" t="n">
        <f aca="false">E24+G24</f>
        <v>41</v>
      </c>
      <c r="J24" s="46" t="n">
        <f aca="false">I24/D24*100</f>
        <v>9.23423423423424</v>
      </c>
    </row>
    <row r="25" customFormat="false" ht="15.75" hidden="false" customHeight="true" outlineLevel="0" collapsed="false">
      <c r="B25" s="32" t="n">
        <v>2</v>
      </c>
      <c r="C25" s="32" t="s">
        <v>48</v>
      </c>
      <c r="D25" s="45" t="n">
        <v>160</v>
      </c>
      <c r="E25" s="45" t="n">
        <v>78</v>
      </c>
      <c r="F25" s="46" t="n">
        <f aca="false">E25/D25*100</f>
        <v>48.75</v>
      </c>
      <c r="G25" s="47" t="n">
        <v>125</v>
      </c>
      <c r="H25" s="46" t="n">
        <f aca="false">G25/D25*100</f>
        <v>78.125</v>
      </c>
      <c r="I25" s="48" t="n">
        <f aca="false">E25+G25</f>
        <v>203</v>
      </c>
      <c r="J25" s="46" t="n">
        <f aca="false">I25/D25*100</f>
        <v>126.875</v>
      </c>
    </row>
    <row r="26" customFormat="false" ht="15.75" hidden="false" customHeight="true" outlineLevel="0" collapsed="false">
      <c r="B26" s="32" t="n">
        <v>3</v>
      </c>
      <c r="C26" s="32" t="s">
        <v>49</v>
      </c>
      <c r="D26" s="45" t="n">
        <v>271</v>
      </c>
      <c r="E26" s="45" t="n">
        <v>6</v>
      </c>
      <c r="F26" s="46" t="n">
        <f aca="false">E26/D26*100</f>
        <v>2.2140221402214</v>
      </c>
      <c r="G26" s="47" t="n">
        <v>9</v>
      </c>
      <c r="H26" s="46" t="n">
        <f aca="false">G26/D26*100</f>
        <v>3.3210332103321</v>
      </c>
      <c r="I26" s="48" t="n">
        <f aca="false">E26+G26</f>
        <v>15</v>
      </c>
      <c r="J26" s="46" t="n">
        <f aca="false">I26/D26*100</f>
        <v>5.53505535055351</v>
      </c>
    </row>
    <row r="27" customFormat="false" ht="15.75" hidden="false" customHeight="true" outlineLevel="0" collapsed="false">
      <c r="B27" s="32" t="n">
        <v>4</v>
      </c>
      <c r="C27" s="32" t="s">
        <v>50</v>
      </c>
      <c r="D27" s="45" t="n">
        <v>170</v>
      </c>
      <c r="E27" s="45" t="n">
        <v>2</v>
      </c>
      <c r="F27" s="46" t="n">
        <f aca="false">E27/D27*100</f>
        <v>1.17647058823529</v>
      </c>
      <c r="G27" s="47" t="n">
        <v>21</v>
      </c>
      <c r="H27" s="46" t="n">
        <f aca="false">G27/D27*100</f>
        <v>12.3529411764706</v>
      </c>
      <c r="I27" s="48" t="n">
        <f aca="false">E27+G27</f>
        <v>23</v>
      </c>
      <c r="J27" s="46" t="n">
        <f aca="false">I27/D27*100</f>
        <v>13.5294117647059</v>
      </c>
    </row>
    <row r="28" customFormat="false" ht="15.75" hidden="false" customHeight="true" outlineLevel="0" collapsed="false">
      <c r="B28" s="32" t="n">
        <v>5</v>
      </c>
      <c r="C28" s="32" t="s">
        <v>51</v>
      </c>
      <c r="D28" s="45" t="n">
        <v>284</v>
      </c>
      <c r="E28" s="45" t="n">
        <v>52</v>
      </c>
      <c r="F28" s="46" t="n">
        <f aca="false">E28/D28*100</f>
        <v>18.3098591549296</v>
      </c>
      <c r="G28" s="47" t="n">
        <v>65</v>
      </c>
      <c r="H28" s="46" t="n">
        <f aca="false">G28/D28*100</f>
        <v>22.887323943662</v>
      </c>
      <c r="I28" s="48" t="n">
        <f aca="false">E28+G28</f>
        <v>117</v>
      </c>
      <c r="J28" s="46" t="n">
        <f aca="false">I28/D28*100</f>
        <v>41.1971830985916</v>
      </c>
    </row>
    <row r="29" customFormat="false" ht="15.75" hidden="false" customHeight="true" outlineLevel="0" collapsed="false">
      <c r="B29" s="32" t="n">
        <v>6</v>
      </c>
      <c r="C29" s="32" t="s">
        <v>52</v>
      </c>
      <c r="D29" s="45" t="n">
        <v>909</v>
      </c>
      <c r="E29" s="45" t="n">
        <v>346</v>
      </c>
      <c r="F29" s="46" t="n">
        <f aca="false">E29/D29*100</f>
        <v>38.0638063806381</v>
      </c>
      <c r="G29" s="47" t="n">
        <v>249</v>
      </c>
      <c r="H29" s="46" t="n">
        <f aca="false">G29/D29*100</f>
        <v>27.3927392739274</v>
      </c>
      <c r="I29" s="48" t="n">
        <f aca="false">E29+G29</f>
        <v>595</v>
      </c>
      <c r="J29" s="46" t="n">
        <f aca="false">I29/D29*100</f>
        <v>65.4565456545655</v>
      </c>
    </row>
    <row r="30" customFormat="false" ht="15.75" hidden="false" customHeight="true" outlineLevel="0" collapsed="false">
      <c r="B30" s="32" t="n">
        <v>7</v>
      </c>
      <c r="C30" s="32" t="s">
        <v>53</v>
      </c>
      <c r="D30" s="45" t="n">
        <v>188</v>
      </c>
      <c r="E30" s="45" t="n">
        <v>56</v>
      </c>
      <c r="F30" s="46" t="n">
        <f aca="false">E30/D30*100</f>
        <v>29.7872340425532</v>
      </c>
      <c r="G30" s="47" t="n">
        <v>27</v>
      </c>
      <c r="H30" s="46" t="n">
        <f aca="false">G30/D30*100</f>
        <v>14.3617021276596</v>
      </c>
      <c r="I30" s="48" t="n">
        <f aca="false">E30+G30</f>
        <v>83</v>
      </c>
      <c r="J30" s="46" t="n">
        <f aca="false">I30/D30*100</f>
        <v>44.1489361702128</v>
      </c>
    </row>
    <row r="31" customFormat="false" ht="15.75" hidden="false" customHeight="true" outlineLevel="0" collapsed="false">
      <c r="B31" s="32" t="n">
        <v>8</v>
      </c>
      <c r="C31" s="32" t="s">
        <v>54</v>
      </c>
      <c r="D31" s="45" t="n">
        <v>459</v>
      </c>
      <c r="E31" s="45" t="n">
        <v>42</v>
      </c>
      <c r="F31" s="46" t="n">
        <f aca="false">E31/D31*100</f>
        <v>9.15032679738562</v>
      </c>
      <c r="G31" s="47" t="n">
        <v>77</v>
      </c>
      <c r="H31" s="46" t="n">
        <f aca="false">G31/D31*100</f>
        <v>16.7755991285403</v>
      </c>
      <c r="I31" s="48" t="n">
        <f aca="false">E31+G31</f>
        <v>119</v>
      </c>
      <c r="J31" s="46" t="n">
        <f aca="false">I31/D31*100</f>
        <v>25.9259259259259</v>
      </c>
    </row>
    <row r="32" customFormat="false" ht="15.75" hidden="false" customHeight="true" outlineLevel="0" collapsed="false">
      <c r="B32" s="32" t="n">
        <v>9</v>
      </c>
      <c r="C32" s="32" t="s">
        <v>55</v>
      </c>
      <c r="D32" s="45" t="n">
        <v>341</v>
      </c>
      <c r="E32" s="45" t="n">
        <v>8</v>
      </c>
      <c r="F32" s="46" t="n">
        <f aca="false">E32/D32*100</f>
        <v>2.34604105571848</v>
      </c>
      <c r="G32" s="47" t="n">
        <v>77</v>
      </c>
      <c r="H32" s="46" t="n">
        <f aca="false">G32/D32*100</f>
        <v>22.5806451612903</v>
      </c>
      <c r="I32" s="48" t="n">
        <f aca="false">E32+G32</f>
        <v>85</v>
      </c>
      <c r="J32" s="46" t="n">
        <f aca="false">I32/D32*100</f>
        <v>24.9266862170088</v>
      </c>
    </row>
    <row r="33" customFormat="false" ht="15.75" hidden="false" customHeight="true" outlineLevel="0" collapsed="false">
      <c r="B33" s="32" t="n">
        <v>10</v>
      </c>
      <c r="C33" s="32" t="s">
        <v>56</v>
      </c>
      <c r="D33" s="45" t="n">
        <v>726</v>
      </c>
      <c r="E33" s="45" t="n">
        <v>11</v>
      </c>
      <c r="F33" s="46" t="n">
        <f aca="false">E33/D33*100</f>
        <v>1.51515151515152</v>
      </c>
      <c r="G33" s="47" t="n">
        <v>7</v>
      </c>
      <c r="H33" s="46" t="n">
        <f aca="false">G33/D33*100</f>
        <v>0.964187327823691</v>
      </c>
      <c r="I33" s="48" t="n">
        <f aca="false">E33+G33</f>
        <v>18</v>
      </c>
      <c r="J33" s="46" t="n">
        <f aca="false">I33/D33*100</f>
        <v>2.47933884297521</v>
      </c>
    </row>
    <row r="34" customFormat="false" ht="15.75" hidden="false" customHeight="true" outlineLevel="0" collapsed="false">
      <c r="B34" s="32" t="n">
        <v>11</v>
      </c>
      <c r="C34" s="32" t="s">
        <v>57</v>
      </c>
      <c r="D34" s="45" t="n">
        <v>282</v>
      </c>
      <c r="E34" s="45" t="n">
        <v>118</v>
      </c>
      <c r="F34" s="46" t="n">
        <f aca="false">E34/D34*100</f>
        <v>41.8439716312057</v>
      </c>
      <c r="G34" s="47" t="n">
        <v>71</v>
      </c>
      <c r="H34" s="46" t="n">
        <f aca="false">G34/D34*100</f>
        <v>25.177304964539</v>
      </c>
      <c r="I34" s="48" t="n">
        <f aca="false">E34+G34</f>
        <v>189</v>
      </c>
      <c r="J34" s="46" t="n">
        <f aca="false">I34/D34*100</f>
        <v>67.0212765957447</v>
      </c>
    </row>
    <row r="35" customFormat="false" ht="15.75" hidden="false" customHeight="true" outlineLevel="0" collapsed="false">
      <c r="B35" s="32" t="n">
        <v>12</v>
      </c>
      <c r="C35" s="32" t="s">
        <v>58</v>
      </c>
      <c r="D35" s="45" t="n">
        <v>112</v>
      </c>
      <c r="E35" s="45" t="n">
        <v>12</v>
      </c>
      <c r="F35" s="46" t="n">
        <f aca="false">E35/D35*100</f>
        <v>10.7142857142857</v>
      </c>
      <c r="G35" s="47" t="n">
        <v>7</v>
      </c>
      <c r="H35" s="46" t="n">
        <f aca="false">G35/D35*100</f>
        <v>6.25</v>
      </c>
      <c r="I35" s="48" t="n">
        <f aca="false">E35+G35</f>
        <v>19</v>
      </c>
      <c r="J35" s="46" t="n">
        <f aca="false">I35/D35*100</f>
        <v>16.9642857142857</v>
      </c>
    </row>
    <row r="36" customFormat="false" ht="15.75" hidden="false" customHeight="true" outlineLevel="0" collapsed="false">
      <c r="B36" s="36"/>
      <c r="C36" s="37" t="s">
        <v>59</v>
      </c>
      <c r="D36" s="49" t="n">
        <f aca="false">SUM(D24:D35)</f>
        <v>4346</v>
      </c>
      <c r="E36" s="49" t="n">
        <f aca="false">SUM(E24:E35)</f>
        <v>732</v>
      </c>
      <c r="F36" s="50" t="n">
        <f aca="false">E36/D36*100</f>
        <v>16.8430740911183</v>
      </c>
      <c r="G36" s="51" t="n">
        <f aca="false">SUM(G24:G35)</f>
        <v>775</v>
      </c>
      <c r="H36" s="50" t="n">
        <f aca="false">G36/D36*100</f>
        <v>17.8324896456512</v>
      </c>
      <c r="I36" s="52" t="n">
        <f aca="false">G36+E36</f>
        <v>1507</v>
      </c>
      <c r="J36" s="50" t="n">
        <f aca="false">I36/D36*100</f>
        <v>34.6755637367694</v>
      </c>
    </row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>
      <c r="B39" s="27" t="s">
        <v>38</v>
      </c>
      <c r="C39" s="27" t="s">
        <v>39</v>
      </c>
      <c r="D39" s="53" t="s">
        <v>62</v>
      </c>
      <c r="E39" s="53"/>
      <c r="F39" s="53"/>
      <c r="G39" s="53"/>
      <c r="H39" s="53"/>
      <c r="I39" s="53"/>
      <c r="J39" s="53"/>
    </row>
    <row r="40" customFormat="false" ht="42" hidden="false" customHeight="true" outlineLevel="0" collapsed="false">
      <c r="B40" s="27"/>
      <c r="C40" s="27"/>
      <c r="D40" s="54" t="s">
        <v>41</v>
      </c>
      <c r="E40" s="55" t="s">
        <v>42</v>
      </c>
      <c r="F40" s="55" t="s">
        <v>61</v>
      </c>
      <c r="G40" s="56" t="s">
        <v>44</v>
      </c>
      <c r="H40" s="55" t="s">
        <v>61</v>
      </c>
      <c r="I40" s="54" t="s">
        <v>63</v>
      </c>
      <c r="J40" s="54" t="s">
        <v>46</v>
      </c>
    </row>
    <row r="41" customFormat="false" ht="15.75" hidden="false" customHeight="true" outlineLevel="0" collapsed="false">
      <c r="B41" s="32" t="n">
        <v>1</v>
      </c>
      <c r="C41" s="32" t="s">
        <v>47</v>
      </c>
      <c r="D41" s="57" t="n">
        <v>111</v>
      </c>
      <c r="E41" s="57" t="n">
        <v>1</v>
      </c>
      <c r="F41" s="58" t="n">
        <f aca="false">E41/D41*100</f>
        <v>0.900900900900901</v>
      </c>
      <c r="G41" s="59" t="n">
        <v>19</v>
      </c>
      <c r="H41" s="60" t="n">
        <f aca="false">G41/D41*100</f>
        <v>17.1171171171171</v>
      </c>
      <c r="I41" s="61" t="n">
        <f aca="false">G41+E41</f>
        <v>20</v>
      </c>
      <c r="J41" s="62" t="n">
        <f aca="false">I41/D41*100</f>
        <v>18.018018018018</v>
      </c>
    </row>
    <row r="42" customFormat="false" ht="15.75" hidden="false" customHeight="true" outlineLevel="0" collapsed="false">
      <c r="B42" s="32" t="n">
        <v>2</v>
      </c>
      <c r="C42" s="32" t="s">
        <v>48</v>
      </c>
      <c r="D42" s="57" t="n">
        <v>40</v>
      </c>
      <c r="E42" s="57" t="n">
        <v>16</v>
      </c>
      <c r="F42" s="58" t="n">
        <f aca="false">E42/D42*100</f>
        <v>40</v>
      </c>
      <c r="G42" s="59" t="n">
        <v>18</v>
      </c>
      <c r="H42" s="60" t="n">
        <f aca="false">G42/D42*100</f>
        <v>45</v>
      </c>
      <c r="I42" s="61" t="n">
        <f aca="false">G42+E42</f>
        <v>34</v>
      </c>
      <c r="J42" s="62" t="n">
        <f aca="false">I42/D42*100</f>
        <v>85</v>
      </c>
    </row>
    <row r="43" customFormat="false" ht="15.75" hidden="false" customHeight="true" outlineLevel="0" collapsed="false">
      <c r="B43" s="32" t="n">
        <v>3</v>
      </c>
      <c r="C43" s="32" t="s">
        <v>49</v>
      </c>
      <c r="D43" s="57" t="n">
        <v>67</v>
      </c>
      <c r="E43" s="57" t="n">
        <v>1</v>
      </c>
      <c r="F43" s="58" t="n">
        <f aca="false">E43/D43*100</f>
        <v>1.49253731343284</v>
      </c>
      <c r="G43" s="59" t="n">
        <v>2</v>
      </c>
      <c r="H43" s="60" t="n">
        <f aca="false">G43/D43*100</f>
        <v>2.98507462686567</v>
      </c>
      <c r="I43" s="61" t="n">
        <f aca="false">G43+E43</f>
        <v>3</v>
      </c>
      <c r="J43" s="62" t="n">
        <f aca="false">I43/D43*100</f>
        <v>4.47761194029851</v>
      </c>
    </row>
    <row r="44" customFormat="false" ht="15.75" hidden="false" customHeight="true" outlineLevel="0" collapsed="false">
      <c r="B44" s="32" t="n">
        <v>4</v>
      </c>
      <c r="C44" s="32" t="s">
        <v>50</v>
      </c>
      <c r="D44" s="57" t="n">
        <v>43</v>
      </c>
      <c r="E44" s="57" t="n">
        <v>3</v>
      </c>
      <c r="F44" s="58" t="n">
        <f aca="false">E44/D44*100</f>
        <v>6.97674418604651</v>
      </c>
      <c r="G44" s="59" t="n">
        <v>6</v>
      </c>
      <c r="H44" s="60" t="n">
        <f aca="false">G44/D44*100</f>
        <v>13.953488372093</v>
      </c>
      <c r="I44" s="61" t="n">
        <f aca="false">G44+E44</f>
        <v>9</v>
      </c>
      <c r="J44" s="62" t="n">
        <f aca="false">I44/D44*100</f>
        <v>20.9302325581395</v>
      </c>
    </row>
    <row r="45" customFormat="false" ht="15.75" hidden="false" customHeight="true" outlineLevel="0" collapsed="false">
      <c r="B45" s="32" t="n">
        <v>5</v>
      </c>
      <c r="C45" s="32" t="s">
        <v>51</v>
      </c>
      <c r="D45" s="57" t="n">
        <v>71</v>
      </c>
      <c r="E45" s="57" t="n">
        <v>25</v>
      </c>
      <c r="F45" s="58" t="n">
        <f aca="false">E45/D45*100</f>
        <v>35.2112676056338</v>
      </c>
      <c r="G45" s="59" t="n">
        <v>26</v>
      </c>
      <c r="H45" s="60" t="n">
        <f aca="false">G45/D45*100</f>
        <v>36.6197183098592</v>
      </c>
      <c r="I45" s="61" t="n">
        <f aca="false">G45+E45</f>
        <v>51</v>
      </c>
      <c r="J45" s="62" t="n">
        <f aca="false">I45/D45*100</f>
        <v>71.830985915493</v>
      </c>
    </row>
    <row r="46" customFormat="false" ht="15.75" hidden="false" customHeight="true" outlineLevel="0" collapsed="false">
      <c r="B46" s="32" t="n">
        <v>6</v>
      </c>
      <c r="C46" s="32" t="s">
        <v>52</v>
      </c>
      <c r="D46" s="57" t="n">
        <v>227</v>
      </c>
      <c r="E46" s="57" t="n">
        <v>112</v>
      </c>
      <c r="F46" s="58" t="n">
        <f aca="false">E46/D46*100</f>
        <v>49.3392070484582</v>
      </c>
      <c r="G46" s="59" t="n">
        <v>58</v>
      </c>
      <c r="H46" s="60" t="n">
        <f aca="false">G46/D46*100</f>
        <v>25.5506607929515</v>
      </c>
      <c r="I46" s="61" t="n">
        <f aca="false">G46+E46</f>
        <v>170</v>
      </c>
      <c r="J46" s="62" t="n">
        <f aca="false">I46/D46*100</f>
        <v>74.8898678414097</v>
      </c>
    </row>
    <row r="47" customFormat="false" ht="15.75" hidden="false" customHeight="true" outlineLevel="0" collapsed="false">
      <c r="B47" s="32" t="n">
        <v>7</v>
      </c>
      <c r="C47" s="32" t="s">
        <v>53</v>
      </c>
      <c r="D47" s="57" t="n">
        <v>47</v>
      </c>
      <c r="E47" s="57" t="n">
        <v>8</v>
      </c>
      <c r="F47" s="58" t="n">
        <f aca="false">E47/D47*100</f>
        <v>17.0212765957447</v>
      </c>
      <c r="G47" s="59" t="n">
        <v>11</v>
      </c>
      <c r="H47" s="60" t="n">
        <f aca="false">G47/D47*100</f>
        <v>23.4042553191489</v>
      </c>
      <c r="I47" s="61" t="n">
        <f aca="false">G47+E47</f>
        <v>19</v>
      </c>
      <c r="J47" s="62" t="n">
        <f aca="false">I47/D47*100</f>
        <v>40.4255319148936</v>
      </c>
    </row>
    <row r="48" customFormat="false" ht="15.75" hidden="false" customHeight="true" outlineLevel="0" collapsed="false">
      <c r="B48" s="32" t="n">
        <v>8</v>
      </c>
      <c r="C48" s="32" t="s">
        <v>54</v>
      </c>
      <c r="D48" s="57" t="n">
        <v>115</v>
      </c>
      <c r="E48" s="57" t="n">
        <v>2</v>
      </c>
      <c r="F48" s="58" t="n">
        <f aca="false">E48/D48*100</f>
        <v>1.73913043478261</v>
      </c>
      <c r="G48" s="59" t="n">
        <v>8</v>
      </c>
      <c r="H48" s="60" t="n">
        <f aca="false">G48/D48*100</f>
        <v>6.95652173913044</v>
      </c>
      <c r="I48" s="61" t="n">
        <f aca="false">G48+E48</f>
        <v>10</v>
      </c>
      <c r="J48" s="62" t="n">
        <f aca="false">I48/D48*100</f>
        <v>8.69565217391304</v>
      </c>
    </row>
    <row r="49" customFormat="false" ht="15.75" hidden="false" customHeight="true" outlineLevel="0" collapsed="false">
      <c r="B49" s="32" t="n">
        <v>9</v>
      </c>
      <c r="C49" s="32" t="s">
        <v>55</v>
      </c>
      <c r="D49" s="57" t="n">
        <v>85</v>
      </c>
      <c r="E49" s="57" t="n">
        <v>7</v>
      </c>
      <c r="F49" s="58" t="n">
        <f aca="false">E49/D49*100</f>
        <v>8.23529411764706</v>
      </c>
      <c r="G49" s="59" t="n">
        <v>12</v>
      </c>
      <c r="H49" s="60" t="n">
        <f aca="false">G49/D49*100</f>
        <v>14.1176470588235</v>
      </c>
      <c r="I49" s="61" t="n">
        <f aca="false">G49+E49</f>
        <v>19</v>
      </c>
      <c r="J49" s="62" t="n">
        <f aca="false">I49/D49*100</f>
        <v>22.3529411764706</v>
      </c>
    </row>
    <row r="50" customFormat="false" ht="15.75" hidden="false" customHeight="true" outlineLevel="0" collapsed="false">
      <c r="B50" s="32" t="n">
        <v>10</v>
      </c>
      <c r="C50" s="32" t="s">
        <v>56</v>
      </c>
      <c r="D50" s="57" t="n">
        <v>182</v>
      </c>
      <c r="E50" s="57" t="n">
        <v>4</v>
      </c>
      <c r="F50" s="58" t="n">
        <f aca="false">E50/D50*100</f>
        <v>2.1978021978022</v>
      </c>
      <c r="G50" s="59" t="n">
        <v>20</v>
      </c>
      <c r="H50" s="60" t="n">
        <f aca="false">G50/D50*100</f>
        <v>10.989010989011</v>
      </c>
      <c r="I50" s="61" t="n">
        <f aca="false">G50+E50</f>
        <v>24</v>
      </c>
      <c r="J50" s="62" t="n">
        <f aca="false">I50/D50*100</f>
        <v>13.1868131868132</v>
      </c>
    </row>
    <row r="51" customFormat="false" ht="15.75" hidden="false" customHeight="true" outlineLevel="0" collapsed="false">
      <c r="B51" s="32" t="n">
        <v>11</v>
      </c>
      <c r="C51" s="32" t="s">
        <v>57</v>
      </c>
      <c r="D51" s="57" t="n">
        <v>70</v>
      </c>
      <c r="E51" s="57" t="n">
        <v>21</v>
      </c>
      <c r="F51" s="58" t="n">
        <f aca="false">E51/D51*100</f>
        <v>30</v>
      </c>
      <c r="G51" s="59" t="n">
        <v>12</v>
      </c>
      <c r="H51" s="60" t="n">
        <f aca="false">G51/D51*100</f>
        <v>17.1428571428571</v>
      </c>
      <c r="I51" s="61" t="n">
        <f aca="false">G51+E51</f>
        <v>33</v>
      </c>
      <c r="J51" s="62" t="n">
        <f aca="false">I51/D51*100</f>
        <v>47.1428571428571</v>
      </c>
    </row>
    <row r="52" customFormat="false" ht="15.75" hidden="false" customHeight="true" outlineLevel="0" collapsed="false">
      <c r="B52" s="32" t="n">
        <v>12</v>
      </c>
      <c r="C52" s="32" t="s">
        <v>58</v>
      </c>
      <c r="D52" s="57" t="n">
        <v>28</v>
      </c>
      <c r="E52" s="57" t="n">
        <v>2</v>
      </c>
      <c r="F52" s="58" t="n">
        <f aca="false">E52/D52*100</f>
        <v>7.14285714285714</v>
      </c>
      <c r="G52" s="59" t="n">
        <v>1</v>
      </c>
      <c r="H52" s="60" t="n">
        <f aca="false">G52/D52*100</f>
        <v>3.57142857142857</v>
      </c>
      <c r="I52" s="61" t="n">
        <f aca="false">G52+E52</f>
        <v>3</v>
      </c>
      <c r="J52" s="62" t="n">
        <f aca="false">I52/D52*100</f>
        <v>10.7142857142857</v>
      </c>
    </row>
    <row r="53" customFormat="false" ht="15.75" hidden="false" customHeight="true" outlineLevel="0" collapsed="false">
      <c r="B53" s="36"/>
      <c r="C53" s="37" t="s">
        <v>59</v>
      </c>
      <c r="D53" s="63" t="n">
        <f aca="false">SUM(D41:D52)</f>
        <v>1086</v>
      </c>
      <c r="E53" s="63" t="n">
        <f aca="false">SUM(E41:E52)</f>
        <v>202</v>
      </c>
      <c r="F53" s="64" t="n">
        <f aca="false">E53/D53*100</f>
        <v>18.6003683241252</v>
      </c>
      <c r="G53" s="54" t="n">
        <v>193</v>
      </c>
      <c r="H53" s="65" t="n">
        <f aca="false">G53/D53*100</f>
        <v>17.7716390423573</v>
      </c>
      <c r="I53" s="66" t="n">
        <f aca="false">G53+E53</f>
        <v>395</v>
      </c>
      <c r="J53" s="67" t="n">
        <f aca="false">I53/D53*100</f>
        <v>36.3720073664825</v>
      </c>
    </row>
    <row r="54" customFormat="false" ht="15.75" hidden="false" customHeight="true" outlineLevel="0" collapsed="false">
      <c r="I54" s="68"/>
    </row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</sheetData>
  <mergeCells count="11">
    <mergeCell ref="B1:J2"/>
    <mergeCell ref="B3:J3"/>
    <mergeCell ref="B5:B6"/>
    <mergeCell ref="C5:C6"/>
    <mergeCell ref="D5:J5"/>
    <mergeCell ref="B22:B23"/>
    <mergeCell ref="C22:C23"/>
    <mergeCell ref="D22:J22"/>
    <mergeCell ref="B39:B40"/>
    <mergeCell ref="C39:C40"/>
    <mergeCell ref="D39:J3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994"/>
  <sheetViews>
    <sheetView showFormulas="false" showGridLines="true" showRowColHeaders="true" showZeros="true" rightToLeft="false" tabSelected="false" showOutlineSymbols="true" defaultGridColor="true" view="normal" topLeftCell="A22" colorId="64" zoomScale="54" zoomScaleNormal="54" zoomScalePageLayoutView="100" workbookViewId="0">
      <selection pane="topLeft" activeCell="B55" activeCellId="0" sqref="B55"/>
    </sheetView>
  </sheetViews>
  <sheetFormatPr defaultColWidth="14.453125" defaultRowHeight="15" zeroHeight="false" outlineLevelRow="0" outlineLevelCol="0"/>
  <cols>
    <col collapsed="false" customWidth="true" hidden="false" outlineLevel="0" max="1" min="1" style="1" width="8.73"/>
    <col collapsed="false" customWidth="true" hidden="false" outlineLevel="0" max="2" min="2" style="1" width="7.82"/>
    <col collapsed="false" customWidth="true" hidden="false" outlineLevel="0" max="3" min="3" style="1" width="19.09"/>
    <col collapsed="false" customWidth="true" hidden="false" outlineLevel="0" max="4" min="4" style="1" width="19.73"/>
    <col collapsed="false" customWidth="true" hidden="false" outlineLevel="0" max="5" min="5" style="1" width="20.82"/>
    <col collapsed="false" customWidth="true" hidden="false" outlineLevel="0" max="6" min="6" style="1" width="15.54"/>
    <col collapsed="false" customWidth="false" hidden="false" outlineLevel="0" max="7" min="7" style="1" width="14.45"/>
    <col collapsed="false" customWidth="true" hidden="false" outlineLevel="0" max="8" min="8" style="1" width="17.82"/>
    <col collapsed="false" customWidth="false" hidden="false" outlineLevel="0" max="9" min="9" style="1" width="14.45"/>
    <col collapsed="false" customWidth="true" hidden="false" outlineLevel="0" max="10" min="10" style="1" width="16.54"/>
    <col collapsed="false" customWidth="false" hidden="false" outlineLevel="0" max="13" min="11" style="1" width="14.45"/>
    <col collapsed="false" customWidth="true" hidden="false" outlineLevel="0" max="25" min="14" style="1" width="8.73"/>
    <col collapsed="false" customWidth="false" hidden="false" outlineLevel="0" max="16384" min="26" style="1" width="14.45"/>
  </cols>
  <sheetData>
    <row r="1" customFormat="false" ht="15" hidden="false" customHeight="true" outlineLevel="0" collapsed="false">
      <c r="B1" s="69" t="s">
        <v>64</v>
      </c>
      <c r="C1" s="69"/>
      <c r="D1" s="69"/>
      <c r="E1" s="69"/>
      <c r="F1" s="69"/>
    </row>
    <row r="2" customFormat="false" ht="18" hidden="false" customHeight="true" outlineLevel="0" collapsed="false">
      <c r="B2" s="69"/>
      <c r="C2" s="69"/>
      <c r="D2" s="69"/>
      <c r="E2" s="69"/>
      <c r="F2" s="69"/>
    </row>
    <row r="3" customFormat="false" ht="18" hidden="false" customHeight="true" outlineLevel="0" collapsed="false">
      <c r="B3" s="26" t="s">
        <v>37</v>
      </c>
      <c r="C3" s="26"/>
      <c r="D3" s="26"/>
      <c r="E3" s="26"/>
      <c r="F3" s="26"/>
    </row>
    <row r="5" customFormat="false" ht="15" hidden="false" customHeight="true" outlineLevel="0" collapsed="false">
      <c r="B5" s="27" t="s">
        <v>38</v>
      </c>
      <c r="C5" s="27" t="s">
        <v>39</v>
      </c>
      <c r="D5" s="27" t="s">
        <v>65</v>
      </c>
      <c r="E5" s="27"/>
      <c r="F5" s="27"/>
    </row>
    <row r="6" customFormat="false" ht="55.5" hidden="false" customHeight="true" outlineLevel="0" collapsed="false">
      <c r="B6" s="27"/>
      <c r="C6" s="27"/>
      <c r="D6" s="70" t="s">
        <v>66</v>
      </c>
      <c r="E6" s="71" t="s">
        <v>67</v>
      </c>
      <c r="F6" s="72" t="s">
        <v>68</v>
      </c>
    </row>
    <row r="7" customFormat="false" ht="15" hidden="false" customHeight="true" outlineLevel="0" collapsed="false">
      <c r="B7" s="32" t="n">
        <v>1</v>
      </c>
      <c r="C7" s="32" t="s">
        <v>47</v>
      </c>
      <c r="D7" s="32" t="n">
        <v>8998</v>
      </c>
      <c r="E7" s="73" t="n">
        <v>1117</v>
      </c>
      <c r="F7" s="74" t="n">
        <f aca="false">E7/D7*100</f>
        <v>12.4138697488331</v>
      </c>
    </row>
    <row r="8" customFormat="false" ht="15" hidden="false" customHeight="true" outlineLevel="0" collapsed="false">
      <c r="B8" s="32" t="n">
        <v>2</v>
      </c>
      <c r="C8" s="32" t="s">
        <v>48</v>
      </c>
      <c r="D8" s="32" t="n">
        <v>3234</v>
      </c>
      <c r="E8" s="73" t="n">
        <v>940</v>
      </c>
      <c r="F8" s="74" t="n">
        <f aca="false">E8/D8*100</f>
        <v>29.0661719233148</v>
      </c>
    </row>
    <row r="9" customFormat="false" ht="15" hidden="false" customHeight="true" outlineLevel="0" collapsed="false">
      <c r="B9" s="32" t="n">
        <v>3</v>
      </c>
      <c r="C9" s="32" t="s">
        <v>49</v>
      </c>
      <c r="D9" s="32" t="n">
        <v>5429</v>
      </c>
      <c r="E9" s="73" t="n">
        <v>634</v>
      </c>
      <c r="F9" s="74" t="n">
        <f aca="false">E9/D9*100</f>
        <v>11.6780254190459</v>
      </c>
    </row>
    <row r="10" customFormat="false" ht="15" hidden="false" customHeight="true" outlineLevel="0" collapsed="false">
      <c r="B10" s="32" t="n">
        <v>4</v>
      </c>
      <c r="C10" s="32" t="s">
        <v>50</v>
      </c>
      <c r="D10" s="32" t="n">
        <v>3480</v>
      </c>
      <c r="E10" s="73" t="n">
        <v>1069</v>
      </c>
      <c r="F10" s="74" t="n">
        <f aca="false">E10/D10*100</f>
        <v>30.7183908045977</v>
      </c>
    </row>
    <row r="11" customFormat="false" ht="15" hidden="false" customHeight="true" outlineLevel="0" collapsed="false">
      <c r="B11" s="32" t="n">
        <v>5</v>
      </c>
      <c r="C11" s="32" t="s">
        <v>51</v>
      </c>
      <c r="D11" s="32" t="n">
        <v>5856</v>
      </c>
      <c r="E11" s="73" t="n">
        <v>1357</v>
      </c>
      <c r="F11" s="74" t="n">
        <f aca="false">E11/D11*100</f>
        <v>23.1728142076503</v>
      </c>
    </row>
    <row r="12" customFormat="false" ht="15" hidden="false" customHeight="true" outlineLevel="0" collapsed="false">
      <c r="B12" s="32" t="n">
        <v>6</v>
      </c>
      <c r="C12" s="32" t="s">
        <v>52</v>
      </c>
      <c r="D12" s="32" t="n">
        <v>19105</v>
      </c>
      <c r="E12" s="73" t="n">
        <v>4989</v>
      </c>
      <c r="F12" s="74" t="n">
        <f aca="false">E12/D12*100</f>
        <v>26.1135828317194</v>
      </c>
    </row>
    <row r="13" customFormat="false" ht="15" hidden="false" customHeight="true" outlineLevel="0" collapsed="false">
      <c r="B13" s="32" t="n">
        <v>7</v>
      </c>
      <c r="C13" s="32" t="s">
        <v>53</v>
      </c>
      <c r="D13" s="32" t="n">
        <v>3923</v>
      </c>
      <c r="E13" s="73" t="n">
        <v>972</v>
      </c>
      <c r="F13" s="74" t="n">
        <f aca="false">E13/D13*100</f>
        <v>24.77695641091</v>
      </c>
    </row>
    <row r="14" customFormat="false" ht="15" hidden="false" customHeight="true" outlineLevel="0" collapsed="false">
      <c r="B14" s="32" t="n">
        <v>8</v>
      </c>
      <c r="C14" s="32" t="s">
        <v>54</v>
      </c>
      <c r="D14" s="32" t="n">
        <v>10052</v>
      </c>
      <c r="E14" s="73" t="n">
        <v>1553</v>
      </c>
      <c r="F14" s="74" t="n">
        <f aca="false">E14/D14*100</f>
        <v>15.449661758854</v>
      </c>
    </row>
    <row r="15" customFormat="false" ht="15" hidden="false" customHeight="true" outlineLevel="0" collapsed="false">
      <c r="B15" s="75" t="n">
        <v>9</v>
      </c>
      <c r="C15" s="75" t="s">
        <v>55</v>
      </c>
      <c r="D15" s="75" t="n">
        <v>7502</v>
      </c>
      <c r="E15" s="76" t="n">
        <v>4157</v>
      </c>
      <c r="F15" s="77" t="n">
        <f aca="false">E15/D15*100</f>
        <v>55.4118901626233</v>
      </c>
    </row>
    <row r="16" customFormat="false" ht="15" hidden="false" customHeight="true" outlineLevel="0" collapsed="false">
      <c r="B16" s="32" t="n">
        <v>10</v>
      </c>
      <c r="C16" s="32" t="s">
        <v>56</v>
      </c>
      <c r="D16" s="32" t="n">
        <v>16392</v>
      </c>
      <c r="E16" s="73" t="n">
        <v>1940</v>
      </c>
      <c r="F16" s="74" t="n">
        <f aca="false">E16/D16*100</f>
        <v>11.8350414836506</v>
      </c>
    </row>
    <row r="17" customFormat="false" ht="15" hidden="false" customHeight="true" outlineLevel="0" collapsed="false">
      <c r="B17" s="32" t="n">
        <v>11</v>
      </c>
      <c r="C17" s="32" t="s">
        <v>57</v>
      </c>
      <c r="D17" s="32" t="n">
        <v>6154</v>
      </c>
      <c r="E17" s="73" t="n">
        <v>1538</v>
      </c>
      <c r="F17" s="74" t="n">
        <f aca="false">E17/D17*100</f>
        <v>24.9918752031199</v>
      </c>
    </row>
    <row r="18" customFormat="false" ht="15" hidden="false" customHeight="true" outlineLevel="0" collapsed="false">
      <c r="B18" s="78" t="n">
        <v>12</v>
      </c>
      <c r="C18" s="78" t="s">
        <v>58</v>
      </c>
      <c r="D18" s="78" t="n">
        <v>2274</v>
      </c>
      <c r="E18" s="79" t="n">
        <v>170</v>
      </c>
      <c r="F18" s="80" t="n">
        <f aca="false">E18/D18*100</f>
        <v>7.47581354441513</v>
      </c>
    </row>
    <row r="19" customFormat="false" ht="15" hidden="false" customHeight="true" outlineLevel="0" collapsed="false">
      <c r="B19" s="36"/>
      <c r="C19" s="37" t="s">
        <v>59</v>
      </c>
      <c r="D19" s="37" t="n">
        <f aca="false">SUM(D7:D18)</f>
        <v>92399</v>
      </c>
      <c r="E19" s="81" t="n">
        <f aca="false">SUM(E7:E18)</f>
        <v>20436</v>
      </c>
      <c r="F19" s="82" t="n">
        <f aca="false">E19/D19*100</f>
        <v>22.1171224796805</v>
      </c>
    </row>
    <row r="21" customFormat="false" ht="15.75" hidden="false" customHeight="true" outlineLevel="0" collapsed="false"/>
    <row r="22" customFormat="false" ht="15.75" hidden="false" customHeight="true" outlineLevel="0" collapsed="false">
      <c r="B22" s="27" t="s">
        <v>38</v>
      </c>
      <c r="C22" s="27" t="s">
        <v>39</v>
      </c>
      <c r="D22" s="27" t="s">
        <v>69</v>
      </c>
      <c r="E22" s="27"/>
      <c r="F22" s="27"/>
    </row>
    <row r="23" customFormat="false" ht="44.25" hidden="false" customHeight="true" outlineLevel="0" collapsed="false">
      <c r="B23" s="27"/>
      <c r="C23" s="27"/>
      <c r="D23" s="70" t="s">
        <v>66</v>
      </c>
      <c r="E23" s="70" t="s">
        <v>67</v>
      </c>
      <c r="F23" s="70" t="s">
        <v>68</v>
      </c>
    </row>
    <row r="24" customFormat="false" ht="15.75" hidden="false" customHeight="true" outlineLevel="0" collapsed="false">
      <c r="B24" s="32" t="n">
        <v>1</v>
      </c>
      <c r="C24" s="32" t="s">
        <v>47</v>
      </c>
      <c r="D24" s="32" t="n">
        <v>444</v>
      </c>
      <c r="E24" s="73" t="n">
        <v>41</v>
      </c>
      <c r="F24" s="74" t="n">
        <f aca="false">E24/D24*100</f>
        <v>9.23423423423424</v>
      </c>
    </row>
    <row r="25" customFormat="false" ht="15.75" hidden="false" customHeight="true" outlineLevel="0" collapsed="false">
      <c r="B25" s="75" t="n">
        <v>2</v>
      </c>
      <c r="C25" s="75" t="s">
        <v>48</v>
      </c>
      <c r="D25" s="75" t="n">
        <v>160</v>
      </c>
      <c r="E25" s="76" t="n">
        <v>203</v>
      </c>
      <c r="F25" s="77" t="n">
        <f aca="false">E25/D25*100</f>
        <v>126.875</v>
      </c>
    </row>
    <row r="26" customFormat="false" ht="15.75" hidden="false" customHeight="true" outlineLevel="0" collapsed="false">
      <c r="B26" s="32" t="n">
        <v>3</v>
      </c>
      <c r="C26" s="32" t="s">
        <v>49</v>
      </c>
      <c r="D26" s="32" t="n">
        <v>271</v>
      </c>
      <c r="E26" s="73" t="n">
        <v>15</v>
      </c>
      <c r="F26" s="74" t="n">
        <f aca="false">E26/D26*100</f>
        <v>5.53505535055351</v>
      </c>
    </row>
    <row r="27" customFormat="false" ht="15.75" hidden="false" customHeight="true" outlineLevel="0" collapsed="false">
      <c r="B27" s="32" t="n">
        <v>4</v>
      </c>
      <c r="C27" s="32" t="s">
        <v>50</v>
      </c>
      <c r="D27" s="32" t="n">
        <v>170</v>
      </c>
      <c r="E27" s="73" t="n">
        <v>23</v>
      </c>
      <c r="F27" s="74" t="n">
        <f aca="false">E27/D27*100</f>
        <v>13.5294117647059</v>
      </c>
    </row>
    <row r="28" customFormat="false" ht="15.75" hidden="false" customHeight="true" outlineLevel="0" collapsed="false">
      <c r="B28" s="32" t="n">
        <v>5</v>
      </c>
      <c r="C28" s="32" t="s">
        <v>51</v>
      </c>
      <c r="D28" s="32" t="n">
        <v>284</v>
      </c>
      <c r="E28" s="73" t="n">
        <v>117</v>
      </c>
      <c r="F28" s="74" t="n">
        <f aca="false">E28/D28*100</f>
        <v>41.1971830985916</v>
      </c>
    </row>
    <row r="29" customFormat="false" ht="15.75" hidden="false" customHeight="true" outlineLevel="0" collapsed="false">
      <c r="B29" s="32" t="n">
        <v>6</v>
      </c>
      <c r="C29" s="32" t="s">
        <v>52</v>
      </c>
      <c r="D29" s="32" t="n">
        <v>909</v>
      </c>
      <c r="E29" s="73" t="n">
        <v>595</v>
      </c>
      <c r="F29" s="74" t="n">
        <f aca="false">E29/D29*100</f>
        <v>65.4565456545655</v>
      </c>
    </row>
    <row r="30" customFormat="false" ht="15.75" hidden="false" customHeight="true" outlineLevel="0" collapsed="false">
      <c r="B30" s="32" t="n">
        <v>7</v>
      </c>
      <c r="C30" s="32" t="s">
        <v>53</v>
      </c>
      <c r="D30" s="32" t="n">
        <v>188</v>
      </c>
      <c r="E30" s="73" t="n">
        <v>83</v>
      </c>
      <c r="F30" s="74" t="n">
        <f aca="false">E30/D30*100</f>
        <v>44.1489361702128</v>
      </c>
    </row>
    <row r="31" customFormat="false" ht="15.75" hidden="false" customHeight="true" outlineLevel="0" collapsed="false">
      <c r="B31" s="32" t="n">
        <v>8</v>
      </c>
      <c r="C31" s="32" t="s">
        <v>54</v>
      </c>
      <c r="D31" s="32" t="n">
        <v>459</v>
      </c>
      <c r="E31" s="73" t="n">
        <v>119</v>
      </c>
      <c r="F31" s="74" t="n">
        <f aca="false">E31/D31*100</f>
        <v>25.9259259259259</v>
      </c>
    </row>
    <row r="32" customFormat="false" ht="15.75" hidden="false" customHeight="true" outlineLevel="0" collapsed="false">
      <c r="B32" s="32" t="n">
        <v>9</v>
      </c>
      <c r="C32" s="32" t="s">
        <v>55</v>
      </c>
      <c r="D32" s="32" t="n">
        <v>341</v>
      </c>
      <c r="E32" s="73" t="n">
        <v>85</v>
      </c>
      <c r="F32" s="74" t="n">
        <f aca="false">E32/D32*100</f>
        <v>24.9266862170088</v>
      </c>
    </row>
    <row r="33" customFormat="false" ht="15.75" hidden="false" customHeight="true" outlineLevel="0" collapsed="false">
      <c r="B33" s="78" t="n">
        <v>10</v>
      </c>
      <c r="C33" s="78" t="s">
        <v>56</v>
      </c>
      <c r="D33" s="78" t="n">
        <v>726</v>
      </c>
      <c r="E33" s="79" t="n">
        <v>18</v>
      </c>
      <c r="F33" s="80" t="n">
        <f aca="false">E33/D33*100</f>
        <v>2.47933884297521</v>
      </c>
    </row>
    <row r="34" customFormat="false" ht="15.75" hidden="false" customHeight="true" outlineLevel="0" collapsed="false">
      <c r="B34" s="32" t="n">
        <v>11</v>
      </c>
      <c r="C34" s="32" t="s">
        <v>57</v>
      </c>
      <c r="D34" s="32" t="n">
        <v>282</v>
      </c>
      <c r="E34" s="73" t="n">
        <v>189</v>
      </c>
      <c r="F34" s="74" t="n">
        <f aca="false">E34/D34*100</f>
        <v>67.0212765957447</v>
      </c>
    </row>
    <row r="35" customFormat="false" ht="15.75" hidden="false" customHeight="true" outlineLevel="0" collapsed="false">
      <c r="B35" s="32" t="n">
        <v>12</v>
      </c>
      <c r="C35" s="32" t="s">
        <v>58</v>
      </c>
      <c r="D35" s="32" t="n">
        <v>112</v>
      </c>
      <c r="E35" s="73" t="n">
        <v>19</v>
      </c>
      <c r="F35" s="74" t="n">
        <f aca="false">E35/D35*100</f>
        <v>16.9642857142857</v>
      </c>
    </row>
    <row r="36" customFormat="false" ht="15.75" hidden="false" customHeight="true" outlineLevel="0" collapsed="false">
      <c r="B36" s="36"/>
      <c r="C36" s="37" t="s">
        <v>59</v>
      </c>
      <c r="D36" s="37" t="n">
        <f aca="false">SUM(D24:D35)</f>
        <v>4346</v>
      </c>
      <c r="E36" s="83" t="n">
        <f aca="false">SUM(E24:E35)</f>
        <v>1507</v>
      </c>
      <c r="F36" s="82" t="n">
        <f aca="false">E36/D36*100</f>
        <v>34.6755637367694</v>
      </c>
    </row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>
      <c r="B39" s="27" t="s">
        <v>38</v>
      </c>
      <c r="C39" s="27" t="s">
        <v>39</v>
      </c>
      <c r="D39" s="84" t="s">
        <v>70</v>
      </c>
      <c r="E39" s="84"/>
      <c r="F39" s="84"/>
    </row>
    <row r="40" customFormat="false" ht="42" hidden="false" customHeight="true" outlineLevel="0" collapsed="false">
      <c r="B40" s="27"/>
      <c r="C40" s="27"/>
      <c r="D40" s="85" t="s">
        <v>66</v>
      </c>
      <c r="E40" s="85" t="s">
        <v>67</v>
      </c>
      <c r="F40" s="85" t="s">
        <v>68</v>
      </c>
    </row>
    <row r="41" customFormat="false" ht="15.75" hidden="false" customHeight="true" outlineLevel="0" collapsed="false">
      <c r="B41" s="32" t="n">
        <v>1</v>
      </c>
      <c r="C41" s="32" t="s">
        <v>47</v>
      </c>
      <c r="D41" s="32" t="n">
        <v>111</v>
      </c>
      <c r="E41" s="86" t="n">
        <v>20</v>
      </c>
      <c r="F41" s="74" t="n">
        <f aca="false">E41/D41*100</f>
        <v>18.018018018018</v>
      </c>
    </row>
    <row r="42" customFormat="false" ht="15.75" hidden="false" customHeight="true" outlineLevel="0" collapsed="false">
      <c r="B42" s="75" t="n">
        <v>2</v>
      </c>
      <c r="C42" s="75" t="s">
        <v>48</v>
      </c>
      <c r="D42" s="75" t="n">
        <v>40</v>
      </c>
      <c r="E42" s="87" t="n">
        <v>34</v>
      </c>
      <c r="F42" s="77" t="n">
        <f aca="false">E42/D42*100</f>
        <v>85</v>
      </c>
    </row>
    <row r="43" customFormat="false" ht="15.75" hidden="false" customHeight="true" outlineLevel="0" collapsed="false">
      <c r="B43" s="32" t="n">
        <v>3</v>
      </c>
      <c r="C43" s="32" t="s">
        <v>49</v>
      </c>
      <c r="D43" s="32" t="n">
        <v>67</v>
      </c>
      <c r="E43" s="86" t="n">
        <v>3</v>
      </c>
      <c r="F43" s="74" t="n">
        <f aca="false">E43/D43*100</f>
        <v>4.47761194029851</v>
      </c>
    </row>
    <row r="44" customFormat="false" ht="15.75" hidden="false" customHeight="true" outlineLevel="0" collapsed="false">
      <c r="B44" s="32" t="n">
        <v>4</v>
      </c>
      <c r="C44" s="32" t="s">
        <v>50</v>
      </c>
      <c r="D44" s="32" t="n">
        <v>43</v>
      </c>
      <c r="E44" s="86" t="n">
        <v>9</v>
      </c>
      <c r="F44" s="74" t="n">
        <f aca="false">E44/D44*100</f>
        <v>20.9302325581395</v>
      </c>
    </row>
    <row r="45" customFormat="false" ht="15.75" hidden="false" customHeight="true" outlineLevel="0" collapsed="false">
      <c r="B45" s="32" t="n">
        <v>5</v>
      </c>
      <c r="C45" s="32" t="s">
        <v>51</v>
      </c>
      <c r="D45" s="32" t="n">
        <v>71</v>
      </c>
      <c r="E45" s="86" t="n">
        <v>51</v>
      </c>
      <c r="F45" s="74" t="n">
        <f aca="false">E45/D45*100</f>
        <v>71.830985915493</v>
      </c>
    </row>
    <row r="46" customFormat="false" ht="15.75" hidden="false" customHeight="true" outlineLevel="0" collapsed="false">
      <c r="B46" s="32" t="n">
        <v>6</v>
      </c>
      <c r="C46" s="32" t="s">
        <v>52</v>
      </c>
      <c r="D46" s="32" t="n">
        <v>227</v>
      </c>
      <c r="E46" s="86" t="n">
        <v>170</v>
      </c>
      <c r="F46" s="74" t="n">
        <f aca="false">E46/D46*100</f>
        <v>74.8898678414097</v>
      </c>
    </row>
    <row r="47" customFormat="false" ht="15.75" hidden="false" customHeight="true" outlineLevel="0" collapsed="false">
      <c r="B47" s="32" t="n">
        <v>7</v>
      </c>
      <c r="C47" s="32" t="s">
        <v>53</v>
      </c>
      <c r="D47" s="32" t="n">
        <v>47</v>
      </c>
      <c r="E47" s="86" t="n">
        <v>19</v>
      </c>
      <c r="F47" s="74" t="n">
        <f aca="false">E47/D47*100</f>
        <v>40.4255319148936</v>
      </c>
    </row>
    <row r="48" customFormat="false" ht="15.75" hidden="false" customHeight="true" outlineLevel="0" collapsed="false">
      <c r="B48" s="78" t="n">
        <v>8</v>
      </c>
      <c r="C48" s="78" t="s">
        <v>54</v>
      </c>
      <c r="D48" s="78" t="n">
        <v>115</v>
      </c>
      <c r="E48" s="88" t="n">
        <v>10</v>
      </c>
      <c r="F48" s="80" t="n">
        <f aca="false">E48/D48*100</f>
        <v>8.69565217391304</v>
      </c>
    </row>
    <row r="49" customFormat="false" ht="15.75" hidden="false" customHeight="true" outlineLevel="0" collapsed="false">
      <c r="B49" s="32" t="n">
        <v>9</v>
      </c>
      <c r="C49" s="32" t="s">
        <v>55</v>
      </c>
      <c r="D49" s="32" t="n">
        <v>85</v>
      </c>
      <c r="E49" s="86" t="n">
        <v>19</v>
      </c>
      <c r="F49" s="74" t="n">
        <f aca="false">E49/D49*100</f>
        <v>22.3529411764706</v>
      </c>
    </row>
    <row r="50" customFormat="false" ht="15.75" hidden="false" customHeight="true" outlineLevel="0" collapsed="false">
      <c r="B50" s="32" t="n">
        <v>10</v>
      </c>
      <c r="C50" s="32" t="s">
        <v>56</v>
      </c>
      <c r="D50" s="32" t="n">
        <v>182</v>
      </c>
      <c r="E50" s="86" t="n">
        <v>24</v>
      </c>
      <c r="F50" s="74" t="n">
        <f aca="false">E50/D50*100</f>
        <v>13.1868131868132</v>
      </c>
    </row>
    <row r="51" customFormat="false" ht="15.75" hidden="false" customHeight="true" outlineLevel="0" collapsed="false">
      <c r="B51" s="32" t="n">
        <v>11</v>
      </c>
      <c r="C51" s="32" t="s">
        <v>57</v>
      </c>
      <c r="D51" s="32" t="n">
        <v>70</v>
      </c>
      <c r="E51" s="86" t="n">
        <v>33</v>
      </c>
      <c r="F51" s="74" t="n">
        <f aca="false">E51/D51*100</f>
        <v>47.1428571428571</v>
      </c>
    </row>
    <row r="52" customFormat="false" ht="15.75" hidden="false" customHeight="true" outlineLevel="0" collapsed="false">
      <c r="B52" s="32" t="n">
        <v>12</v>
      </c>
      <c r="C52" s="32" t="s">
        <v>58</v>
      </c>
      <c r="D52" s="32" t="n">
        <v>28</v>
      </c>
      <c r="E52" s="86" t="n">
        <v>3</v>
      </c>
      <c r="F52" s="74" t="n">
        <f aca="false">E52/D52*100</f>
        <v>10.7142857142857</v>
      </c>
    </row>
    <row r="53" customFormat="false" ht="15.75" hidden="false" customHeight="true" outlineLevel="0" collapsed="false">
      <c r="B53" s="36"/>
      <c r="C53" s="37" t="s">
        <v>59</v>
      </c>
      <c r="D53" s="37" t="n">
        <f aca="false">SUM(D41:D52)</f>
        <v>1086</v>
      </c>
      <c r="E53" s="89" t="n">
        <f aca="false">SUM(E41:E52)</f>
        <v>395</v>
      </c>
      <c r="F53" s="82" t="n">
        <f aca="false">E53/D53*100</f>
        <v>36.3720073664825</v>
      </c>
    </row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</sheetData>
  <mergeCells count="11">
    <mergeCell ref="B1:F2"/>
    <mergeCell ref="B3:F3"/>
    <mergeCell ref="B5:B6"/>
    <mergeCell ref="C5:C6"/>
    <mergeCell ref="D5:F5"/>
    <mergeCell ref="B22:B23"/>
    <mergeCell ref="C22:C23"/>
    <mergeCell ref="D22:F22"/>
    <mergeCell ref="B39:B40"/>
    <mergeCell ref="C39:C40"/>
    <mergeCell ref="D39:F3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4:N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5" activeCellId="0" sqref="F15"/>
    </sheetView>
  </sheetViews>
  <sheetFormatPr defaultColWidth="8.6796875" defaultRowHeight="14.25" zeroHeight="false" outlineLevelRow="0" outlineLevelCol="0"/>
  <cols>
    <col collapsed="false" customWidth="true" hidden="false" outlineLevel="0" max="2" min="2" style="1" width="11.73"/>
  </cols>
  <sheetData>
    <row r="4" customFormat="false" ht="14.25" hidden="false" customHeight="true" outlineLevel="0" collapsed="false">
      <c r="B4" s="90" t="s">
        <v>71</v>
      </c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</row>
    <row r="5" customFormat="false" ht="14.25" hidden="false" customHeight="true" outlineLevel="0" collapsed="false">
      <c r="B5" s="91" t="s">
        <v>72</v>
      </c>
      <c r="C5" s="90" t="s">
        <v>73</v>
      </c>
      <c r="D5" s="90" t="s">
        <v>74</v>
      </c>
      <c r="E5" s="90" t="s">
        <v>3</v>
      </c>
      <c r="F5" s="90" t="s">
        <v>75</v>
      </c>
      <c r="G5" s="90" t="s">
        <v>6</v>
      </c>
      <c r="H5" s="90" t="s">
        <v>7</v>
      </c>
      <c r="I5" s="90" t="s">
        <v>76</v>
      </c>
      <c r="J5" s="90" t="s">
        <v>77</v>
      </c>
      <c r="K5" s="90" t="s">
        <v>78</v>
      </c>
      <c r="L5" s="90" t="s">
        <v>79</v>
      </c>
      <c r="M5" s="90" t="s">
        <v>80</v>
      </c>
      <c r="N5" s="90" t="s">
        <v>81</v>
      </c>
    </row>
    <row r="6" customFormat="false" ht="14.25" hidden="false" customHeight="true" outlineLevel="0" collapsed="false">
      <c r="B6" s="91" t="s">
        <v>12</v>
      </c>
      <c r="C6" s="92" t="n">
        <v>0</v>
      </c>
      <c r="D6" s="92" t="n">
        <v>0</v>
      </c>
      <c r="E6" s="92" t="n">
        <v>0</v>
      </c>
      <c r="F6" s="92" t="n">
        <v>0</v>
      </c>
      <c r="G6" s="92" t="n">
        <v>0</v>
      </c>
      <c r="H6" s="92" t="n">
        <v>0</v>
      </c>
      <c r="I6" s="93" t="n">
        <v>8</v>
      </c>
      <c r="J6" s="92"/>
      <c r="K6" s="92"/>
      <c r="L6" s="92"/>
      <c r="M6" s="92"/>
      <c r="N6" s="92"/>
    </row>
    <row r="7" customFormat="false" ht="14.25" hidden="false" customHeight="true" outlineLevel="0" collapsed="false">
      <c r="B7" s="91" t="s">
        <v>13</v>
      </c>
      <c r="C7" s="92" t="n">
        <v>0</v>
      </c>
      <c r="D7" s="92" t="n">
        <v>0</v>
      </c>
      <c r="E7" s="92" t="n">
        <v>0</v>
      </c>
      <c r="F7" s="92" t="n">
        <v>0</v>
      </c>
      <c r="G7" s="92" t="n">
        <v>0</v>
      </c>
      <c r="H7" s="92" t="n">
        <v>0</v>
      </c>
      <c r="I7" s="93" t="n">
        <v>9</v>
      </c>
      <c r="J7" s="92"/>
      <c r="K7" s="92"/>
      <c r="L7" s="92"/>
      <c r="M7" s="92"/>
      <c r="N7" s="92"/>
    </row>
    <row r="8" customFormat="false" ht="14.25" hidden="false" customHeight="true" outlineLevel="0" collapsed="false">
      <c r="B8" s="91" t="s">
        <v>14</v>
      </c>
      <c r="C8" s="92" t="n">
        <v>0</v>
      </c>
      <c r="D8" s="92" t="n">
        <v>0</v>
      </c>
      <c r="E8" s="92" t="n">
        <v>0</v>
      </c>
      <c r="F8" s="92" t="n">
        <v>0</v>
      </c>
      <c r="G8" s="92" t="n">
        <v>0</v>
      </c>
      <c r="H8" s="92" t="n">
        <v>2</v>
      </c>
      <c r="I8" s="93" t="n">
        <v>4</v>
      </c>
      <c r="J8" s="92"/>
      <c r="K8" s="92"/>
      <c r="L8" s="92"/>
      <c r="M8" s="92"/>
      <c r="N8" s="92"/>
    </row>
    <row r="9" customFormat="false" ht="14.25" hidden="false" customHeight="true" outlineLevel="0" collapsed="false">
      <c r="B9" s="91" t="s">
        <v>15</v>
      </c>
      <c r="C9" s="92" t="n">
        <v>0</v>
      </c>
      <c r="D9" s="92" t="n">
        <v>0</v>
      </c>
      <c r="E9" s="92" t="n">
        <v>0</v>
      </c>
      <c r="F9" s="92" t="n">
        <v>0</v>
      </c>
      <c r="G9" s="92" t="n">
        <v>0</v>
      </c>
      <c r="H9" s="92" t="n">
        <v>0</v>
      </c>
      <c r="I9" s="92" t="n">
        <v>0</v>
      </c>
      <c r="J9" s="92"/>
      <c r="K9" s="92"/>
      <c r="L9" s="92"/>
      <c r="M9" s="92"/>
      <c r="N9" s="92"/>
    </row>
    <row r="10" customFormat="false" ht="14.25" hidden="false" customHeight="true" outlineLevel="0" collapsed="false">
      <c r="B10" s="91" t="s">
        <v>16</v>
      </c>
      <c r="C10" s="92" t="n">
        <v>0</v>
      </c>
      <c r="D10" s="92" t="n">
        <v>0</v>
      </c>
      <c r="E10" s="92" t="n">
        <v>0</v>
      </c>
      <c r="F10" s="92" t="n">
        <v>0</v>
      </c>
      <c r="G10" s="92" t="n">
        <v>0</v>
      </c>
      <c r="H10" s="92" t="n">
        <v>0</v>
      </c>
      <c r="I10" s="93" t="n">
        <v>13</v>
      </c>
      <c r="J10" s="92"/>
      <c r="K10" s="92"/>
      <c r="L10" s="92"/>
      <c r="M10" s="92"/>
      <c r="N10" s="92"/>
    </row>
    <row r="11" customFormat="false" ht="14.25" hidden="false" customHeight="true" outlineLevel="0" collapsed="false">
      <c r="B11" s="91" t="s">
        <v>17</v>
      </c>
      <c r="C11" s="92" t="n">
        <v>0</v>
      </c>
      <c r="D11" s="92" t="n">
        <v>0</v>
      </c>
      <c r="E11" s="92" t="n">
        <v>0</v>
      </c>
      <c r="F11" s="92" t="n">
        <v>0</v>
      </c>
      <c r="G11" s="92" t="n">
        <v>0</v>
      </c>
      <c r="H11" s="92" t="n">
        <v>0</v>
      </c>
      <c r="I11" s="93" t="n">
        <v>27</v>
      </c>
      <c r="J11" s="92"/>
      <c r="K11" s="92"/>
      <c r="L11" s="92"/>
      <c r="M11" s="92"/>
      <c r="N11" s="92"/>
    </row>
    <row r="12" customFormat="false" ht="14.25" hidden="false" customHeight="true" outlineLevel="0" collapsed="false">
      <c r="B12" s="91" t="s">
        <v>18</v>
      </c>
      <c r="C12" s="92" t="n">
        <v>0</v>
      </c>
      <c r="D12" s="92" t="n">
        <v>0</v>
      </c>
      <c r="E12" s="92" t="n">
        <v>0</v>
      </c>
      <c r="F12" s="92" t="n">
        <v>0</v>
      </c>
      <c r="G12" s="92" t="n">
        <v>0</v>
      </c>
      <c r="H12" s="93" t="n">
        <v>13</v>
      </c>
      <c r="I12" s="93" t="n">
        <v>7</v>
      </c>
      <c r="J12" s="92"/>
      <c r="K12" s="92"/>
      <c r="L12" s="92"/>
      <c r="M12" s="92"/>
      <c r="N12" s="92"/>
    </row>
    <row r="13" customFormat="false" ht="14.25" hidden="false" customHeight="true" outlineLevel="0" collapsed="false">
      <c r="B13" s="91" t="s">
        <v>19</v>
      </c>
      <c r="C13" s="92" t="n">
        <v>0</v>
      </c>
      <c r="D13" s="92" t="n">
        <v>0</v>
      </c>
      <c r="E13" s="92" t="n">
        <v>0</v>
      </c>
      <c r="F13" s="92" t="n">
        <v>0</v>
      </c>
      <c r="G13" s="93" t="n">
        <v>10</v>
      </c>
      <c r="H13" s="93" t="n">
        <v>13</v>
      </c>
      <c r="I13" s="93" t="n">
        <v>11</v>
      </c>
      <c r="J13" s="92"/>
      <c r="K13" s="92"/>
      <c r="L13" s="92"/>
      <c r="M13" s="92"/>
      <c r="N13" s="92"/>
    </row>
    <row r="14" customFormat="false" ht="14.25" hidden="false" customHeight="true" outlineLevel="0" collapsed="false">
      <c r="B14" s="91" t="s">
        <v>20</v>
      </c>
      <c r="C14" s="92" t="n">
        <v>0</v>
      </c>
      <c r="D14" s="92" t="n">
        <v>0</v>
      </c>
      <c r="E14" s="92" t="n">
        <v>0</v>
      </c>
      <c r="F14" s="93" t="n">
        <v>22</v>
      </c>
      <c r="G14" s="92" t="n">
        <v>0</v>
      </c>
      <c r="H14" s="92" t="n">
        <v>0</v>
      </c>
      <c r="I14" s="92" t="n">
        <v>0</v>
      </c>
      <c r="J14" s="92"/>
      <c r="K14" s="92"/>
      <c r="L14" s="92"/>
      <c r="M14" s="92"/>
      <c r="N14" s="92"/>
    </row>
    <row r="15" customFormat="false" ht="14.25" hidden="false" customHeight="true" outlineLevel="0" collapsed="false">
      <c r="B15" s="91" t="s">
        <v>21</v>
      </c>
      <c r="C15" s="92" t="n">
        <v>0</v>
      </c>
      <c r="D15" s="92" t="n">
        <v>0</v>
      </c>
      <c r="E15" s="92" t="n">
        <v>0</v>
      </c>
      <c r="F15" s="92" t="n">
        <v>0</v>
      </c>
      <c r="G15" s="93" t="n">
        <v>23</v>
      </c>
      <c r="H15" s="92" t="n">
        <v>0</v>
      </c>
      <c r="I15" s="92" t="n">
        <v>0</v>
      </c>
      <c r="J15" s="92"/>
      <c r="K15" s="92"/>
      <c r="L15" s="92"/>
      <c r="M15" s="92"/>
      <c r="N15" s="92"/>
    </row>
    <row r="16" customFormat="false" ht="14.25" hidden="false" customHeight="true" outlineLevel="0" collapsed="false">
      <c r="B16" s="91" t="s">
        <v>22</v>
      </c>
      <c r="C16" s="92" t="n">
        <v>0</v>
      </c>
      <c r="D16" s="92" t="n">
        <v>0</v>
      </c>
      <c r="E16" s="93" t="n">
        <v>20</v>
      </c>
      <c r="F16" s="92" t="n">
        <v>0</v>
      </c>
      <c r="G16" s="92" t="n">
        <v>0</v>
      </c>
      <c r="H16" s="93" t="n">
        <v>21</v>
      </c>
      <c r="I16" s="92" t="n">
        <v>0</v>
      </c>
      <c r="J16" s="92"/>
      <c r="K16" s="92"/>
      <c r="L16" s="92"/>
      <c r="M16" s="92"/>
      <c r="N16" s="92"/>
    </row>
    <row r="17" customFormat="false" ht="14.25" hidden="false" customHeight="true" outlineLevel="0" collapsed="false">
      <c r="B17" s="91" t="s">
        <v>23</v>
      </c>
      <c r="C17" s="92" t="n">
        <v>0</v>
      </c>
      <c r="D17" s="92" t="n">
        <v>0</v>
      </c>
      <c r="E17" s="92" t="n">
        <v>0</v>
      </c>
      <c r="F17" s="92" t="n">
        <v>0</v>
      </c>
      <c r="G17" s="92" t="n">
        <v>0</v>
      </c>
      <c r="H17" s="92" t="n">
        <v>0</v>
      </c>
      <c r="I17" s="92" t="n">
        <v>0</v>
      </c>
      <c r="J17" s="92"/>
      <c r="K17" s="92"/>
      <c r="L17" s="92"/>
      <c r="M17" s="92"/>
      <c r="N17" s="92"/>
    </row>
    <row r="18" customFormat="false" ht="14.25" hidden="false" customHeight="true" outlineLevel="0" collapsed="false">
      <c r="B18" s="94" t="s">
        <v>82</v>
      </c>
    </row>
  </sheetData>
  <mergeCells count="1">
    <mergeCell ref="B4:N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4:O22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J22" activeCellId="0" sqref="J22"/>
    </sheetView>
  </sheetViews>
  <sheetFormatPr defaultColWidth="8.6796875" defaultRowHeight="14.25" zeroHeight="false" outlineLevelRow="0" outlineLevelCol="0"/>
  <cols>
    <col collapsed="false" customWidth="true" hidden="false" outlineLevel="0" max="4" min="4" style="1" width="16.18"/>
    <col collapsed="false" customWidth="true" hidden="false" outlineLevel="0" max="5" min="5" style="1" width="26.09"/>
    <col collapsed="false" customWidth="true" hidden="false" outlineLevel="0" max="6" min="6" style="1" width="13.63"/>
    <col collapsed="false" customWidth="true" hidden="false" outlineLevel="0" max="7" min="7" style="1" width="12.27"/>
  </cols>
  <sheetData>
    <row r="4" customFormat="false" ht="15" hidden="false" customHeight="true" outlineLevel="0" collapsed="false">
      <c r="B4" s="95" t="s">
        <v>83</v>
      </c>
      <c r="C4" s="95"/>
      <c r="D4" s="95"/>
      <c r="E4" s="95"/>
      <c r="F4" s="95"/>
      <c r="G4" s="95"/>
      <c r="H4" s="95"/>
      <c r="I4" s="95"/>
      <c r="J4" s="95"/>
      <c r="K4" s="95"/>
      <c r="L4" s="95"/>
      <c r="M4" s="95"/>
      <c r="N4" s="95"/>
    </row>
    <row r="5" customFormat="false" ht="15" hidden="false" customHeight="true" outlineLevel="0" collapsed="false">
      <c r="B5" s="95" t="s">
        <v>84</v>
      </c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N5" s="95"/>
    </row>
    <row r="8" customFormat="false" ht="28.5" hidden="false" customHeight="true" outlineLevel="0" collapsed="false">
      <c r="B8" s="96" t="s">
        <v>38</v>
      </c>
      <c r="C8" s="96" t="s">
        <v>85</v>
      </c>
      <c r="D8" s="97" t="s">
        <v>86</v>
      </c>
      <c r="E8" s="97" t="s">
        <v>87</v>
      </c>
      <c r="F8" s="97" t="s">
        <v>88</v>
      </c>
      <c r="G8" s="97"/>
      <c r="H8" s="97"/>
      <c r="I8" s="97"/>
      <c r="J8" s="97"/>
      <c r="K8" s="97"/>
      <c r="L8" s="97" t="s">
        <v>89</v>
      </c>
      <c r="M8" s="97"/>
      <c r="N8" s="97"/>
      <c r="O8" s="97"/>
    </row>
    <row r="9" customFormat="false" ht="57.75" hidden="false" customHeight="true" outlineLevel="0" collapsed="false">
      <c r="B9" s="96"/>
      <c r="C9" s="96"/>
      <c r="D9" s="97" t="s">
        <v>90</v>
      </c>
      <c r="E9" s="97" t="s">
        <v>91</v>
      </c>
      <c r="F9" s="96" t="s">
        <v>92</v>
      </c>
      <c r="G9" s="96" t="s">
        <v>61</v>
      </c>
      <c r="H9" s="96" t="s">
        <v>93</v>
      </c>
      <c r="I9" s="96" t="s">
        <v>61</v>
      </c>
      <c r="J9" s="96" t="s">
        <v>94</v>
      </c>
      <c r="K9" s="96" t="s">
        <v>61</v>
      </c>
      <c r="L9" s="97" t="s">
        <v>95</v>
      </c>
      <c r="M9" s="97" t="s">
        <v>96</v>
      </c>
      <c r="N9" s="97" t="s">
        <v>97</v>
      </c>
      <c r="O9" s="97" t="s">
        <v>98</v>
      </c>
    </row>
    <row r="10" customFormat="false" ht="14.25" hidden="false" customHeight="true" outlineLevel="0" collapsed="false">
      <c r="B10" s="92" t="n">
        <v>1</v>
      </c>
      <c r="C10" s="98" t="s">
        <v>47</v>
      </c>
      <c r="D10" s="98" t="n">
        <v>3201</v>
      </c>
      <c r="E10" s="98" t="n">
        <v>221</v>
      </c>
      <c r="F10" s="98" t="n">
        <v>8</v>
      </c>
      <c r="G10" s="99" t="n">
        <f aca="false">F10/D10*100</f>
        <v>0.249921899406435</v>
      </c>
      <c r="H10" s="98" t="n">
        <v>8</v>
      </c>
      <c r="I10" s="99" t="n">
        <f aca="false">H10/D10*100</f>
        <v>0.249921899406435</v>
      </c>
      <c r="J10" s="98" t="n">
        <v>8</v>
      </c>
      <c r="K10" s="99" t="n">
        <f aca="false">J10/E10*100</f>
        <v>3.61990950226244</v>
      </c>
      <c r="L10" s="98" t="n">
        <v>0</v>
      </c>
      <c r="M10" s="98" t="n">
        <v>0</v>
      </c>
      <c r="N10" s="98" t="n">
        <v>1</v>
      </c>
      <c r="O10" s="98" t="s">
        <v>99</v>
      </c>
    </row>
    <row r="11" customFormat="false" ht="14.25" hidden="false" customHeight="true" outlineLevel="0" collapsed="false">
      <c r="B11" s="92" t="n">
        <v>2</v>
      </c>
      <c r="C11" s="98" t="s">
        <v>48</v>
      </c>
      <c r="D11" s="98" t="n">
        <v>1153</v>
      </c>
      <c r="E11" s="98" t="n">
        <v>79</v>
      </c>
      <c r="F11" s="98" t="n">
        <v>9</v>
      </c>
      <c r="G11" s="100" t="n">
        <f aca="false">F11/D11*100</f>
        <v>0.780572419774501</v>
      </c>
      <c r="H11" s="98" t="n">
        <v>9</v>
      </c>
      <c r="I11" s="99" t="n">
        <f aca="false">H11/D11*100</f>
        <v>0.780572419774501</v>
      </c>
      <c r="J11" s="98" t="n">
        <v>9</v>
      </c>
      <c r="K11" s="99" t="n">
        <f aca="false">J11/E11*100</f>
        <v>11.3924050632911</v>
      </c>
      <c r="L11" s="98" t="n">
        <v>0</v>
      </c>
      <c r="M11" s="98" t="n">
        <v>0</v>
      </c>
      <c r="N11" s="98" t="n">
        <v>0</v>
      </c>
      <c r="O11" s="98" t="s">
        <v>99</v>
      </c>
    </row>
    <row r="12" customFormat="false" ht="14.25" hidden="false" customHeight="true" outlineLevel="0" collapsed="false">
      <c r="B12" s="92" t="n">
        <v>3</v>
      </c>
      <c r="C12" s="98" t="s">
        <v>49</v>
      </c>
      <c r="D12" s="98" t="n">
        <v>2093</v>
      </c>
      <c r="E12" s="98" t="n">
        <v>147</v>
      </c>
      <c r="F12" s="98" t="n">
        <v>6</v>
      </c>
      <c r="G12" s="99" t="n">
        <f aca="false">F12/D12*100</f>
        <v>0.286669851887243</v>
      </c>
      <c r="H12" s="98" t="n">
        <v>6</v>
      </c>
      <c r="I12" s="99" t="n">
        <f aca="false">H12/D12*100</f>
        <v>0.286669851887243</v>
      </c>
      <c r="J12" s="98" t="n">
        <v>6</v>
      </c>
      <c r="K12" s="99" t="n">
        <f aca="false">J12/E12*100</f>
        <v>4.08163265306123</v>
      </c>
      <c r="L12" s="98" t="n">
        <v>0</v>
      </c>
      <c r="M12" s="98" t="n">
        <v>0</v>
      </c>
      <c r="N12" s="98" t="n">
        <v>0</v>
      </c>
      <c r="O12" s="98" t="s">
        <v>99</v>
      </c>
    </row>
    <row r="13" customFormat="false" ht="14.25" hidden="false" customHeight="true" outlineLevel="0" collapsed="false">
      <c r="B13" s="101" t="n">
        <v>4</v>
      </c>
      <c r="C13" s="102" t="s">
        <v>50</v>
      </c>
      <c r="D13" s="102" t="n">
        <v>1197</v>
      </c>
      <c r="E13" s="102" t="n">
        <v>84</v>
      </c>
      <c r="F13" s="102" t="n">
        <v>0</v>
      </c>
      <c r="G13" s="103" t="n">
        <f aca="false">F13/D13*100</f>
        <v>0</v>
      </c>
      <c r="H13" s="102" t="n">
        <v>0</v>
      </c>
      <c r="I13" s="103" t="n">
        <f aca="false">H13/D13*100</f>
        <v>0</v>
      </c>
      <c r="J13" s="102" t="n">
        <v>0</v>
      </c>
      <c r="K13" s="102" t="n">
        <f aca="false">J13/E13*100</f>
        <v>0</v>
      </c>
      <c r="L13" s="102" t="n">
        <v>0</v>
      </c>
      <c r="M13" s="102" t="n">
        <v>0</v>
      </c>
      <c r="N13" s="102" t="n">
        <v>0</v>
      </c>
      <c r="O13" s="102"/>
    </row>
    <row r="14" customFormat="false" ht="14.25" hidden="false" customHeight="true" outlineLevel="0" collapsed="false">
      <c r="B14" s="92" t="n">
        <v>5</v>
      </c>
      <c r="C14" s="98" t="s">
        <v>51</v>
      </c>
      <c r="D14" s="98" t="n">
        <v>2109</v>
      </c>
      <c r="E14" s="98" t="n">
        <v>155</v>
      </c>
      <c r="F14" s="98" t="n">
        <v>13</v>
      </c>
      <c r="G14" s="99" t="n">
        <f aca="false">F14/D14*100</f>
        <v>0.616405879563774</v>
      </c>
      <c r="H14" s="98" t="n">
        <v>13</v>
      </c>
      <c r="I14" s="99" t="n">
        <f aca="false">H14/D14*100</f>
        <v>0.616405879563774</v>
      </c>
      <c r="J14" s="98" t="n">
        <v>13</v>
      </c>
      <c r="K14" s="99" t="n">
        <f aca="false">J14/E14*100</f>
        <v>8.38709677419355</v>
      </c>
      <c r="L14" s="98" t="n">
        <v>0</v>
      </c>
      <c r="M14" s="98" t="n">
        <v>0</v>
      </c>
      <c r="N14" s="98" t="n">
        <v>0</v>
      </c>
      <c r="O14" s="98" t="s">
        <v>99</v>
      </c>
    </row>
    <row r="15" customFormat="false" ht="14.25" hidden="false" customHeight="true" outlineLevel="0" collapsed="false">
      <c r="B15" s="92" t="n">
        <v>6</v>
      </c>
      <c r="C15" s="98" t="s">
        <v>52</v>
      </c>
      <c r="D15" s="98" t="n">
        <v>7151</v>
      </c>
      <c r="E15" s="98" t="n">
        <v>546</v>
      </c>
      <c r="F15" s="98" t="n">
        <v>27</v>
      </c>
      <c r="G15" s="99" t="n">
        <f aca="false">F15/D15*100</f>
        <v>0.377569570689414</v>
      </c>
      <c r="H15" s="98" t="n">
        <v>27</v>
      </c>
      <c r="I15" s="99" t="n">
        <f aca="false">H15/D15*100</f>
        <v>0.377569570689414</v>
      </c>
      <c r="J15" s="98" t="n">
        <v>27</v>
      </c>
      <c r="K15" s="99" t="n">
        <f aca="false">J15/E15*100</f>
        <v>4.94505494505495</v>
      </c>
      <c r="L15" s="98" t="n">
        <v>0</v>
      </c>
      <c r="M15" s="98" t="n">
        <v>0</v>
      </c>
      <c r="N15" s="98" t="n">
        <v>0</v>
      </c>
      <c r="O15" s="98" t="s">
        <v>99</v>
      </c>
    </row>
    <row r="16" customFormat="false" ht="14.25" hidden="false" customHeight="true" outlineLevel="0" collapsed="false">
      <c r="B16" s="92" t="n">
        <v>7</v>
      </c>
      <c r="C16" s="98" t="s">
        <v>53</v>
      </c>
      <c r="D16" s="98" t="n">
        <v>1340</v>
      </c>
      <c r="E16" s="98" t="n">
        <v>96</v>
      </c>
      <c r="F16" s="98" t="n">
        <v>20</v>
      </c>
      <c r="G16" s="99" t="n">
        <f aca="false">F16/D16*100</f>
        <v>1.49253731343284</v>
      </c>
      <c r="H16" s="98" t="n">
        <v>20</v>
      </c>
      <c r="I16" s="99" t="n">
        <f aca="false">H16/D16*100</f>
        <v>1.49253731343284</v>
      </c>
      <c r="J16" s="98" t="n">
        <v>20</v>
      </c>
      <c r="K16" s="99" t="n">
        <f aca="false">J16/E16*100</f>
        <v>20.8333333333333</v>
      </c>
      <c r="L16" s="98" t="n">
        <v>0</v>
      </c>
      <c r="M16" s="98" t="n">
        <v>0</v>
      </c>
      <c r="N16" s="98" t="n">
        <v>1</v>
      </c>
      <c r="O16" s="98" t="s">
        <v>99</v>
      </c>
    </row>
    <row r="17" customFormat="false" ht="14.25" hidden="false" customHeight="true" outlineLevel="0" collapsed="false">
      <c r="B17" s="92" t="n">
        <v>8</v>
      </c>
      <c r="C17" s="98" t="s">
        <v>54</v>
      </c>
      <c r="D17" s="98" t="n">
        <v>3463</v>
      </c>
      <c r="E17" s="98" t="n">
        <v>243</v>
      </c>
      <c r="F17" s="98" t="n">
        <v>34</v>
      </c>
      <c r="G17" s="100" t="n">
        <f aca="false">F17/D17*100</f>
        <v>0.981807681201271</v>
      </c>
      <c r="H17" s="98" t="n">
        <v>34</v>
      </c>
      <c r="I17" s="99" t="n">
        <f aca="false">H17/D17*100</f>
        <v>0.981807681201271</v>
      </c>
      <c r="J17" s="98" t="n">
        <v>34</v>
      </c>
      <c r="K17" s="99" t="n">
        <f aca="false">J17/E17*100</f>
        <v>13.9917695473251</v>
      </c>
      <c r="L17" s="98" t="n">
        <v>0</v>
      </c>
      <c r="M17" s="98" t="n">
        <v>0</v>
      </c>
      <c r="N17" s="98" t="n">
        <v>1</v>
      </c>
      <c r="O17" s="98" t="s">
        <v>99</v>
      </c>
    </row>
    <row r="18" customFormat="false" ht="14.25" hidden="false" customHeight="true" outlineLevel="0" collapsed="false">
      <c r="B18" s="92" t="n">
        <v>9</v>
      </c>
      <c r="C18" s="98" t="s">
        <v>55</v>
      </c>
      <c r="D18" s="98" t="n">
        <v>2436</v>
      </c>
      <c r="E18" s="98" t="n">
        <v>170</v>
      </c>
      <c r="F18" s="98" t="n">
        <v>22</v>
      </c>
      <c r="G18" s="99" t="n">
        <f aca="false">F18/D18*100</f>
        <v>0.90311986863711</v>
      </c>
      <c r="H18" s="98" t="n">
        <v>22</v>
      </c>
      <c r="I18" s="99" t="n">
        <f aca="false">H18/D18*100</f>
        <v>0.90311986863711</v>
      </c>
      <c r="J18" s="98" t="n">
        <v>22</v>
      </c>
      <c r="K18" s="99" t="n">
        <f aca="false">J18/E18*100</f>
        <v>12.9411764705882</v>
      </c>
      <c r="L18" s="98" t="n">
        <v>0</v>
      </c>
      <c r="M18" s="98" t="n">
        <v>0</v>
      </c>
      <c r="N18" s="98" t="n">
        <v>1</v>
      </c>
      <c r="O18" s="98" t="s">
        <v>99</v>
      </c>
    </row>
    <row r="19" customFormat="false" ht="14.25" hidden="false" customHeight="true" outlineLevel="0" collapsed="false">
      <c r="B19" s="92" t="n">
        <v>10</v>
      </c>
      <c r="C19" s="98" t="s">
        <v>56</v>
      </c>
      <c r="D19" s="98" t="n">
        <v>5120</v>
      </c>
      <c r="E19" s="98" t="n">
        <v>368</v>
      </c>
      <c r="F19" s="98" t="n">
        <v>23</v>
      </c>
      <c r="G19" s="100" t="n">
        <f aca="false">F19/D19*100</f>
        <v>0.44921875</v>
      </c>
      <c r="H19" s="98" t="n">
        <v>23</v>
      </c>
      <c r="I19" s="99" t="n">
        <f aca="false">H19/D19*100</f>
        <v>0.44921875</v>
      </c>
      <c r="J19" s="98" t="n">
        <v>23</v>
      </c>
      <c r="K19" s="99" t="n">
        <f aca="false">J19/E19*100</f>
        <v>6.25</v>
      </c>
      <c r="L19" s="98" t="n">
        <v>1</v>
      </c>
      <c r="M19" s="98" t="n">
        <v>0</v>
      </c>
      <c r="N19" s="98" t="n">
        <v>2</v>
      </c>
      <c r="O19" s="98"/>
    </row>
    <row r="20" customFormat="false" ht="14.25" hidden="false" customHeight="true" outlineLevel="0" collapsed="false">
      <c r="B20" s="92" t="n">
        <v>11</v>
      </c>
      <c r="C20" s="98" t="s">
        <v>57</v>
      </c>
      <c r="D20" s="98" t="n">
        <v>2050</v>
      </c>
      <c r="E20" s="98" t="n">
        <v>157</v>
      </c>
      <c r="F20" s="98" t="n">
        <v>41</v>
      </c>
      <c r="G20" s="100" t="n">
        <f aca="false">F20/D20*100</f>
        <v>2</v>
      </c>
      <c r="H20" s="98" t="n">
        <v>41</v>
      </c>
      <c r="I20" s="98" t="n">
        <f aca="false">H20/D20*100</f>
        <v>2</v>
      </c>
      <c r="J20" s="98" t="n">
        <v>41</v>
      </c>
      <c r="K20" s="99" t="n">
        <f aca="false">J20/E20*100</f>
        <v>26.1146496815287</v>
      </c>
      <c r="L20" s="98" t="n">
        <v>1</v>
      </c>
      <c r="M20" s="98" t="n">
        <v>0</v>
      </c>
      <c r="N20" s="98" t="n">
        <v>2</v>
      </c>
      <c r="O20" s="98"/>
    </row>
    <row r="21" customFormat="false" ht="14.25" hidden="false" customHeight="true" outlineLevel="0" collapsed="false">
      <c r="B21" s="101" t="n">
        <v>12</v>
      </c>
      <c r="C21" s="102" t="s">
        <v>58</v>
      </c>
      <c r="D21" s="102" t="n">
        <v>866</v>
      </c>
      <c r="E21" s="102" t="n">
        <v>64</v>
      </c>
      <c r="F21" s="102" t="n">
        <v>0</v>
      </c>
      <c r="G21" s="104" t="n">
        <f aca="false">F21/D21*100</f>
        <v>0</v>
      </c>
      <c r="H21" s="102" t="n">
        <v>0</v>
      </c>
      <c r="I21" s="102" t="n">
        <f aca="false">H21/D21*100</f>
        <v>0</v>
      </c>
      <c r="J21" s="102" t="n">
        <v>0</v>
      </c>
      <c r="K21" s="102" t="n">
        <f aca="false">J21/E21*100</f>
        <v>0</v>
      </c>
      <c r="L21" s="102" t="n">
        <v>0</v>
      </c>
      <c r="M21" s="102" t="n">
        <v>0</v>
      </c>
      <c r="N21" s="102" t="n">
        <v>0</v>
      </c>
      <c r="O21" s="102"/>
    </row>
    <row r="22" customFormat="false" ht="14.25" hidden="false" customHeight="true" outlineLevel="0" collapsed="false">
      <c r="B22" s="91"/>
      <c r="C22" s="91" t="s">
        <v>59</v>
      </c>
      <c r="D22" s="91" t="n">
        <f aca="false">SUM(D10:D21)</f>
        <v>32179</v>
      </c>
      <c r="E22" s="91" t="n">
        <f aca="false">SUM(E10:E21)</f>
        <v>2330</v>
      </c>
      <c r="F22" s="91" t="n">
        <f aca="false">SUM(F10:F21)</f>
        <v>203</v>
      </c>
      <c r="G22" s="105" t="n">
        <f aca="false">F22/D22*100</f>
        <v>0.630846204046117</v>
      </c>
      <c r="H22" s="91" t="n">
        <f aca="false">SUM(H10:H21)</f>
        <v>203</v>
      </c>
      <c r="I22" s="105" t="n">
        <f aca="false">H22/D22*100</f>
        <v>0.630846204046117</v>
      </c>
      <c r="J22" s="91" t="n">
        <f aca="false">SUM(J10:J21)</f>
        <v>203</v>
      </c>
      <c r="K22" s="105" t="n">
        <f aca="false">J22/E22*100</f>
        <v>8.71244635193133</v>
      </c>
      <c r="L22" s="91" t="n">
        <f aca="false">SUM(L10:L21)</f>
        <v>2</v>
      </c>
      <c r="M22" s="91" t="n">
        <f aca="false">SUM(M10:M21)</f>
        <v>0</v>
      </c>
      <c r="N22" s="91" t="n">
        <f aca="false">SUM(N10:N21)</f>
        <v>8</v>
      </c>
      <c r="O22" s="98"/>
    </row>
  </sheetData>
  <mergeCells count="6">
    <mergeCell ref="B4:N4"/>
    <mergeCell ref="B5:N5"/>
    <mergeCell ref="B8:B9"/>
    <mergeCell ref="C8:C9"/>
    <mergeCell ref="F8:K8"/>
    <mergeCell ref="L8:O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4:Q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17" activeCellId="0" sqref="K17"/>
    </sheetView>
  </sheetViews>
  <sheetFormatPr defaultColWidth="8.6796875" defaultRowHeight="14.25" zeroHeight="false" outlineLevelRow="0" outlineLevelCol="0"/>
  <cols>
    <col collapsed="false" customWidth="true" hidden="false" outlineLevel="0" max="13" min="13" style="1" width="9.09"/>
  </cols>
  <sheetData>
    <row r="4" customFormat="false" ht="14.25" hidden="false" customHeight="true" outlineLevel="0" collapsed="false">
      <c r="B4" s="106" t="s">
        <v>100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</row>
    <row r="5" customFormat="false" ht="14.25" hidden="false" customHeight="true" outlineLevel="0" collapsed="false">
      <c r="B5" s="106" t="s">
        <v>101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6"/>
    </row>
    <row r="6" customFormat="false" ht="14.25" hidden="false" customHeight="true" outlineLevel="0" collapsed="false">
      <c r="B6" s="106" t="s">
        <v>102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06"/>
    </row>
    <row r="8" customFormat="false" ht="14.25" hidden="false" customHeight="true" outlineLevel="0" collapsed="false">
      <c r="B8" s="96" t="s">
        <v>38</v>
      </c>
      <c r="C8" s="96" t="s">
        <v>39</v>
      </c>
      <c r="D8" s="97" t="s">
        <v>103</v>
      </c>
      <c r="E8" s="97" t="s">
        <v>104</v>
      </c>
      <c r="F8" s="96" t="s">
        <v>105</v>
      </c>
      <c r="G8" s="96"/>
      <c r="H8" s="96"/>
      <c r="I8" s="96"/>
      <c r="J8" s="96"/>
      <c r="K8" s="96" t="s">
        <v>106</v>
      </c>
      <c r="L8" s="96"/>
      <c r="M8" s="96"/>
      <c r="N8" s="107" t="s">
        <v>107</v>
      </c>
      <c r="O8" s="107" t="s">
        <v>108</v>
      </c>
      <c r="P8" s="107" t="s">
        <v>109</v>
      </c>
      <c r="Q8" s="107" t="s">
        <v>110</v>
      </c>
    </row>
    <row r="9" customFormat="false" ht="28.5" hidden="false" customHeight="true" outlineLevel="0" collapsed="false">
      <c r="B9" s="96"/>
      <c r="C9" s="96"/>
      <c r="D9" s="96"/>
      <c r="E9" s="96"/>
      <c r="F9" s="108" t="s">
        <v>111</v>
      </c>
      <c r="G9" s="108" t="s">
        <v>112</v>
      </c>
      <c r="H9" s="108" t="s">
        <v>113</v>
      </c>
      <c r="I9" s="108" t="s">
        <v>114</v>
      </c>
      <c r="J9" s="108" t="s">
        <v>115</v>
      </c>
      <c r="K9" s="108" t="s">
        <v>111</v>
      </c>
      <c r="L9" s="108" t="s">
        <v>116</v>
      </c>
      <c r="M9" s="108" t="s">
        <v>117</v>
      </c>
      <c r="N9" s="107"/>
      <c r="O9" s="107"/>
      <c r="P9" s="107"/>
      <c r="Q9" s="107"/>
    </row>
    <row r="10" customFormat="false" ht="14.25" hidden="false" customHeight="true" outlineLevel="0" collapsed="false">
      <c r="B10" s="92" t="n">
        <v>1</v>
      </c>
      <c r="C10" s="98" t="s">
        <v>47</v>
      </c>
      <c r="D10" s="98" t="n">
        <v>8</v>
      </c>
      <c r="E10" s="98" t="n">
        <v>7</v>
      </c>
      <c r="F10" s="98"/>
      <c r="G10" s="98"/>
      <c r="H10" s="98"/>
      <c r="I10" s="98"/>
      <c r="J10" s="98" t="n">
        <v>1</v>
      </c>
      <c r="K10" s="98" t="n">
        <v>8</v>
      </c>
      <c r="L10" s="98" t="n">
        <v>0</v>
      </c>
      <c r="M10" s="98" t="n">
        <v>0</v>
      </c>
      <c r="N10" s="98"/>
      <c r="O10" s="98" t="n">
        <v>1</v>
      </c>
      <c r="P10" s="98"/>
      <c r="Q10" s="98"/>
    </row>
    <row r="11" customFormat="false" ht="14.25" hidden="false" customHeight="true" outlineLevel="0" collapsed="false">
      <c r="B11" s="92" t="n">
        <v>2</v>
      </c>
      <c r="C11" s="98" t="s">
        <v>48</v>
      </c>
      <c r="D11" s="98" t="n">
        <v>9</v>
      </c>
      <c r="E11" s="98" t="n">
        <v>9</v>
      </c>
      <c r="F11" s="98"/>
      <c r="G11" s="98"/>
      <c r="H11" s="98"/>
      <c r="I11" s="98"/>
      <c r="J11" s="98"/>
      <c r="K11" s="98" t="n">
        <v>9</v>
      </c>
      <c r="L11" s="98" t="n">
        <v>0</v>
      </c>
      <c r="M11" s="98" t="n">
        <v>0</v>
      </c>
      <c r="N11" s="98"/>
      <c r="O11" s="98"/>
      <c r="P11" s="98"/>
      <c r="Q11" s="98"/>
    </row>
    <row r="12" customFormat="false" ht="14.25" hidden="false" customHeight="true" outlineLevel="0" collapsed="false">
      <c r="B12" s="92" t="n">
        <v>3</v>
      </c>
      <c r="C12" s="98" t="s">
        <v>49</v>
      </c>
      <c r="D12" s="98" t="n">
        <v>6</v>
      </c>
      <c r="E12" s="98" t="n">
        <v>3</v>
      </c>
      <c r="F12" s="98" t="n">
        <v>3</v>
      </c>
      <c r="G12" s="98"/>
      <c r="H12" s="98"/>
      <c r="I12" s="98"/>
      <c r="J12" s="98"/>
      <c r="K12" s="98" t="n">
        <v>6</v>
      </c>
      <c r="L12" s="98" t="n">
        <v>0</v>
      </c>
      <c r="M12" s="98" t="n">
        <v>0</v>
      </c>
      <c r="N12" s="98"/>
      <c r="O12" s="98"/>
      <c r="P12" s="98"/>
      <c r="Q12" s="98" t="n">
        <v>3</v>
      </c>
    </row>
    <row r="13" customFormat="false" ht="14.25" hidden="false" customHeight="true" outlineLevel="0" collapsed="false">
      <c r="B13" s="101" t="n">
        <v>4</v>
      </c>
      <c r="C13" s="102" t="s">
        <v>50</v>
      </c>
      <c r="D13" s="102" t="n">
        <v>0</v>
      </c>
      <c r="E13" s="102"/>
      <c r="F13" s="102"/>
      <c r="G13" s="102"/>
      <c r="H13" s="102"/>
      <c r="I13" s="102"/>
      <c r="J13" s="102"/>
      <c r="K13" s="102"/>
      <c r="L13" s="102"/>
      <c r="M13" s="102"/>
      <c r="N13" s="102"/>
      <c r="O13" s="102"/>
      <c r="P13" s="102"/>
      <c r="Q13" s="102"/>
    </row>
    <row r="14" customFormat="false" ht="14.25" hidden="false" customHeight="true" outlineLevel="0" collapsed="false">
      <c r="B14" s="92" t="n">
        <v>5</v>
      </c>
      <c r="C14" s="98" t="s">
        <v>51</v>
      </c>
      <c r="D14" s="98" t="n">
        <v>13</v>
      </c>
      <c r="E14" s="98" t="n">
        <v>13</v>
      </c>
      <c r="F14" s="98"/>
      <c r="G14" s="98"/>
      <c r="H14" s="98"/>
      <c r="I14" s="98"/>
      <c r="J14" s="98"/>
      <c r="K14" s="98" t="n">
        <v>13</v>
      </c>
      <c r="L14" s="98" t="n">
        <v>0</v>
      </c>
      <c r="M14" s="98" t="n">
        <v>0</v>
      </c>
      <c r="N14" s="98"/>
      <c r="O14" s="98"/>
      <c r="P14" s="98"/>
      <c r="Q14" s="98"/>
    </row>
    <row r="15" customFormat="false" ht="14.25" hidden="false" customHeight="true" outlineLevel="0" collapsed="false">
      <c r="B15" s="92" t="n">
        <v>6</v>
      </c>
      <c r="C15" s="98" t="s">
        <v>52</v>
      </c>
      <c r="D15" s="98" t="n">
        <v>27</v>
      </c>
      <c r="E15" s="98" t="n">
        <v>26</v>
      </c>
      <c r="F15" s="98" t="n">
        <v>1</v>
      </c>
      <c r="G15" s="98"/>
      <c r="H15" s="98"/>
      <c r="I15" s="98"/>
      <c r="J15" s="98"/>
      <c r="K15" s="98" t="n">
        <v>27</v>
      </c>
      <c r="L15" s="98" t="n">
        <v>0</v>
      </c>
      <c r="M15" s="98" t="n">
        <v>0</v>
      </c>
      <c r="N15" s="98"/>
      <c r="O15" s="98"/>
      <c r="P15" s="98"/>
      <c r="Q15" s="98" t="n">
        <v>1</v>
      </c>
    </row>
    <row r="16" customFormat="false" ht="14.25" hidden="false" customHeight="true" outlineLevel="0" collapsed="false">
      <c r="B16" s="92" t="n">
        <v>7</v>
      </c>
      <c r="C16" s="98" t="s">
        <v>53</v>
      </c>
      <c r="D16" s="98" t="n">
        <v>20</v>
      </c>
      <c r="E16" s="98" t="n">
        <v>6</v>
      </c>
      <c r="F16" s="98" t="n">
        <v>13</v>
      </c>
      <c r="G16" s="98"/>
      <c r="H16" s="98"/>
      <c r="I16" s="98"/>
      <c r="J16" s="98" t="n">
        <v>1</v>
      </c>
      <c r="K16" s="98" t="n">
        <v>20</v>
      </c>
      <c r="L16" s="98" t="n">
        <v>0</v>
      </c>
      <c r="M16" s="98" t="n">
        <v>0</v>
      </c>
      <c r="N16" s="98" t="n">
        <v>0</v>
      </c>
      <c r="O16" s="98" t="n">
        <v>1</v>
      </c>
      <c r="P16" s="98" t="n">
        <v>0</v>
      </c>
      <c r="Q16" s="98" t="n">
        <v>13</v>
      </c>
    </row>
    <row r="17" customFormat="false" ht="14.25" hidden="false" customHeight="true" outlineLevel="0" collapsed="false">
      <c r="B17" s="92" t="n">
        <v>8</v>
      </c>
      <c r="C17" s="98" t="s">
        <v>54</v>
      </c>
      <c r="D17" s="98" t="n">
        <v>34</v>
      </c>
      <c r="E17" s="98" t="n">
        <v>16</v>
      </c>
      <c r="F17" s="98" t="n">
        <v>17</v>
      </c>
      <c r="G17" s="98" t="n">
        <v>1</v>
      </c>
      <c r="H17" s="98" t="n">
        <v>0</v>
      </c>
      <c r="I17" s="98" t="n">
        <v>0</v>
      </c>
      <c r="J17" s="98" t="n">
        <v>0</v>
      </c>
      <c r="K17" s="98" t="n">
        <v>34</v>
      </c>
      <c r="L17" s="98" t="n">
        <v>0</v>
      </c>
      <c r="M17" s="98" t="n">
        <v>0</v>
      </c>
      <c r="N17" s="98" t="n">
        <v>0</v>
      </c>
      <c r="O17" s="98" t="n">
        <v>1</v>
      </c>
      <c r="P17" s="98" t="n">
        <v>0</v>
      </c>
      <c r="Q17" s="98" t="n">
        <v>17</v>
      </c>
    </row>
    <row r="18" customFormat="false" ht="14.25" hidden="false" customHeight="true" outlineLevel="0" collapsed="false">
      <c r="B18" s="92" t="n">
        <v>9</v>
      </c>
      <c r="C18" s="98" t="s">
        <v>55</v>
      </c>
      <c r="D18" s="98" t="n">
        <v>22</v>
      </c>
      <c r="E18" s="98" t="n">
        <v>5</v>
      </c>
      <c r="F18" s="98" t="n">
        <v>16</v>
      </c>
      <c r="G18" s="98" t="n">
        <v>0</v>
      </c>
      <c r="H18" s="98" t="n">
        <v>0</v>
      </c>
      <c r="I18" s="98" t="n">
        <v>0</v>
      </c>
      <c r="J18" s="98" t="n">
        <v>1</v>
      </c>
      <c r="K18" s="98" t="n">
        <v>22</v>
      </c>
      <c r="L18" s="98" t="n">
        <v>0</v>
      </c>
      <c r="M18" s="98" t="n">
        <v>0</v>
      </c>
      <c r="N18" s="98" t="n">
        <v>0</v>
      </c>
      <c r="O18" s="98" t="n">
        <v>1</v>
      </c>
      <c r="P18" s="98" t="n">
        <v>0</v>
      </c>
      <c r="Q18" s="98" t="n">
        <v>16</v>
      </c>
    </row>
    <row r="19" customFormat="false" ht="14.25" hidden="false" customHeight="true" outlineLevel="0" collapsed="false">
      <c r="B19" s="92" t="n">
        <v>10</v>
      </c>
      <c r="C19" s="98" t="s">
        <v>56</v>
      </c>
      <c r="D19" s="98" t="n">
        <v>23</v>
      </c>
      <c r="E19" s="98" t="n">
        <v>0</v>
      </c>
      <c r="F19" s="98" t="n">
        <v>21</v>
      </c>
      <c r="G19" s="98" t="n">
        <v>0</v>
      </c>
      <c r="H19" s="98" t="n">
        <v>1</v>
      </c>
      <c r="I19" s="98" t="n">
        <v>0</v>
      </c>
      <c r="J19" s="98" t="n">
        <v>1</v>
      </c>
      <c r="K19" s="98" t="n">
        <v>22</v>
      </c>
      <c r="L19" s="98" t="n">
        <v>1</v>
      </c>
      <c r="M19" s="98" t="n">
        <v>0</v>
      </c>
      <c r="N19" s="98" t="n">
        <v>1</v>
      </c>
      <c r="O19" s="98" t="n">
        <v>1</v>
      </c>
      <c r="P19" s="98" t="n">
        <v>0</v>
      </c>
      <c r="Q19" s="98" t="n">
        <v>21</v>
      </c>
    </row>
    <row r="20" customFormat="false" ht="14.25" hidden="false" customHeight="true" outlineLevel="0" collapsed="false">
      <c r="B20" s="109" t="n">
        <v>11</v>
      </c>
      <c r="C20" s="110" t="s">
        <v>57</v>
      </c>
      <c r="D20" s="110" t="n">
        <v>41</v>
      </c>
      <c r="E20" s="110" t="n">
        <v>0</v>
      </c>
      <c r="F20" s="110" t="n">
        <v>39</v>
      </c>
      <c r="G20" s="110" t="n">
        <v>0</v>
      </c>
      <c r="H20" s="110" t="n">
        <v>0</v>
      </c>
      <c r="I20" s="110" t="n">
        <v>0</v>
      </c>
      <c r="J20" s="110" t="n">
        <v>2</v>
      </c>
      <c r="K20" s="110" t="n">
        <v>58</v>
      </c>
      <c r="L20" s="110" t="n">
        <v>1</v>
      </c>
      <c r="M20" s="110" t="n">
        <v>0</v>
      </c>
      <c r="N20" s="110" t="n">
        <v>0</v>
      </c>
      <c r="O20" s="110" t="n">
        <v>2</v>
      </c>
      <c r="P20" s="110" t="n">
        <v>1</v>
      </c>
      <c r="Q20" s="110" t="n">
        <v>38</v>
      </c>
    </row>
    <row r="21" customFormat="false" ht="14.25" hidden="false" customHeight="true" outlineLevel="0" collapsed="false">
      <c r="B21" s="101" t="n">
        <v>12</v>
      </c>
      <c r="C21" s="102" t="s">
        <v>58</v>
      </c>
      <c r="D21" s="102" t="n">
        <v>0</v>
      </c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102"/>
    </row>
    <row r="22" customFormat="false" ht="14.25" hidden="false" customHeight="true" outlineLevel="0" collapsed="false">
      <c r="B22" s="91"/>
      <c r="C22" s="91"/>
      <c r="D22" s="91" t="n">
        <f aca="false">SUM(D10:D21)</f>
        <v>203</v>
      </c>
      <c r="E22" s="91" t="n">
        <f aca="false">SUM(E10:E21)</f>
        <v>85</v>
      </c>
      <c r="F22" s="91" t="n">
        <f aca="false">SUM(F10:F21)</f>
        <v>110</v>
      </c>
      <c r="G22" s="91" t="n">
        <f aca="false">SUM(G10:G21)</f>
        <v>1</v>
      </c>
      <c r="H22" s="91" t="n">
        <f aca="false">SUM(H10:H21)</f>
        <v>1</v>
      </c>
      <c r="I22" s="91" t="n">
        <f aca="false">SUM(I10:I21)</f>
        <v>0</v>
      </c>
      <c r="J22" s="91" t="n">
        <f aca="false">SUM(J10:J21)</f>
        <v>6</v>
      </c>
      <c r="K22" s="91" t="n">
        <f aca="false">SUM(K10:K21)</f>
        <v>219</v>
      </c>
      <c r="L22" s="91" t="n">
        <f aca="false">SUM(L10:L21)</f>
        <v>2</v>
      </c>
      <c r="M22" s="91" t="n">
        <f aca="false">SUM(M10:M21)</f>
        <v>0</v>
      </c>
      <c r="N22" s="91" t="n">
        <f aca="false">SUM(N10:N21)</f>
        <v>1</v>
      </c>
      <c r="O22" s="91" t="n">
        <f aca="false">SUM(O10:O21)</f>
        <v>7</v>
      </c>
      <c r="P22" s="91" t="n">
        <f aca="false">SUM(P10:P21)</f>
        <v>1</v>
      </c>
      <c r="Q22" s="91" t="n">
        <f aca="false">SUM(Q10:Q21)</f>
        <v>109</v>
      </c>
    </row>
  </sheetData>
  <mergeCells count="13">
    <mergeCell ref="B4:Q4"/>
    <mergeCell ref="B5:Q5"/>
    <mergeCell ref="B6:Q6"/>
    <mergeCell ref="B8:B9"/>
    <mergeCell ref="C8:C9"/>
    <mergeCell ref="D8:D9"/>
    <mergeCell ref="E8:E9"/>
    <mergeCell ref="F8:J8"/>
    <mergeCell ref="K8:M8"/>
    <mergeCell ref="N8:N9"/>
    <mergeCell ref="O8:O9"/>
    <mergeCell ref="P8:P9"/>
    <mergeCell ref="Q8:Q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4" activeCellId="0" sqref="C14"/>
    </sheetView>
  </sheetViews>
  <sheetFormatPr defaultColWidth="8.6796875" defaultRowHeight="14.25" zeroHeight="false" outlineLevelRow="0" outlineLevelCol="0"/>
  <cols>
    <col collapsed="false" customWidth="true" hidden="false" outlineLevel="0" max="1" min="1" style="111" width="7.63"/>
    <col collapsed="false" customWidth="true" hidden="false" outlineLevel="0" max="2" min="2" style="68" width="13.91"/>
    <col collapsed="false" customWidth="true" hidden="false" outlineLevel="0" max="3" min="3" style="68" width="16.82"/>
    <col collapsed="false" customWidth="true" hidden="false" outlineLevel="0" max="4" min="4" style="111" width="16.91"/>
    <col collapsed="false" customWidth="true" hidden="false" outlineLevel="0" max="5" min="5" style="68" width="17.82"/>
  </cols>
  <sheetData>
    <row r="2" customFormat="false" ht="28.5" hidden="false" customHeight="true" outlineLevel="0" collapsed="false">
      <c r="A2" s="112" t="s">
        <v>118</v>
      </c>
      <c r="B2" s="112" t="s">
        <v>119</v>
      </c>
      <c r="C2" s="112" t="s">
        <v>120</v>
      </c>
      <c r="D2" s="112" t="s">
        <v>121</v>
      </c>
      <c r="E2" s="112" t="s">
        <v>122</v>
      </c>
    </row>
    <row r="3" customFormat="false" ht="14.25" hidden="false" customHeight="true" outlineLevel="0" collapsed="false">
      <c r="A3" s="113" t="n">
        <v>1</v>
      </c>
      <c r="B3" s="113" t="s">
        <v>123</v>
      </c>
      <c r="C3" s="113" t="s">
        <v>47</v>
      </c>
      <c r="D3" s="113" t="s">
        <v>124</v>
      </c>
      <c r="E3" s="113" t="s">
        <v>125</v>
      </c>
    </row>
    <row r="4" customFormat="false" ht="14.25" hidden="false" customHeight="true" outlineLevel="0" collapsed="false">
      <c r="A4" s="113" t="n">
        <v>2</v>
      </c>
      <c r="B4" s="113" t="s">
        <v>126</v>
      </c>
      <c r="C4" s="113" t="s">
        <v>48</v>
      </c>
      <c r="D4" s="113" t="s">
        <v>127</v>
      </c>
      <c r="E4" s="113" t="s">
        <v>125</v>
      </c>
    </row>
    <row r="5" customFormat="false" ht="14.25" hidden="false" customHeight="true" outlineLevel="0" collapsed="false">
      <c r="A5" s="113" t="n">
        <v>3</v>
      </c>
      <c r="B5" s="113" t="s">
        <v>128</v>
      </c>
      <c r="C5" s="113" t="s">
        <v>49</v>
      </c>
      <c r="D5" s="113" t="s">
        <v>129</v>
      </c>
      <c r="E5" s="113" t="s">
        <v>125</v>
      </c>
    </row>
    <row r="6" customFormat="false" ht="14.25" hidden="false" customHeight="true" outlineLevel="0" collapsed="false">
      <c r="A6" s="113" t="n">
        <v>4</v>
      </c>
      <c r="B6" s="113" t="s">
        <v>130</v>
      </c>
      <c r="C6" s="114" t="s">
        <v>50</v>
      </c>
      <c r="D6" s="115" t="s">
        <v>129</v>
      </c>
      <c r="E6" s="113" t="s">
        <v>125</v>
      </c>
    </row>
    <row r="7" customFormat="false" ht="14.25" hidden="false" customHeight="true" outlineLevel="0" collapsed="false">
      <c r="A7" s="113" t="n">
        <v>5</v>
      </c>
      <c r="B7" s="113" t="s">
        <v>131</v>
      </c>
      <c r="C7" s="114" t="s">
        <v>51</v>
      </c>
      <c r="D7" s="115" t="s">
        <v>132</v>
      </c>
      <c r="E7" s="113" t="s">
        <v>125</v>
      </c>
    </row>
    <row r="8" customFormat="false" ht="14.25" hidden="false" customHeight="true" outlineLevel="0" collapsed="false">
      <c r="A8" s="113" t="n">
        <v>6</v>
      </c>
      <c r="B8" s="113" t="s">
        <v>133</v>
      </c>
      <c r="C8" s="114" t="s">
        <v>52</v>
      </c>
      <c r="D8" s="115" t="s">
        <v>134</v>
      </c>
      <c r="E8" s="113" t="s">
        <v>125</v>
      </c>
    </row>
    <row r="9" customFormat="false" ht="14.25" hidden="false" customHeight="true" outlineLevel="0" collapsed="false">
      <c r="A9" s="113" t="n">
        <v>7</v>
      </c>
      <c r="B9" s="113" t="s">
        <v>135</v>
      </c>
      <c r="C9" s="114" t="s">
        <v>53</v>
      </c>
      <c r="D9" s="115" t="s">
        <v>136</v>
      </c>
      <c r="E9" s="113" t="s">
        <v>125</v>
      </c>
    </row>
    <row r="10" customFormat="false" ht="14.25" hidden="false" customHeight="true" outlineLevel="0" collapsed="false">
      <c r="A10" s="113" t="n">
        <v>8</v>
      </c>
      <c r="B10" s="113" t="s">
        <v>137</v>
      </c>
      <c r="C10" s="114" t="s">
        <v>54</v>
      </c>
      <c r="D10" s="115" t="s">
        <v>138</v>
      </c>
      <c r="E10" s="113" t="s">
        <v>125</v>
      </c>
    </row>
    <row r="11" customFormat="false" ht="14.25" hidden="false" customHeight="true" outlineLevel="0" collapsed="false">
      <c r="A11" s="113" t="n">
        <v>9</v>
      </c>
      <c r="B11" s="113" t="s">
        <v>139</v>
      </c>
      <c r="C11" s="114" t="s">
        <v>55</v>
      </c>
      <c r="D11" s="115" t="s">
        <v>140</v>
      </c>
      <c r="E11" s="113" t="s">
        <v>125</v>
      </c>
    </row>
    <row r="12" customFormat="false" ht="14.25" hidden="false" customHeight="true" outlineLevel="0" collapsed="false">
      <c r="A12" s="113" t="n">
        <v>10</v>
      </c>
      <c r="B12" s="113" t="s">
        <v>141</v>
      </c>
      <c r="C12" s="114" t="s">
        <v>56</v>
      </c>
      <c r="D12" s="115" t="s">
        <v>142</v>
      </c>
      <c r="E12" s="113" t="s">
        <v>125</v>
      </c>
    </row>
    <row r="13" customFormat="false" ht="14.25" hidden="false" customHeight="true" outlineLevel="0" collapsed="false">
      <c r="A13" s="113" t="n">
        <v>11</v>
      </c>
      <c r="B13" s="113" t="s">
        <v>143</v>
      </c>
      <c r="C13" s="114" t="s">
        <v>57</v>
      </c>
      <c r="D13" s="115" t="s">
        <v>144</v>
      </c>
      <c r="E13" s="113" t="s">
        <v>125</v>
      </c>
    </row>
    <row r="14" customFormat="false" ht="14.25" hidden="false" customHeight="true" outlineLevel="0" collapsed="false">
      <c r="A14" s="113" t="n">
        <v>12</v>
      </c>
      <c r="B14" s="113" t="s">
        <v>145</v>
      </c>
      <c r="C14" s="114" t="s">
        <v>58</v>
      </c>
      <c r="D14" s="115" t="s">
        <v>146</v>
      </c>
      <c r="E14" s="113" t="s">
        <v>125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8.6796875" defaultRowHeight="14.25" zeroHeight="false" outlineLevelRow="0" outlineLevelCol="0"/>
  <cols>
    <col collapsed="false" customWidth="false" hidden="false" outlineLevel="0" max="1" min="1" style="68" width="8.73"/>
    <col collapsed="false" customWidth="true" hidden="false" outlineLevel="0" max="2" min="2" style="68" width="13.45"/>
    <col collapsed="false" customWidth="true" hidden="false" outlineLevel="0" max="3" min="3" style="68" width="22.63"/>
    <col collapsed="false" customWidth="true" hidden="false" outlineLevel="0" max="4" min="4" style="68" width="15.18"/>
  </cols>
  <sheetData>
    <row r="2" customFormat="false" ht="14.25" hidden="false" customHeight="true" outlineLevel="0" collapsed="false">
      <c r="A2" s="112" t="s">
        <v>118</v>
      </c>
      <c r="B2" s="112" t="s">
        <v>147</v>
      </c>
      <c r="C2" s="112" t="s">
        <v>148</v>
      </c>
      <c r="D2" s="112" t="s">
        <v>149</v>
      </c>
    </row>
    <row r="3" customFormat="false" ht="14.25" hidden="false" customHeight="true" outlineLevel="0" collapsed="false">
      <c r="A3" s="113" t="n">
        <v>1</v>
      </c>
      <c r="B3" s="113" t="s">
        <v>150</v>
      </c>
      <c r="C3" s="113" t="s">
        <v>151</v>
      </c>
      <c r="D3" s="113" t="s">
        <v>152</v>
      </c>
    </row>
    <row r="4" customFormat="false" ht="14.25" hidden="false" customHeight="true" outlineLevel="0" collapsed="false">
      <c r="A4" s="113" t="n">
        <v>2</v>
      </c>
      <c r="B4" s="113" t="s">
        <v>10</v>
      </c>
      <c r="C4" s="113" t="s">
        <v>153</v>
      </c>
      <c r="D4" s="113" t="s">
        <v>152</v>
      </c>
    </row>
    <row r="5" customFormat="false" ht="14.25" hidden="false" customHeight="true" outlineLevel="0" collapsed="false">
      <c r="A5" s="113" t="n">
        <v>3</v>
      </c>
      <c r="B5" s="113" t="s">
        <v>11</v>
      </c>
      <c r="C5" s="113" t="s">
        <v>154</v>
      </c>
      <c r="D5" s="113" t="s">
        <v>152</v>
      </c>
    </row>
    <row r="6" customFormat="false" ht="22.5" hidden="false" customHeight="true" outlineLevel="0" collapsed="false">
      <c r="A6" s="113" t="n">
        <v>4</v>
      </c>
      <c r="B6" s="113" t="s">
        <v>155</v>
      </c>
      <c r="C6" s="113" t="s">
        <v>156</v>
      </c>
      <c r="D6" s="113" t="s">
        <v>152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50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C3" activeCellId="0" sqref="C3"/>
    </sheetView>
  </sheetViews>
  <sheetFormatPr defaultColWidth="8.6796875" defaultRowHeight="14.25" zeroHeight="false" outlineLevelRow="0" outlineLevelCol="0"/>
  <cols>
    <col collapsed="false" customWidth="true" hidden="false" outlineLevel="0" max="1" min="1" style="111" width="7.73"/>
    <col collapsed="false" customWidth="true" hidden="false" outlineLevel="0" max="2" min="2" style="111" width="18.45"/>
    <col collapsed="false" customWidth="true" hidden="false" outlineLevel="0" max="3" min="3" style="111" width="26.91"/>
    <col collapsed="false" customWidth="true" hidden="false" outlineLevel="0" max="4" min="4" style="111" width="15.73"/>
    <col collapsed="false" customWidth="true" hidden="false" outlineLevel="0" max="5" min="5" style="111" width="19.09"/>
  </cols>
  <sheetData>
    <row r="2" customFormat="false" ht="14.25" hidden="false" customHeight="true" outlineLevel="0" collapsed="false">
      <c r="A2" s="112" t="s">
        <v>157</v>
      </c>
      <c r="B2" s="112" t="s">
        <v>158</v>
      </c>
      <c r="C2" s="112" t="s">
        <v>159</v>
      </c>
      <c r="D2" s="112" t="s">
        <v>160</v>
      </c>
      <c r="E2" s="112" t="s">
        <v>161</v>
      </c>
    </row>
    <row r="3" customFormat="false" ht="14.25" hidden="false" customHeight="true" outlineLevel="0" collapsed="false">
      <c r="A3" s="113" t="n">
        <v>2026</v>
      </c>
      <c r="B3" s="113" t="s">
        <v>47</v>
      </c>
      <c r="C3" s="116" t="s">
        <v>151</v>
      </c>
      <c r="D3" s="116" t="n">
        <v>8998</v>
      </c>
      <c r="E3" s="117" t="n">
        <f aca="false">D3/12</f>
        <v>749.833333333333</v>
      </c>
    </row>
    <row r="4" customFormat="false" ht="14.25" hidden="false" customHeight="true" outlineLevel="0" collapsed="false">
      <c r="A4" s="113" t="n">
        <v>2026</v>
      </c>
      <c r="B4" s="113" t="s">
        <v>47</v>
      </c>
      <c r="C4" s="118" t="s">
        <v>153</v>
      </c>
      <c r="D4" s="118" t="n">
        <v>444</v>
      </c>
      <c r="E4" s="119" t="n">
        <f aca="false">D4/12</f>
        <v>37</v>
      </c>
    </row>
    <row r="5" customFormat="false" ht="14.25" hidden="false" customHeight="true" outlineLevel="0" collapsed="false">
      <c r="A5" s="113" t="n">
        <v>2026</v>
      </c>
      <c r="B5" s="113" t="s">
        <v>47</v>
      </c>
      <c r="C5" s="120" t="s">
        <v>154</v>
      </c>
      <c r="D5" s="120" t="n">
        <v>111</v>
      </c>
      <c r="E5" s="121" t="n">
        <f aca="false">D5/12</f>
        <v>9.25</v>
      </c>
    </row>
    <row r="6" customFormat="false" ht="13.5" hidden="false" customHeight="true" outlineLevel="0" collapsed="false">
      <c r="A6" s="113" t="n">
        <v>2026</v>
      </c>
      <c r="B6" s="115" t="s">
        <v>47</v>
      </c>
      <c r="C6" s="122" t="s">
        <v>156</v>
      </c>
      <c r="D6" s="123" t="n">
        <v>221</v>
      </c>
      <c r="E6" s="124" t="n">
        <f aca="false">D6/12</f>
        <v>18.4166666666667</v>
      </c>
    </row>
    <row r="7" customFormat="false" ht="14.25" hidden="false" customHeight="true" outlineLevel="0" collapsed="false">
      <c r="A7" s="113" t="n">
        <v>2026</v>
      </c>
      <c r="B7" s="115" t="s">
        <v>48</v>
      </c>
      <c r="C7" s="116" t="s">
        <v>151</v>
      </c>
      <c r="D7" s="125" t="n">
        <v>3234</v>
      </c>
      <c r="E7" s="117" t="n">
        <f aca="false">D7/12</f>
        <v>269.5</v>
      </c>
    </row>
    <row r="8" customFormat="false" ht="14.25" hidden="false" customHeight="true" outlineLevel="0" collapsed="false">
      <c r="A8" s="113" t="n">
        <v>2026</v>
      </c>
      <c r="B8" s="115" t="s">
        <v>48</v>
      </c>
      <c r="C8" s="118" t="s">
        <v>153</v>
      </c>
      <c r="D8" s="126" t="n">
        <v>160</v>
      </c>
      <c r="E8" s="119" t="n">
        <f aca="false">D8/12</f>
        <v>13.3333333333333</v>
      </c>
    </row>
    <row r="9" customFormat="false" ht="14.25" hidden="false" customHeight="true" outlineLevel="0" collapsed="false">
      <c r="A9" s="113" t="n">
        <v>2026</v>
      </c>
      <c r="B9" s="115" t="s">
        <v>48</v>
      </c>
      <c r="C9" s="120" t="s">
        <v>154</v>
      </c>
      <c r="D9" s="127" t="n">
        <v>40</v>
      </c>
      <c r="E9" s="121" t="n">
        <f aca="false">D9/12</f>
        <v>3.33333333333333</v>
      </c>
    </row>
    <row r="10" customFormat="false" ht="14.25" hidden="false" customHeight="true" outlineLevel="0" collapsed="false">
      <c r="A10" s="113" t="n">
        <v>2026</v>
      </c>
      <c r="B10" s="115" t="s">
        <v>48</v>
      </c>
      <c r="C10" s="122" t="s">
        <v>156</v>
      </c>
      <c r="D10" s="123" t="n">
        <v>79</v>
      </c>
      <c r="E10" s="124" t="n">
        <f aca="false">D10/12</f>
        <v>6.58333333333333</v>
      </c>
    </row>
    <row r="11" customFormat="false" ht="14.25" hidden="false" customHeight="true" outlineLevel="0" collapsed="false">
      <c r="A11" s="113" t="n">
        <v>2026</v>
      </c>
      <c r="B11" s="113" t="s">
        <v>49</v>
      </c>
      <c r="C11" s="116" t="s">
        <v>151</v>
      </c>
      <c r="D11" s="125" t="n">
        <v>5429</v>
      </c>
      <c r="E11" s="117" t="n">
        <f aca="false">D11/12</f>
        <v>452.416666666667</v>
      </c>
    </row>
    <row r="12" customFormat="false" ht="14.25" hidden="false" customHeight="true" outlineLevel="0" collapsed="false">
      <c r="A12" s="113" t="n">
        <v>2026</v>
      </c>
      <c r="B12" s="113" t="s">
        <v>49</v>
      </c>
      <c r="C12" s="118" t="s">
        <v>153</v>
      </c>
      <c r="D12" s="126" t="n">
        <v>271</v>
      </c>
      <c r="E12" s="119" t="n">
        <f aca="false">D12/12</f>
        <v>22.5833333333333</v>
      </c>
    </row>
    <row r="13" customFormat="false" ht="14.25" hidden="false" customHeight="true" outlineLevel="0" collapsed="false">
      <c r="A13" s="113" t="n">
        <v>2026</v>
      </c>
      <c r="B13" s="113" t="s">
        <v>49</v>
      </c>
      <c r="C13" s="120" t="s">
        <v>154</v>
      </c>
      <c r="D13" s="127" t="n">
        <v>67</v>
      </c>
      <c r="E13" s="121" t="n">
        <f aca="false">D13/12</f>
        <v>5.58333333333333</v>
      </c>
    </row>
    <row r="14" customFormat="false" ht="14.25" hidden="false" customHeight="true" outlineLevel="0" collapsed="false">
      <c r="A14" s="113" t="n">
        <v>2026</v>
      </c>
      <c r="B14" s="113" t="s">
        <v>49</v>
      </c>
      <c r="C14" s="122" t="s">
        <v>156</v>
      </c>
      <c r="D14" s="123" t="n">
        <v>147</v>
      </c>
      <c r="E14" s="124" t="n">
        <f aca="false">D14/12</f>
        <v>12.25</v>
      </c>
    </row>
    <row r="15" customFormat="false" ht="14.25" hidden="false" customHeight="true" outlineLevel="0" collapsed="false">
      <c r="A15" s="113" t="n">
        <v>2026</v>
      </c>
      <c r="B15" s="114" t="s">
        <v>50</v>
      </c>
      <c r="C15" s="116" t="s">
        <v>151</v>
      </c>
      <c r="D15" s="125" t="n">
        <v>3480</v>
      </c>
      <c r="E15" s="117" t="n">
        <f aca="false">D15/12</f>
        <v>290</v>
      </c>
    </row>
    <row r="16" customFormat="false" ht="14.25" hidden="false" customHeight="true" outlineLevel="0" collapsed="false">
      <c r="A16" s="113" t="n">
        <v>2026</v>
      </c>
      <c r="B16" s="114" t="s">
        <v>50</v>
      </c>
      <c r="C16" s="118" t="s">
        <v>153</v>
      </c>
      <c r="D16" s="126" t="n">
        <v>170</v>
      </c>
      <c r="E16" s="119" t="n">
        <f aca="false">D16/12</f>
        <v>14.1666666666667</v>
      </c>
    </row>
    <row r="17" customFormat="false" ht="14.25" hidden="false" customHeight="true" outlineLevel="0" collapsed="false">
      <c r="A17" s="113" t="n">
        <v>2026</v>
      </c>
      <c r="B17" s="114" t="s">
        <v>50</v>
      </c>
      <c r="C17" s="120" t="s">
        <v>154</v>
      </c>
      <c r="D17" s="127" t="n">
        <v>43</v>
      </c>
      <c r="E17" s="121" t="n">
        <f aca="false">D17/12</f>
        <v>3.58333333333333</v>
      </c>
    </row>
    <row r="18" customFormat="false" ht="14.25" hidden="false" customHeight="true" outlineLevel="0" collapsed="false">
      <c r="A18" s="113" t="n">
        <v>2026</v>
      </c>
      <c r="B18" s="114" t="s">
        <v>50</v>
      </c>
      <c r="C18" s="122" t="s">
        <v>156</v>
      </c>
      <c r="D18" s="123" t="n">
        <v>84</v>
      </c>
      <c r="E18" s="124" t="n">
        <f aca="false">D18/12</f>
        <v>7</v>
      </c>
    </row>
    <row r="19" customFormat="false" ht="14.25" hidden="false" customHeight="true" outlineLevel="0" collapsed="false">
      <c r="A19" s="113" t="n">
        <v>2026</v>
      </c>
      <c r="B19" s="114" t="s">
        <v>51</v>
      </c>
      <c r="C19" s="116" t="s">
        <v>151</v>
      </c>
      <c r="D19" s="125" t="n">
        <v>5856</v>
      </c>
      <c r="E19" s="117" t="n">
        <f aca="false">D19/12</f>
        <v>488</v>
      </c>
    </row>
    <row r="20" customFormat="false" ht="14.25" hidden="false" customHeight="true" outlineLevel="0" collapsed="false">
      <c r="A20" s="113" t="n">
        <v>2026</v>
      </c>
      <c r="B20" s="114" t="s">
        <v>51</v>
      </c>
      <c r="C20" s="118" t="s">
        <v>153</v>
      </c>
      <c r="D20" s="126" t="n">
        <v>284</v>
      </c>
      <c r="E20" s="119" t="n">
        <f aca="false">D20/12</f>
        <v>23.6666666666667</v>
      </c>
    </row>
    <row r="21" customFormat="false" ht="14.25" hidden="false" customHeight="true" outlineLevel="0" collapsed="false">
      <c r="A21" s="113" t="n">
        <v>2026</v>
      </c>
      <c r="B21" s="114" t="s">
        <v>51</v>
      </c>
      <c r="C21" s="120" t="s">
        <v>154</v>
      </c>
      <c r="D21" s="127" t="n">
        <v>71</v>
      </c>
      <c r="E21" s="121" t="n">
        <f aca="false">D21/12</f>
        <v>5.91666666666667</v>
      </c>
    </row>
    <row r="22" customFormat="false" ht="14.25" hidden="false" customHeight="true" outlineLevel="0" collapsed="false">
      <c r="A22" s="113" t="n">
        <v>2026</v>
      </c>
      <c r="B22" s="114" t="s">
        <v>51</v>
      </c>
      <c r="C22" s="122" t="s">
        <v>156</v>
      </c>
      <c r="D22" s="123" t="n">
        <v>155</v>
      </c>
      <c r="E22" s="124" t="n">
        <f aca="false">D22/12</f>
        <v>12.9166666666667</v>
      </c>
    </row>
    <row r="23" customFormat="false" ht="14.25" hidden="false" customHeight="true" outlineLevel="0" collapsed="false">
      <c r="A23" s="113" t="n">
        <v>2026</v>
      </c>
      <c r="B23" s="114" t="s">
        <v>52</v>
      </c>
      <c r="C23" s="116" t="s">
        <v>151</v>
      </c>
      <c r="D23" s="125" t="n">
        <v>19105</v>
      </c>
      <c r="E23" s="117" t="n">
        <f aca="false">D23/12</f>
        <v>1592.08333333333</v>
      </c>
    </row>
    <row r="24" customFormat="false" ht="14.25" hidden="false" customHeight="true" outlineLevel="0" collapsed="false">
      <c r="A24" s="113" t="n">
        <v>2026</v>
      </c>
      <c r="B24" s="114" t="s">
        <v>52</v>
      </c>
      <c r="C24" s="118" t="s">
        <v>153</v>
      </c>
      <c r="D24" s="126" t="n">
        <v>909</v>
      </c>
      <c r="E24" s="119" t="n">
        <f aca="false">D24/12</f>
        <v>75.75</v>
      </c>
    </row>
    <row r="25" customFormat="false" ht="14.25" hidden="false" customHeight="true" outlineLevel="0" collapsed="false">
      <c r="A25" s="113" t="n">
        <v>2026</v>
      </c>
      <c r="B25" s="114" t="s">
        <v>52</v>
      </c>
      <c r="C25" s="120" t="s">
        <v>154</v>
      </c>
      <c r="D25" s="127" t="n">
        <v>227</v>
      </c>
      <c r="E25" s="121" t="n">
        <f aca="false">D25/12</f>
        <v>18.9166666666667</v>
      </c>
    </row>
    <row r="26" customFormat="false" ht="14.25" hidden="false" customHeight="true" outlineLevel="0" collapsed="false">
      <c r="A26" s="113" t="n">
        <v>2026</v>
      </c>
      <c r="B26" s="114" t="s">
        <v>52</v>
      </c>
      <c r="C26" s="122" t="s">
        <v>156</v>
      </c>
      <c r="D26" s="123" t="n">
        <v>546</v>
      </c>
      <c r="E26" s="124" t="n">
        <f aca="false">D26/12</f>
        <v>45.5</v>
      </c>
    </row>
    <row r="27" customFormat="false" ht="14.25" hidden="false" customHeight="true" outlineLevel="0" collapsed="false">
      <c r="A27" s="113" t="n">
        <v>2026</v>
      </c>
      <c r="B27" s="115" t="s">
        <v>53</v>
      </c>
      <c r="C27" s="116" t="s">
        <v>151</v>
      </c>
      <c r="D27" s="125" t="n">
        <v>3923</v>
      </c>
      <c r="E27" s="117" t="n">
        <f aca="false">D27/12</f>
        <v>326.916666666667</v>
      </c>
    </row>
    <row r="28" customFormat="false" ht="14.25" hidden="false" customHeight="true" outlineLevel="0" collapsed="false">
      <c r="A28" s="113" t="n">
        <v>2026</v>
      </c>
      <c r="B28" s="115" t="s">
        <v>53</v>
      </c>
      <c r="C28" s="118" t="s">
        <v>153</v>
      </c>
      <c r="D28" s="126" t="n">
        <v>188</v>
      </c>
      <c r="E28" s="119" t="n">
        <f aca="false">D28/12</f>
        <v>15.6666666666667</v>
      </c>
    </row>
    <row r="29" customFormat="false" ht="14.25" hidden="false" customHeight="true" outlineLevel="0" collapsed="false">
      <c r="A29" s="113" t="n">
        <v>2026</v>
      </c>
      <c r="B29" s="115" t="s">
        <v>53</v>
      </c>
      <c r="C29" s="120" t="s">
        <v>154</v>
      </c>
      <c r="D29" s="127" t="n">
        <v>47</v>
      </c>
      <c r="E29" s="121" t="n">
        <f aca="false">D29/12</f>
        <v>3.91666666666667</v>
      </c>
    </row>
    <row r="30" customFormat="false" ht="14.25" hidden="false" customHeight="true" outlineLevel="0" collapsed="false">
      <c r="A30" s="113" t="n">
        <v>2026</v>
      </c>
      <c r="B30" s="115" t="s">
        <v>53</v>
      </c>
      <c r="C30" s="122" t="s">
        <v>156</v>
      </c>
      <c r="D30" s="123" t="n">
        <v>96</v>
      </c>
      <c r="E30" s="124" t="n">
        <f aca="false">D30/12</f>
        <v>8</v>
      </c>
    </row>
    <row r="31" customFormat="false" ht="14.25" hidden="false" customHeight="true" outlineLevel="0" collapsed="false">
      <c r="A31" s="113" t="n">
        <v>2026</v>
      </c>
      <c r="B31" s="115" t="s">
        <v>54</v>
      </c>
      <c r="C31" s="116" t="s">
        <v>151</v>
      </c>
      <c r="D31" s="125" t="n">
        <v>10052</v>
      </c>
      <c r="E31" s="117" t="n">
        <f aca="false">D31/12</f>
        <v>837.666666666667</v>
      </c>
    </row>
    <row r="32" customFormat="false" ht="14.25" hidden="false" customHeight="true" outlineLevel="0" collapsed="false">
      <c r="A32" s="113" t="n">
        <v>2026</v>
      </c>
      <c r="B32" s="115" t="s">
        <v>54</v>
      </c>
      <c r="C32" s="118" t="s">
        <v>153</v>
      </c>
      <c r="D32" s="126" t="n">
        <v>459</v>
      </c>
      <c r="E32" s="119" t="n">
        <f aca="false">D32/12</f>
        <v>38.25</v>
      </c>
    </row>
    <row r="33" customFormat="false" ht="14.25" hidden="false" customHeight="true" outlineLevel="0" collapsed="false">
      <c r="A33" s="113" t="n">
        <v>2026</v>
      </c>
      <c r="B33" s="115" t="s">
        <v>54</v>
      </c>
      <c r="C33" s="120" t="s">
        <v>154</v>
      </c>
      <c r="D33" s="127" t="n">
        <v>115</v>
      </c>
      <c r="E33" s="121" t="n">
        <f aca="false">D33/12</f>
        <v>9.58333333333333</v>
      </c>
    </row>
    <row r="34" customFormat="false" ht="14.25" hidden="false" customHeight="true" outlineLevel="0" collapsed="false">
      <c r="A34" s="113" t="n">
        <v>2026</v>
      </c>
      <c r="B34" s="115" t="s">
        <v>54</v>
      </c>
      <c r="C34" s="122" t="s">
        <v>156</v>
      </c>
      <c r="D34" s="123" t="n">
        <v>243</v>
      </c>
      <c r="E34" s="124" t="n">
        <f aca="false">D34/12</f>
        <v>20.25</v>
      </c>
    </row>
    <row r="35" customFormat="false" ht="14.25" hidden="false" customHeight="true" outlineLevel="0" collapsed="false">
      <c r="A35" s="113" t="n">
        <v>2026</v>
      </c>
      <c r="B35" s="114" t="s">
        <v>55</v>
      </c>
      <c r="C35" s="116" t="s">
        <v>151</v>
      </c>
      <c r="D35" s="125" t="n">
        <v>7502</v>
      </c>
      <c r="E35" s="117" t="n">
        <f aca="false">D35/12</f>
        <v>625.166666666667</v>
      </c>
    </row>
    <row r="36" customFormat="false" ht="14.25" hidden="false" customHeight="true" outlineLevel="0" collapsed="false">
      <c r="A36" s="113" t="n">
        <v>2026</v>
      </c>
      <c r="B36" s="114" t="s">
        <v>55</v>
      </c>
      <c r="C36" s="118" t="s">
        <v>153</v>
      </c>
      <c r="D36" s="126" t="n">
        <v>341</v>
      </c>
      <c r="E36" s="119" t="n">
        <f aca="false">D36/12</f>
        <v>28.4166666666667</v>
      </c>
    </row>
    <row r="37" customFormat="false" ht="14.25" hidden="false" customHeight="true" outlineLevel="0" collapsed="false">
      <c r="A37" s="113" t="n">
        <v>2026</v>
      </c>
      <c r="B37" s="114" t="s">
        <v>55</v>
      </c>
      <c r="C37" s="120" t="s">
        <v>154</v>
      </c>
      <c r="D37" s="127" t="n">
        <v>85</v>
      </c>
      <c r="E37" s="121" t="n">
        <f aca="false">D37/12</f>
        <v>7.08333333333333</v>
      </c>
    </row>
    <row r="38" customFormat="false" ht="14.25" hidden="false" customHeight="true" outlineLevel="0" collapsed="false">
      <c r="A38" s="113" t="n">
        <v>2026</v>
      </c>
      <c r="B38" s="114" t="s">
        <v>55</v>
      </c>
      <c r="C38" s="122" t="s">
        <v>156</v>
      </c>
      <c r="D38" s="123" t="n">
        <v>170</v>
      </c>
      <c r="E38" s="124" t="n">
        <f aca="false">D38/12</f>
        <v>14.1666666666667</v>
      </c>
    </row>
    <row r="39" customFormat="false" ht="14.25" hidden="false" customHeight="true" outlineLevel="0" collapsed="false">
      <c r="A39" s="113" t="n">
        <v>2026</v>
      </c>
      <c r="B39" s="114" t="s">
        <v>56</v>
      </c>
      <c r="C39" s="116" t="s">
        <v>151</v>
      </c>
      <c r="D39" s="125" t="n">
        <v>16392</v>
      </c>
      <c r="E39" s="117" t="n">
        <f aca="false">D39/12</f>
        <v>1366</v>
      </c>
    </row>
    <row r="40" customFormat="false" ht="14.25" hidden="false" customHeight="true" outlineLevel="0" collapsed="false">
      <c r="A40" s="113" t="n">
        <v>2026</v>
      </c>
      <c r="B40" s="114" t="s">
        <v>56</v>
      </c>
      <c r="C40" s="118" t="s">
        <v>153</v>
      </c>
      <c r="D40" s="126" t="n">
        <v>726</v>
      </c>
      <c r="E40" s="119" t="n">
        <f aca="false">D40/12</f>
        <v>60.5</v>
      </c>
    </row>
    <row r="41" customFormat="false" ht="14.25" hidden="false" customHeight="true" outlineLevel="0" collapsed="false">
      <c r="A41" s="113" t="n">
        <v>2026</v>
      </c>
      <c r="B41" s="114" t="s">
        <v>56</v>
      </c>
      <c r="C41" s="120" t="s">
        <v>154</v>
      </c>
      <c r="D41" s="127" t="n">
        <v>182</v>
      </c>
      <c r="E41" s="121" t="n">
        <f aca="false">D41/12</f>
        <v>15.1666666666667</v>
      </c>
    </row>
    <row r="42" customFormat="false" ht="14.25" hidden="false" customHeight="true" outlineLevel="0" collapsed="false">
      <c r="A42" s="113" t="n">
        <v>2026</v>
      </c>
      <c r="B42" s="114" t="s">
        <v>56</v>
      </c>
      <c r="C42" s="122" t="s">
        <v>156</v>
      </c>
      <c r="D42" s="123" t="n">
        <v>368</v>
      </c>
      <c r="E42" s="124" t="n">
        <f aca="false">D42/12</f>
        <v>30.6666666666667</v>
      </c>
    </row>
    <row r="43" customFormat="false" ht="14.25" hidden="false" customHeight="true" outlineLevel="0" collapsed="false">
      <c r="A43" s="113" t="n">
        <v>2026</v>
      </c>
      <c r="B43" s="114" t="s">
        <v>57</v>
      </c>
      <c r="C43" s="116" t="s">
        <v>151</v>
      </c>
      <c r="D43" s="125" t="n">
        <v>6154</v>
      </c>
      <c r="E43" s="117" t="n">
        <f aca="false">D43/12</f>
        <v>512.833333333333</v>
      </c>
    </row>
    <row r="44" customFormat="false" ht="14.25" hidden="false" customHeight="true" outlineLevel="0" collapsed="false">
      <c r="A44" s="113" t="n">
        <v>2026</v>
      </c>
      <c r="B44" s="114" t="s">
        <v>57</v>
      </c>
      <c r="C44" s="118" t="s">
        <v>153</v>
      </c>
      <c r="D44" s="126" t="n">
        <v>282</v>
      </c>
      <c r="E44" s="119" t="n">
        <f aca="false">D44/12</f>
        <v>23.5</v>
      </c>
    </row>
    <row r="45" customFormat="false" ht="14.25" hidden="false" customHeight="true" outlineLevel="0" collapsed="false">
      <c r="A45" s="113" t="n">
        <v>2026</v>
      </c>
      <c r="B45" s="114" t="s">
        <v>57</v>
      </c>
      <c r="C45" s="120" t="s">
        <v>154</v>
      </c>
      <c r="D45" s="127" t="n">
        <v>70</v>
      </c>
      <c r="E45" s="121" t="n">
        <f aca="false">D45/12</f>
        <v>5.83333333333333</v>
      </c>
    </row>
    <row r="46" customFormat="false" ht="14.25" hidden="false" customHeight="true" outlineLevel="0" collapsed="false">
      <c r="A46" s="113" t="n">
        <v>2026</v>
      </c>
      <c r="B46" s="114" t="s">
        <v>57</v>
      </c>
      <c r="C46" s="122" t="s">
        <v>156</v>
      </c>
      <c r="D46" s="123" t="n">
        <v>157</v>
      </c>
      <c r="E46" s="124" t="n">
        <f aca="false">D46/12</f>
        <v>13.0833333333333</v>
      </c>
    </row>
    <row r="47" customFormat="false" ht="14.25" hidden="false" customHeight="true" outlineLevel="0" collapsed="false">
      <c r="A47" s="113" t="n">
        <v>2026</v>
      </c>
      <c r="B47" s="114" t="s">
        <v>58</v>
      </c>
      <c r="C47" s="116" t="s">
        <v>151</v>
      </c>
      <c r="D47" s="125" t="n">
        <v>2274</v>
      </c>
      <c r="E47" s="117" t="n">
        <f aca="false">D47/12</f>
        <v>189.5</v>
      </c>
    </row>
    <row r="48" customFormat="false" ht="14.25" hidden="false" customHeight="true" outlineLevel="0" collapsed="false">
      <c r="A48" s="113" t="n">
        <v>2026</v>
      </c>
      <c r="B48" s="114" t="s">
        <v>58</v>
      </c>
      <c r="C48" s="118" t="s">
        <v>153</v>
      </c>
      <c r="D48" s="126" t="n">
        <v>112</v>
      </c>
      <c r="E48" s="119" t="n">
        <f aca="false">D48/12</f>
        <v>9.33333333333333</v>
      </c>
    </row>
    <row r="49" customFormat="false" ht="14.25" hidden="false" customHeight="true" outlineLevel="0" collapsed="false">
      <c r="A49" s="113" t="n">
        <v>2026</v>
      </c>
      <c r="B49" s="114" t="s">
        <v>58</v>
      </c>
      <c r="C49" s="120" t="s">
        <v>154</v>
      </c>
      <c r="D49" s="127" t="n">
        <v>28</v>
      </c>
      <c r="E49" s="121" t="n">
        <f aca="false">D49/12</f>
        <v>2.33333333333333</v>
      </c>
    </row>
    <row r="50" customFormat="false" ht="14.25" hidden="false" customHeight="true" outlineLevel="0" collapsed="false">
      <c r="A50" s="113" t="n">
        <v>2026</v>
      </c>
      <c r="B50" s="114" t="s">
        <v>58</v>
      </c>
      <c r="C50" s="122" t="s">
        <v>156</v>
      </c>
      <c r="D50" s="123" t="n">
        <v>64</v>
      </c>
      <c r="E50" s="124" t="n">
        <f aca="false">D50/12</f>
        <v>5.33333333333333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9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0" activeCellId="0" sqref="I10"/>
    </sheetView>
  </sheetViews>
  <sheetFormatPr defaultColWidth="8.73046875" defaultRowHeight="14.25" zeroHeight="false" outlineLevelRow="0" outlineLevelCol="0"/>
  <cols>
    <col collapsed="false" customWidth="false" hidden="false" outlineLevel="0" max="3" min="1" style="68" width="8.73"/>
    <col collapsed="false" customWidth="true" hidden="false" outlineLevel="0" max="4" min="4" style="68" width="11.82"/>
    <col collapsed="false" customWidth="true" hidden="false" outlineLevel="0" max="5" min="5" style="68" width="16.63"/>
    <col collapsed="false" customWidth="true" hidden="false" outlineLevel="0" max="6" min="6" style="68" width="18.63"/>
    <col collapsed="false" customWidth="false" hidden="false" outlineLevel="0" max="7" min="7" style="68" width="8.73"/>
    <col collapsed="false" customWidth="true" hidden="false" outlineLevel="0" max="8" min="8" style="68" width="11.54"/>
    <col collapsed="false" customWidth="false" hidden="false" outlineLevel="0" max="16384" min="9" style="68" width="8.73"/>
  </cols>
  <sheetData>
    <row r="2" customFormat="false" ht="14.25" hidden="false" customHeight="true" outlineLevel="0" collapsed="false">
      <c r="B2" s="128" t="s">
        <v>157</v>
      </c>
      <c r="C2" s="128" t="s">
        <v>162</v>
      </c>
      <c r="D2" s="128" t="s">
        <v>158</v>
      </c>
      <c r="E2" s="128" t="s">
        <v>159</v>
      </c>
      <c r="F2" s="128" t="s">
        <v>163</v>
      </c>
    </row>
    <row r="3" customFormat="false" ht="14.25" hidden="false" customHeight="true" outlineLevel="0" collapsed="false">
      <c r="B3" s="68" t="n">
        <v>2026</v>
      </c>
      <c r="C3" s="68" t="s">
        <v>1</v>
      </c>
      <c r="D3" s="68" t="s">
        <v>12</v>
      </c>
      <c r="E3" s="116" t="s">
        <v>151</v>
      </c>
      <c r="F3" s="129" t="n">
        <v>15</v>
      </c>
    </row>
    <row r="4" customFormat="false" ht="14.25" hidden="false" customHeight="true" outlineLevel="0" collapsed="false">
      <c r="B4" s="68" t="n">
        <v>2026</v>
      </c>
      <c r="C4" s="68" t="s">
        <v>1</v>
      </c>
      <c r="D4" s="68" t="s">
        <v>12</v>
      </c>
      <c r="E4" s="118" t="s">
        <v>153</v>
      </c>
      <c r="F4" s="130" t="n">
        <v>0</v>
      </c>
    </row>
    <row r="5" customFormat="false" ht="14.25" hidden="false" customHeight="true" outlineLevel="0" collapsed="false">
      <c r="B5" s="68" t="n">
        <v>2026</v>
      </c>
      <c r="C5" s="68" t="s">
        <v>1</v>
      </c>
      <c r="D5" s="68" t="s">
        <v>12</v>
      </c>
      <c r="E5" s="120" t="s">
        <v>154</v>
      </c>
      <c r="F5" s="129" t="n">
        <v>1</v>
      </c>
    </row>
    <row r="6" customFormat="false" ht="28.5" hidden="false" customHeight="true" outlineLevel="0" collapsed="false">
      <c r="B6" s="68" t="n">
        <v>2026</v>
      </c>
      <c r="C6" s="68" t="s">
        <v>1</v>
      </c>
      <c r="D6" s="68" t="s">
        <v>12</v>
      </c>
      <c r="E6" s="122" t="s">
        <v>156</v>
      </c>
      <c r="F6" s="130" t="n">
        <v>0</v>
      </c>
    </row>
    <row r="7" customFormat="false" ht="14.25" hidden="false" customHeight="true" outlineLevel="0" collapsed="false">
      <c r="B7" s="68" t="n">
        <v>2026</v>
      </c>
      <c r="C7" s="68" t="s">
        <v>1</v>
      </c>
      <c r="D7" s="68" t="s">
        <v>13</v>
      </c>
      <c r="E7" s="116" t="s">
        <v>151</v>
      </c>
      <c r="F7" s="129" t="n">
        <v>112</v>
      </c>
    </row>
    <row r="8" customFormat="false" ht="14.25" hidden="false" customHeight="true" outlineLevel="0" collapsed="false">
      <c r="B8" s="68" t="n">
        <v>2026</v>
      </c>
      <c r="C8" s="68" t="s">
        <v>1</v>
      </c>
      <c r="D8" s="68" t="s">
        <v>13</v>
      </c>
      <c r="E8" s="118" t="s">
        <v>153</v>
      </c>
      <c r="F8" s="130" t="n">
        <v>26</v>
      </c>
    </row>
    <row r="9" customFormat="false" ht="14.25" hidden="false" customHeight="true" outlineLevel="0" collapsed="false">
      <c r="B9" s="68" t="n">
        <v>2026</v>
      </c>
      <c r="C9" s="68" t="s">
        <v>1</v>
      </c>
      <c r="D9" s="68" t="s">
        <v>13</v>
      </c>
      <c r="E9" s="120" t="s">
        <v>154</v>
      </c>
      <c r="F9" s="129" t="n">
        <v>6</v>
      </c>
    </row>
    <row r="10" customFormat="false" ht="28.5" hidden="false" customHeight="true" outlineLevel="0" collapsed="false">
      <c r="B10" s="68" t="n">
        <v>2026</v>
      </c>
      <c r="C10" s="68" t="s">
        <v>1</v>
      </c>
      <c r="D10" s="68" t="s">
        <v>13</v>
      </c>
      <c r="E10" s="122" t="s">
        <v>156</v>
      </c>
      <c r="F10" s="130" t="n">
        <v>0</v>
      </c>
    </row>
    <row r="11" customFormat="false" ht="14.25" hidden="false" customHeight="true" outlineLevel="0" collapsed="false">
      <c r="B11" s="68" t="n">
        <v>2026</v>
      </c>
      <c r="C11" s="68" t="s">
        <v>1</v>
      </c>
      <c r="D11" s="68" t="s">
        <v>14</v>
      </c>
      <c r="E11" s="116" t="s">
        <v>151</v>
      </c>
      <c r="F11" s="129" t="n">
        <v>107</v>
      </c>
    </row>
    <row r="12" customFormat="false" ht="14.25" hidden="false" customHeight="true" outlineLevel="0" collapsed="false">
      <c r="B12" s="68" t="n">
        <v>2026</v>
      </c>
      <c r="C12" s="68" t="s">
        <v>1</v>
      </c>
      <c r="D12" s="68" t="s">
        <v>14</v>
      </c>
      <c r="E12" s="118" t="s">
        <v>153</v>
      </c>
      <c r="F12" s="130" t="n">
        <v>0</v>
      </c>
    </row>
    <row r="13" customFormat="false" ht="14.25" hidden="false" customHeight="true" outlineLevel="0" collapsed="false">
      <c r="B13" s="68" t="n">
        <v>2026</v>
      </c>
      <c r="C13" s="68" t="s">
        <v>1</v>
      </c>
      <c r="D13" s="68" t="s">
        <v>14</v>
      </c>
      <c r="E13" s="120" t="s">
        <v>154</v>
      </c>
      <c r="F13" s="129" t="n">
        <v>1</v>
      </c>
    </row>
    <row r="14" customFormat="false" ht="28.5" hidden="false" customHeight="true" outlineLevel="0" collapsed="false">
      <c r="B14" s="68" t="n">
        <v>2026</v>
      </c>
      <c r="C14" s="68" t="s">
        <v>1</v>
      </c>
      <c r="D14" s="68" t="s">
        <v>14</v>
      </c>
      <c r="E14" s="122" t="s">
        <v>156</v>
      </c>
      <c r="F14" s="130" t="n">
        <v>0</v>
      </c>
    </row>
    <row r="15" customFormat="false" ht="14.25" hidden="false" customHeight="true" outlineLevel="0" collapsed="false">
      <c r="B15" s="68" t="n">
        <v>2026</v>
      </c>
      <c r="C15" s="68" t="s">
        <v>1</v>
      </c>
      <c r="D15" s="68" t="s">
        <v>15</v>
      </c>
      <c r="E15" s="116" t="s">
        <v>151</v>
      </c>
      <c r="F15" s="129" t="n">
        <v>14</v>
      </c>
    </row>
    <row r="16" customFormat="false" ht="14.25" hidden="false" customHeight="true" outlineLevel="0" collapsed="false">
      <c r="B16" s="68" t="n">
        <v>2026</v>
      </c>
      <c r="C16" s="68" t="s">
        <v>1</v>
      </c>
      <c r="D16" s="68" t="s">
        <v>15</v>
      </c>
      <c r="E16" s="118" t="s">
        <v>153</v>
      </c>
      <c r="F16" s="130" t="n">
        <v>1</v>
      </c>
    </row>
    <row r="17" customFormat="false" ht="14.25" hidden="false" customHeight="true" outlineLevel="0" collapsed="false">
      <c r="B17" s="68" t="n">
        <v>2026</v>
      </c>
      <c r="C17" s="68" t="s">
        <v>1</v>
      </c>
      <c r="D17" s="68" t="s">
        <v>15</v>
      </c>
      <c r="E17" s="120" t="s">
        <v>154</v>
      </c>
      <c r="F17" s="129" t="n">
        <v>0</v>
      </c>
    </row>
    <row r="18" customFormat="false" ht="28.5" hidden="false" customHeight="true" outlineLevel="0" collapsed="false">
      <c r="B18" s="68" t="n">
        <v>2026</v>
      </c>
      <c r="C18" s="68" t="s">
        <v>1</v>
      </c>
      <c r="D18" s="68" t="s">
        <v>15</v>
      </c>
      <c r="E18" s="122" t="s">
        <v>156</v>
      </c>
      <c r="F18" s="130" t="n">
        <v>0</v>
      </c>
    </row>
    <row r="19" customFormat="false" ht="14.25" hidden="false" customHeight="true" outlineLevel="0" collapsed="false">
      <c r="B19" s="68" t="n">
        <v>2026</v>
      </c>
      <c r="C19" s="68" t="s">
        <v>1</v>
      </c>
      <c r="D19" s="68" t="s">
        <v>16</v>
      </c>
      <c r="E19" s="116" t="s">
        <v>151</v>
      </c>
      <c r="F19" s="129" t="n">
        <v>475</v>
      </c>
    </row>
    <row r="20" customFormat="false" ht="14.25" hidden="false" customHeight="true" outlineLevel="0" collapsed="false">
      <c r="B20" s="68" t="n">
        <v>2026</v>
      </c>
      <c r="C20" s="68" t="s">
        <v>1</v>
      </c>
      <c r="D20" s="68" t="s">
        <v>16</v>
      </c>
      <c r="E20" s="118" t="s">
        <v>153</v>
      </c>
      <c r="F20" s="130" t="n">
        <v>21</v>
      </c>
    </row>
    <row r="21" customFormat="false" ht="14.25" hidden="false" customHeight="true" outlineLevel="0" collapsed="false">
      <c r="B21" s="68" t="n">
        <v>2026</v>
      </c>
      <c r="C21" s="68" t="s">
        <v>1</v>
      </c>
      <c r="D21" s="68" t="s">
        <v>16</v>
      </c>
      <c r="E21" s="120" t="s">
        <v>154</v>
      </c>
      <c r="F21" s="129" t="n">
        <v>8</v>
      </c>
    </row>
    <row r="22" customFormat="false" ht="28.5" hidden="false" customHeight="true" outlineLevel="0" collapsed="false">
      <c r="B22" s="68" t="n">
        <v>2026</v>
      </c>
      <c r="C22" s="68" t="s">
        <v>1</v>
      </c>
      <c r="D22" s="68" t="s">
        <v>16</v>
      </c>
      <c r="E22" s="122" t="s">
        <v>156</v>
      </c>
      <c r="F22" s="130" t="n">
        <v>0</v>
      </c>
    </row>
    <row r="23" customFormat="false" ht="14.25" hidden="false" customHeight="true" outlineLevel="0" collapsed="false">
      <c r="B23" s="68" t="n">
        <v>2026</v>
      </c>
      <c r="C23" s="68" t="s">
        <v>1</v>
      </c>
      <c r="D23" s="68" t="s">
        <v>17</v>
      </c>
      <c r="E23" s="116" t="s">
        <v>151</v>
      </c>
      <c r="F23" s="129" t="n">
        <v>1120</v>
      </c>
    </row>
    <row r="24" customFormat="false" ht="14.25" hidden="false" customHeight="true" outlineLevel="0" collapsed="false">
      <c r="B24" s="68" t="n">
        <v>2026</v>
      </c>
      <c r="C24" s="68" t="s">
        <v>1</v>
      </c>
      <c r="D24" s="68" t="s">
        <v>17</v>
      </c>
      <c r="E24" s="118" t="s">
        <v>153</v>
      </c>
      <c r="F24" s="130" t="n">
        <v>152</v>
      </c>
    </row>
    <row r="25" customFormat="false" ht="14.25" hidden="false" customHeight="true" outlineLevel="0" collapsed="false">
      <c r="B25" s="68" t="n">
        <v>2026</v>
      </c>
      <c r="C25" s="68" t="s">
        <v>1</v>
      </c>
      <c r="D25" s="68" t="s">
        <v>17</v>
      </c>
      <c r="E25" s="120" t="s">
        <v>154</v>
      </c>
      <c r="F25" s="129" t="n">
        <v>61</v>
      </c>
    </row>
    <row r="26" customFormat="false" ht="28.5" hidden="false" customHeight="true" outlineLevel="0" collapsed="false">
      <c r="B26" s="68" t="n">
        <v>2026</v>
      </c>
      <c r="C26" s="68" t="s">
        <v>1</v>
      </c>
      <c r="D26" s="68" t="s">
        <v>17</v>
      </c>
      <c r="E26" s="122" t="s">
        <v>156</v>
      </c>
      <c r="F26" s="130" t="n">
        <v>0</v>
      </c>
    </row>
    <row r="27" customFormat="false" ht="14.25" hidden="false" customHeight="true" outlineLevel="0" collapsed="false">
      <c r="B27" s="68" t="n">
        <v>2026</v>
      </c>
      <c r="C27" s="68" t="s">
        <v>1</v>
      </c>
      <c r="D27" s="68" t="s">
        <v>18</v>
      </c>
      <c r="E27" s="116" t="s">
        <v>151</v>
      </c>
      <c r="F27" s="129" t="n">
        <v>48</v>
      </c>
    </row>
    <row r="28" customFormat="false" ht="14.25" hidden="false" customHeight="true" outlineLevel="0" collapsed="false">
      <c r="B28" s="68" t="n">
        <v>2026</v>
      </c>
      <c r="C28" s="68" t="s">
        <v>1</v>
      </c>
      <c r="D28" s="68" t="s">
        <v>18</v>
      </c>
      <c r="E28" s="118" t="s">
        <v>153</v>
      </c>
      <c r="F28" s="130" t="n">
        <v>22</v>
      </c>
    </row>
    <row r="29" customFormat="false" ht="14.25" hidden="false" customHeight="true" outlineLevel="0" collapsed="false">
      <c r="B29" s="68" t="n">
        <v>2026</v>
      </c>
      <c r="C29" s="68" t="s">
        <v>1</v>
      </c>
      <c r="D29" s="68" t="s">
        <v>18</v>
      </c>
      <c r="E29" s="120" t="s">
        <v>154</v>
      </c>
      <c r="F29" s="129" t="n">
        <v>0</v>
      </c>
    </row>
    <row r="30" customFormat="false" ht="28.5" hidden="false" customHeight="true" outlineLevel="0" collapsed="false">
      <c r="B30" s="68" t="n">
        <v>2026</v>
      </c>
      <c r="C30" s="68" t="s">
        <v>1</v>
      </c>
      <c r="D30" s="68" t="s">
        <v>18</v>
      </c>
      <c r="E30" s="122" t="s">
        <v>156</v>
      </c>
      <c r="F30" s="130" t="n">
        <v>0</v>
      </c>
    </row>
    <row r="31" customFormat="false" ht="14.25" hidden="false" customHeight="true" outlineLevel="0" collapsed="false">
      <c r="B31" s="68" t="n">
        <v>2026</v>
      </c>
      <c r="C31" s="68" t="s">
        <v>1</v>
      </c>
      <c r="D31" s="68" t="s">
        <v>19</v>
      </c>
      <c r="E31" s="116" t="s">
        <v>151</v>
      </c>
      <c r="F31" s="129" t="n">
        <v>114</v>
      </c>
    </row>
    <row r="32" customFormat="false" ht="14.25" hidden="false" customHeight="true" outlineLevel="0" collapsed="false">
      <c r="B32" s="68" t="n">
        <v>2026</v>
      </c>
      <c r="C32" s="68" t="s">
        <v>1</v>
      </c>
      <c r="D32" s="68" t="s">
        <v>19</v>
      </c>
      <c r="E32" s="118" t="s">
        <v>153</v>
      </c>
      <c r="F32" s="130" t="n">
        <v>8</v>
      </c>
    </row>
    <row r="33" customFormat="false" ht="14.25" hidden="false" customHeight="true" outlineLevel="0" collapsed="false">
      <c r="B33" s="68" t="n">
        <v>2026</v>
      </c>
      <c r="C33" s="68" t="s">
        <v>1</v>
      </c>
      <c r="D33" s="68" t="s">
        <v>19</v>
      </c>
      <c r="E33" s="120" t="s">
        <v>154</v>
      </c>
      <c r="F33" s="129" t="n">
        <v>1</v>
      </c>
    </row>
    <row r="34" customFormat="false" ht="28.5" hidden="false" customHeight="true" outlineLevel="0" collapsed="false">
      <c r="B34" s="68" t="n">
        <v>2026</v>
      </c>
      <c r="C34" s="68" t="s">
        <v>1</v>
      </c>
      <c r="D34" s="68" t="s">
        <v>19</v>
      </c>
      <c r="E34" s="122" t="s">
        <v>156</v>
      </c>
      <c r="F34" s="130" t="n">
        <v>0</v>
      </c>
    </row>
    <row r="35" customFormat="false" ht="14.25" hidden="false" customHeight="true" outlineLevel="0" collapsed="false">
      <c r="B35" s="68" t="n">
        <v>2026</v>
      </c>
      <c r="C35" s="68" t="s">
        <v>1</v>
      </c>
      <c r="D35" s="68" t="s">
        <v>20</v>
      </c>
      <c r="E35" s="116" t="s">
        <v>151</v>
      </c>
      <c r="F35" s="129" t="n">
        <v>0</v>
      </c>
    </row>
    <row r="36" customFormat="false" ht="14.25" hidden="false" customHeight="true" outlineLevel="0" collapsed="false">
      <c r="B36" s="68" t="n">
        <v>2026</v>
      </c>
      <c r="C36" s="68" t="s">
        <v>1</v>
      </c>
      <c r="D36" s="68" t="s">
        <v>20</v>
      </c>
      <c r="E36" s="118" t="s">
        <v>153</v>
      </c>
      <c r="F36" s="130" t="n">
        <v>1</v>
      </c>
    </row>
    <row r="37" customFormat="false" ht="14.25" hidden="false" customHeight="true" outlineLevel="0" collapsed="false">
      <c r="B37" s="68" t="n">
        <v>2026</v>
      </c>
      <c r="C37" s="68" t="s">
        <v>1</v>
      </c>
      <c r="D37" s="68" t="s">
        <v>20</v>
      </c>
      <c r="E37" s="120" t="s">
        <v>154</v>
      </c>
      <c r="F37" s="129" t="n">
        <v>5</v>
      </c>
    </row>
    <row r="38" customFormat="false" ht="28.5" hidden="false" customHeight="true" outlineLevel="0" collapsed="false">
      <c r="B38" s="68" t="n">
        <v>2026</v>
      </c>
      <c r="C38" s="68" t="s">
        <v>1</v>
      </c>
      <c r="D38" s="68" t="s">
        <v>20</v>
      </c>
      <c r="E38" s="122" t="s">
        <v>156</v>
      </c>
      <c r="F38" s="130" t="n">
        <v>0</v>
      </c>
    </row>
    <row r="39" customFormat="false" ht="14.25" hidden="false" customHeight="true" outlineLevel="0" collapsed="false">
      <c r="B39" s="68" t="n">
        <v>2026</v>
      </c>
      <c r="C39" s="68" t="s">
        <v>1</v>
      </c>
      <c r="D39" s="68" t="s">
        <v>21</v>
      </c>
      <c r="E39" s="116" t="s">
        <v>151</v>
      </c>
      <c r="F39" s="129" t="n">
        <v>138</v>
      </c>
    </row>
    <row r="40" customFormat="false" ht="14.25" hidden="false" customHeight="true" outlineLevel="0" collapsed="false">
      <c r="B40" s="68" t="n">
        <v>2026</v>
      </c>
      <c r="C40" s="68" t="s">
        <v>1</v>
      </c>
      <c r="D40" s="68" t="s">
        <v>21</v>
      </c>
      <c r="E40" s="118" t="s">
        <v>153</v>
      </c>
      <c r="F40" s="130" t="n">
        <v>9</v>
      </c>
    </row>
    <row r="41" customFormat="false" ht="14.25" hidden="false" customHeight="true" outlineLevel="0" collapsed="false">
      <c r="B41" s="68" t="n">
        <v>2026</v>
      </c>
      <c r="C41" s="68" t="s">
        <v>1</v>
      </c>
      <c r="D41" s="68" t="s">
        <v>21</v>
      </c>
      <c r="E41" s="120" t="s">
        <v>154</v>
      </c>
      <c r="F41" s="129" t="n">
        <v>2</v>
      </c>
    </row>
    <row r="42" customFormat="false" ht="28.5" hidden="false" customHeight="true" outlineLevel="0" collapsed="false">
      <c r="B42" s="68" t="n">
        <v>2026</v>
      </c>
      <c r="C42" s="68" t="s">
        <v>1</v>
      </c>
      <c r="D42" s="68" t="s">
        <v>21</v>
      </c>
      <c r="E42" s="122" t="s">
        <v>156</v>
      </c>
      <c r="F42" s="130" t="n">
        <v>0</v>
      </c>
    </row>
    <row r="43" customFormat="false" ht="14.25" hidden="false" customHeight="true" outlineLevel="0" collapsed="false">
      <c r="B43" s="68" t="n">
        <v>2026</v>
      </c>
      <c r="C43" s="68" t="s">
        <v>1</v>
      </c>
      <c r="D43" s="68" t="s">
        <v>22</v>
      </c>
      <c r="E43" s="116" t="s">
        <v>151</v>
      </c>
      <c r="F43" s="129" t="n">
        <v>302</v>
      </c>
    </row>
    <row r="44" customFormat="false" ht="14.25" hidden="false" customHeight="true" outlineLevel="0" collapsed="false">
      <c r="B44" s="68" t="n">
        <v>2026</v>
      </c>
      <c r="C44" s="68" t="s">
        <v>1</v>
      </c>
      <c r="D44" s="68" t="s">
        <v>22</v>
      </c>
      <c r="E44" s="118" t="s">
        <v>153</v>
      </c>
      <c r="F44" s="130" t="n">
        <v>38</v>
      </c>
    </row>
    <row r="45" customFormat="false" ht="14.25" hidden="false" customHeight="true" outlineLevel="0" collapsed="false">
      <c r="B45" s="68" t="n">
        <v>2026</v>
      </c>
      <c r="C45" s="68" t="s">
        <v>1</v>
      </c>
      <c r="D45" s="68" t="s">
        <v>22</v>
      </c>
      <c r="E45" s="120" t="s">
        <v>154</v>
      </c>
      <c r="F45" s="129" t="n">
        <v>9</v>
      </c>
    </row>
    <row r="46" customFormat="false" ht="28.5" hidden="false" customHeight="true" outlineLevel="0" collapsed="false">
      <c r="B46" s="68" t="n">
        <v>2026</v>
      </c>
      <c r="C46" s="68" t="s">
        <v>1</v>
      </c>
      <c r="D46" s="68" t="s">
        <v>22</v>
      </c>
      <c r="E46" s="122" t="s">
        <v>156</v>
      </c>
      <c r="F46" s="130" t="n">
        <v>0</v>
      </c>
    </row>
    <row r="47" customFormat="false" ht="14.25" hidden="false" customHeight="true" outlineLevel="0" collapsed="false">
      <c r="B47" s="68" t="n">
        <v>2026</v>
      </c>
      <c r="C47" s="68" t="s">
        <v>1</v>
      </c>
      <c r="D47" s="68" t="s">
        <v>23</v>
      </c>
      <c r="E47" s="116" t="s">
        <v>151</v>
      </c>
      <c r="F47" s="129" t="n">
        <v>66</v>
      </c>
    </row>
    <row r="48" customFormat="false" ht="14.25" hidden="false" customHeight="true" outlineLevel="0" collapsed="false">
      <c r="B48" s="68" t="n">
        <v>2026</v>
      </c>
      <c r="C48" s="68" t="s">
        <v>1</v>
      </c>
      <c r="D48" s="68" t="s">
        <v>23</v>
      </c>
      <c r="E48" s="118" t="s">
        <v>153</v>
      </c>
      <c r="F48" s="130" t="n">
        <v>3</v>
      </c>
    </row>
    <row r="49" customFormat="false" ht="14.25" hidden="false" customHeight="true" outlineLevel="0" collapsed="false">
      <c r="B49" s="68" t="n">
        <v>2026</v>
      </c>
      <c r="C49" s="68" t="s">
        <v>1</v>
      </c>
      <c r="D49" s="68" t="s">
        <v>23</v>
      </c>
      <c r="E49" s="120" t="s">
        <v>154</v>
      </c>
      <c r="F49" s="129" t="n">
        <v>2</v>
      </c>
    </row>
    <row r="50" customFormat="false" ht="28.5" hidden="false" customHeight="true" outlineLevel="0" collapsed="false">
      <c r="B50" s="68" t="n">
        <v>2026</v>
      </c>
      <c r="C50" s="68" t="s">
        <v>1</v>
      </c>
      <c r="D50" s="68" t="s">
        <v>23</v>
      </c>
      <c r="E50" s="122" t="s">
        <v>156</v>
      </c>
      <c r="F50" s="130" t="n">
        <v>0</v>
      </c>
    </row>
    <row r="51" customFormat="false" ht="14.25" hidden="false" customHeight="true" outlineLevel="0" collapsed="false">
      <c r="B51" s="68" t="n">
        <v>2026</v>
      </c>
      <c r="C51" s="114" t="s">
        <v>2</v>
      </c>
      <c r="D51" s="68" t="s">
        <v>12</v>
      </c>
      <c r="E51" s="116" t="s">
        <v>151</v>
      </c>
      <c r="F51" s="129" t="n">
        <v>58</v>
      </c>
    </row>
    <row r="52" customFormat="false" ht="14.25" hidden="false" customHeight="true" outlineLevel="0" collapsed="false">
      <c r="B52" s="68" t="n">
        <v>2026</v>
      </c>
      <c r="C52" s="114" t="s">
        <v>2</v>
      </c>
      <c r="D52" s="68" t="s">
        <v>12</v>
      </c>
      <c r="E52" s="118" t="s">
        <v>153</v>
      </c>
      <c r="F52" s="130" t="n">
        <v>0</v>
      </c>
    </row>
    <row r="53" customFormat="false" ht="14.25" hidden="false" customHeight="true" outlineLevel="0" collapsed="false">
      <c r="B53" s="68" t="n">
        <v>2026</v>
      </c>
      <c r="C53" s="114" t="s">
        <v>2</v>
      </c>
      <c r="D53" s="68" t="s">
        <v>12</v>
      </c>
      <c r="E53" s="120" t="s">
        <v>154</v>
      </c>
      <c r="F53" s="129" t="n">
        <v>0</v>
      </c>
    </row>
    <row r="54" customFormat="false" ht="28.5" hidden="false" customHeight="true" outlineLevel="0" collapsed="false">
      <c r="B54" s="68" t="n">
        <v>2026</v>
      </c>
      <c r="C54" s="114" t="s">
        <v>2</v>
      </c>
      <c r="D54" s="68" t="s">
        <v>12</v>
      </c>
      <c r="E54" s="122" t="s">
        <v>156</v>
      </c>
      <c r="F54" s="130" t="n">
        <v>0</v>
      </c>
    </row>
    <row r="55" customFormat="false" ht="14.25" hidden="false" customHeight="true" outlineLevel="0" collapsed="false">
      <c r="B55" s="68" t="n">
        <v>2026</v>
      </c>
      <c r="C55" s="114" t="s">
        <v>2</v>
      </c>
      <c r="D55" s="68" t="s">
        <v>13</v>
      </c>
      <c r="E55" s="116" t="s">
        <v>151</v>
      </c>
      <c r="F55" s="129" t="n">
        <v>244</v>
      </c>
    </row>
    <row r="56" customFormat="false" ht="14.25" hidden="false" customHeight="true" outlineLevel="0" collapsed="false">
      <c r="B56" s="68" t="n">
        <v>2026</v>
      </c>
      <c r="C56" s="114" t="s">
        <v>2</v>
      </c>
      <c r="D56" s="68" t="s">
        <v>13</v>
      </c>
      <c r="E56" s="118" t="s">
        <v>153</v>
      </c>
      <c r="F56" s="130" t="n">
        <v>16</v>
      </c>
    </row>
    <row r="57" customFormat="false" ht="14.25" hidden="false" customHeight="true" outlineLevel="0" collapsed="false">
      <c r="B57" s="68" t="n">
        <v>2026</v>
      </c>
      <c r="C57" s="114" t="s">
        <v>2</v>
      </c>
      <c r="D57" s="68" t="s">
        <v>13</v>
      </c>
      <c r="E57" s="120" t="s">
        <v>154</v>
      </c>
      <c r="F57" s="129" t="n">
        <v>8</v>
      </c>
    </row>
    <row r="58" customFormat="false" ht="28.5" hidden="false" customHeight="true" outlineLevel="0" collapsed="false">
      <c r="B58" s="68" t="n">
        <v>2026</v>
      </c>
      <c r="C58" s="114" t="s">
        <v>2</v>
      </c>
      <c r="D58" s="68" t="s">
        <v>13</v>
      </c>
      <c r="E58" s="122" t="s">
        <v>156</v>
      </c>
      <c r="F58" s="130" t="n">
        <v>0</v>
      </c>
    </row>
    <row r="59" customFormat="false" ht="14.25" hidden="false" customHeight="true" outlineLevel="0" collapsed="false">
      <c r="B59" s="68" t="n">
        <v>2026</v>
      </c>
      <c r="C59" s="114" t="s">
        <v>2</v>
      </c>
      <c r="D59" s="68" t="s">
        <v>14</v>
      </c>
      <c r="E59" s="116" t="s">
        <v>151</v>
      </c>
      <c r="F59" s="129" t="n">
        <v>105</v>
      </c>
    </row>
    <row r="60" customFormat="false" ht="14.25" hidden="false" customHeight="true" outlineLevel="0" collapsed="false">
      <c r="B60" s="68" t="n">
        <v>2026</v>
      </c>
      <c r="C60" s="114" t="s">
        <v>2</v>
      </c>
      <c r="D60" s="68" t="s">
        <v>14</v>
      </c>
      <c r="E60" s="118" t="s">
        <v>153</v>
      </c>
      <c r="F60" s="130" t="n">
        <v>0</v>
      </c>
    </row>
    <row r="61" customFormat="false" ht="14.25" hidden="false" customHeight="true" outlineLevel="0" collapsed="false">
      <c r="B61" s="68" t="n">
        <v>2026</v>
      </c>
      <c r="C61" s="114" t="s">
        <v>2</v>
      </c>
      <c r="D61" s="68" t="s">
        <v>14</v>
      </c>
      <c r="E61" s="120" t="s">
        <v>154</v>
      </c>
      <c r="F61" s="129" t="n">
        <v>0</v>
      </c>
    </row>
    <row r="62" customFormat="false" ht="28.5" hidden="false" customHeight="true" outlineLevel="0" collapsed="false">
      <c r="B62" s="68" t="n">
        <v>2026</v>
      </c>
      <c r="C62" s="114" t="s">
        <v>2</v>
      </c>
      <c r="D62" s="68" t="s">
        <v>14</v>
      </c>
      <c r="E62" s="122" t="s">
        <v>156</v>
      </c>
      <c r="F62" s="130" t="n">
        <v>0</v>
      </c>
    </row>
    <row r="63" customFormat="false" ht="14.25" hidden="false" customHeight="true" outlineLevel="0" collapsed="false">
      <c r="B63" s="68" t="n">
        <v>2026</v>
      </c>
      <c r="C63" s="114" t="s">
        <v>2</v>
      </c>
      <c r="D63" s="68" t="s">
        <v>15</v>
      </c>
      <c r="E63" s="116" t="s">
        <v>151</v>
      </c>
      <c r="F63" s="129" t="n">
        <v>42</v>
      </c>
    </row>
    <row r="64" customFormat="false" ht="14.25" hidden="false" customHeight="true" outlineLevel="0" collapsed="false">
      <c r="B64" s="68" t="n">
        <v>2026</v>
      </c>
      <c r="C64" s="114" t="s">
        <v>2</v>
      </c>
      <c r="D64" s="68" t="s">
        <v>15</v>
      </c>
      <c r="E64" s="118" t="s">
        <v>153</v>
      </c>
      <c r="F64" s="130" t="n">
        <v>0</v>
      </c>
    </row>
    <row r="65" customFormat="false" ht="14.25" hidden="false" customHeight="true" outlineLevel="0" collapsed="false">
      <c r="B65" s="68" t="n">
        <v>2026</v>
      </c>
      <c r="C65" s="114" t="s">
        <v>2</v>
      </c>
      <c r="D65" s="68" t="s">
        <v>15</v>
      </c>
      <c r="E65" s="120" t="s">
        <v>154</v>
      </c>
      <c r="F65" s="129" t="n">
        <v>1</v>
      </c>
    </row>
    <row r="66" customFormat="false" ht="28.5" hidden="false" customHeight="true" outlineLevel="0" collapsed="false">
      <c r="B66" s="68" t="n">
        <v>2026</v>
      </c>
      <c r="C66" s="114" t="s">
        <v>2</v>
      </c>
      <c r="D66" s="68" t="s">
        <v>15</v>
      </c>
      <c r="E66" s="122" t="s">
        <v>156</v>
      </c>
      <c r="F66" s="130" t="n">
        <v>0</v>
      </c>
    </row>
    <row r="67" customFormat="false" ht="14.25" hidden="false" customHeight="true" outlineLevel="0" collapsed="false">
      <c r="B67" s="68" t="n">
        <v>2026</v>
      </c>
      <c r="C67" s="114" t="s">
        <v>2</v>
      </c>
      <c r="D67" s="68" t="s">
        <v>16</v>
      </c>
      <c r="E67" s="116" t="s">
        <v>151</v>
      </c>
      <c r="F67" s="129" t="n">
        <v>198</v>
      </c>
    </row>
    <row r="68" customFormat="false" ht="14.25" hidden="false" customHeight="true" outlineLevel="0" collapsed="false">
      <c r="B68" s="68" t="n">
        <v>2026</v>
      </c>
      <c r="C68" s="114" t="s">
        <v>2</v>
      </c>
      <c r="D68" s="68" t="s">
        <v>16</v>
      </c>
      <c r="E68" s="118" t="s">
        <v>153</v>
      </c>
      <c r="F68" s="130" t="n">
        <v>23</v>
      </c>
    </row>
    <row r="69" customFormat="false" ht="14.25" hidden="false" customHeight="true" outlineLevel="0" collapsed="false">
      <c r="B69" s="68" t="n">
        <v>2026</v>
      </c>
      <c r="C69" s="114" t="s">
        <v>2</v>
      </c>
      <c r="D69" s="68" t="s">
        <v>16</v>
      </c>
      <c r="E69" s="120" t="s">
        <v>154</v>
      </c>
      <c r="F69" s="129" t="n">
        <v>10</v>
      </c>
    </row>
    <row r="70" customFormat="false" ht="28.5" hidden="false" customHeight="true" outlineLevel="0" collapsed="false">
      <c r="B70" s="68" t="n">
        <v>2026</v>
      </c>
      <c r="C70" s="114" t="s">
        <v>2</v>
      </c>
      <c r="D70" s="68" t="s">
        <v>16</v>
      </c>
      <c r="E70" s="122" t="s">
        <v>156</v>
      </c>
      <c r="F70" s="130" t="n">
        <v>0</v>
      </c>
    </row>
    <row r="71" customFormat="false" ht="14.25" hidden="false" customHeight="true" outlineLevel="0" collapsed="false">
      <c r="B71" s="68" t="n">
        <v>2026</v>
      </c>
      <c r="C71" s="114" t="s">
        <v>2</v>
      </c>
      <c r="D71" s="68" t="s">
        <v>17</v>
      </c>
      <c r="E71" s="116" t="s">
        <v>151</v>
      </c>
      <c r="F71" s="129" t="n">
        <v>778</v>
      </c>
    </row>
    <row r="72" customFormat="false" ht="14.25" hidden="false" customHeight="true" outlineLevel="0" collapsed="false">
      <c r="B72" s="68" t="n">
        <v>2026</v>
      </c>
      <c r="C72" s="114" t="s">
        <v>2</v>
      </c>
      <c r="D72" s="68" t="s">
        <v>17</v>
      </c>
      <c r="E72" s="118" t="s">
        <v>153</v>
      </c>
      <c r="F72" s="130" t="n">
        <v>76</v>
      </c>
    </row>
    <row r="73" customFormat="false" ht="14.25" hidden="false" customHeight="true" outlineLevel="0" collapsed="false">
      <c r="B73" s="68" t="n">
        <v>2026</v>
      </c>
      <c r="C73" s="114" t="s">
        <v>2</v>
      </c>
      <c r="D73" s="68" t="s">
        <v>17</v>
      </c>
      <c r="E73" s="120" t="s">
        <v>154</v>
      </c>
      <c r="F73" s="129" t="n">
        <v>16</v>
      </c>
    </row>
    <row r="74" customFormat="false" ht="28.5" hidden="false" customHeight="true" outlineLevel="0" collapsed="false">
      <c r="B74" s="68" t="n">
        <v>2026</v>
      </c>
      <c r="C74" s="114" t="s">
        <v>2</v>
      </c>
      <c r="D74" s="68" t="s">
        <v>17</v>
      </c>
      <c r="E74" s="122" t="s">
        <v>156</v>
      </c>
      <c r="F74" s="130" t="n">
        <v>2</v>
      </c>
    </row>
    <row r="75" customFormat="false" ht="14.25" hidden="false" customHeight="true" outlineLevel="0" collapsed="false">
      <c r="B75" s="68" t="n">
        <v>2026</v>
      </c>
      <c r="C75" s="114" t="s">
        <v>2</v>
      </c>
      <c r="D75" s="68" t="s">
        <v>18</v>
      </c>
      <c r="E75" s="116" t="s">
        <v>151</v>
      </c>
      <c r="F75" s="129" t="n">
        <v>70</v>
      </c>
    </row>
    <row r="76" customFormat="false" ht="14.25" hidden="false" customHeight="true" outlineLevel="0" collapsed="false">
      <c r="B76" s="68" t="n">
        <v>2026</v>
      </c>
      <c r="C76" s="114" t="s">
        <v>2</v>
      </c>
      <c r="D76" s="68" t="s">
        <v>18</v>
      </c>
      <c r="E76" s="118" t="s">
        <v>153</v>
      </c>
      <c r="F76" s="130" t="n">
        <v>23</v>
      </c>
    </row>
    <row r="77" customFormat="false" ht="14.25" hidden="false" customHeight="true" outlineLevel="0" collapsed="false">
      <c r="B77" s="68" t="n">
        <v>2026</v>
      </c>
      <c r="C77" s="114" t="s">
        <v>2</v>
      </c>
      <c r="D77" s="68" t="s">
        <v>18</v>
      </c>
      <c r="E77" s="120" t="s">
        <v>154</v>
      </c>
      <c r="F77" s="129" t="n">
        <v>0</v>
      </c>
    </row>
    <row r="78" customFormat="false" ht="28.5" hidden="false" customHeight="true" outlineLevel="0" collapsed="false">
      <c r="B78" s="68" t="n">
        <v>2026</v>
      </c>
      <c r="C78" s="114" t="s">
        <v>2</v>
      </c>
      <c r="D78" s="68" t="s">
        <v>18</v>
      </c>
      <c r="E78" s="122" t="s">
        <v>156</v>
      </c>
      <c r="F78" s="130" t="n">
        <v>0</v>
      </c>
    </row>
    <row r="79" customFormat="false" ht="14.25" hidden="false" customHeight="true" outlineLevel="0" collapsed="false">
      <c r="B79" s="68" t="n">
        <v>2026</v>
      </c>
      <c r="C79" s="114" t="s">
        <v>2</v>
      </c>
      <c r="D79" s="68" t="s">
        <v>19</v>
      </c>
      <c r="E79" s="116" t="s">
        <v>151</v>
      </c>
      <c r="F79" s="129" t="n">
        <v>106</v>
      </c>
    </row>
    <row r="80" customFormat="false" ht="14.25" hidden="false" customHeight="true" outlineLevel="0" collapsed="false">
      <c r="B80" s="68" t="n">
        <v>2026</v>
      </c>
      <c r="C80" s="114" t="s">
        <v>2</v>
      </c>
      <c r="D80" s="68" t="s">
        <v>19</v>
      </c>
      <c r="E80" s="118" t="s">
        <v>153</v>
      </c>
      <c r="F80" s="130" t="n">
        <v>11</v>
      </c>
    </row>
    <row r="81" customFormat="false" ht="14.25" hidden="false" customHeight="true" outlineLevel="0" collapsed="false">
      <c r="B81" s="68" t="n">
        <v>2026</v>
      </c>
      <c r="C81" s="114" t="s">
        <v>2</v>
      </c>
      <c r="D81" s="68" t="s">
        <v>19</v>
      </c>
      <c r="E81" s="120" t="s">
        <v>154</v>
      </c>
      <c r="F81" s="129" t="n">
        <v>1</v>
      </c>
    </row>
    <row r="82" customFormat="false" ht="28.5" hidden="false" customHeight="true" outlineLevel="0" collapsed="false">
      <c r="B82" s="68" t="n">
        <v>2026</v>
      </c>
      <c r="C82" s="114" t="s">
        <v>2</v>
      </c>
      <c r="D82" s="68" t="s">
        <v>19</v>
      </c>
      <c r="E82" s="122" t="s">
        <v>156</v>
      </c>
      <c r="F82" s="130" t="n">
        <v>0</v>
      </c>
    </row>
    <row r="83" customFormat="false" ht="14.25" hidden="false" customHeight="true" outlineLevel="0" collapsed="false">
      <c r="B83" s="68" t="n">
        <v>2026</v>
      </c>
      <c r="C83" s="114" t="s">
        <v>2</v>
      </c>
      <c r="D83" s="68" t="s">
        <v>20</v>
      </c>
      <c r="E83" s="116" t="s">
        <v>151</v>
      </c>
      <c r="F83" s="129" t="n">
        <v>1493</v>
      </c>
    </row>
    <row r="84" customFormat="false" ht="14.25" hidden="false" customHeight="true" outlineLevel="0" collapsed="false">
      <c r="B84" s="68" t="n">
        <v>2026</v>
      </c>
      <c r="C84" s="114" t="s">
        <v>2</v>
      </c>
      <c r="D84" s="68" t="s">
        <v>20</v>
      </c>
      <c r="E84" s="118" t="s">
        <v>153</v>
      </c>
      <c r="F84" s="130" t="n">
        <v>0</v>
      </c>
    </row>
    <row r="85" customFormat="false" ht="14.25" hidden="false" customHeight="true" outlineLevel="0" collapsed="false">
      <c r="B85" s="68" t="n">
        <v>2026</v>
      </c>
      <c r="C85" s="114" t="s">
        <v>2</v>
      </c>
      <c r="D85" s="68" t="s">
        <v>20</v>
      </c>
      <c r="E85" s="120" t="s">
        <v>154</v>
      </c>
      <c r="F85" s="129" t="n">
        <v>0</v>
      </c>
    </row>
    <row r="86" customFormat="false" ht="28.5" hidden="false" customHeight="true" outlineLevel="0" collapsed="false">
      <c r="B86" s="68" t="n">
        <v>2026</v>
      </c>
      <c r="C86" s="114" t="s">
        <v>2</v>
      </c>
      <c r="D86" s="68" t="s">
        <v>20</v>
      </c>
      <c r="E86" s="122" t="s">
        <v>156</v>
      </c>
      <c r="F86" s="130" t="n">
        <v>0</v>
      </c>
    </row>
    <row r="87" customFormat="false" ht="14.25" hidden="false" customHeight="true" outlineLevel="0" collapsed="false">
      <c r="B87" s="68" t="n">
        <v>2026</v>
      </c>
      <c r="C87" s="114" t="s">
        <v>2</v>
      </c>
      <c r="D87" s="68" t="s">
        <v>21</v>
      </c>
      <c r="E87" s="116" t="s">
        <v>151</v>
      </c>
      <c r="F87" s="129" t="n">
        <v>108</v>
      </c>
    </row>
    <row r="88" customFormat="false" ht="14.25" hidden="false" customHeight="true" outlineLevel="0" collapsed="false">
      <c r="B88" s="68" t="n">
        <v>2026</v>
      </c>
      <c r="C88" s="114" t="s">
        <v>2</v>
      </c>
      <c r="D88" s="68" t="s">
        <v>21</v>
      </c>
      <c r="E88" s="118" t="s">
        <v>153</v>
      </c>
      <c r="F88" s="130" t="n">
        <v>1</v>
      </c>
    </row>
    <row r="89" customFormat="false" ht="14.25" hidden="false" customHeight="true" outlineLevel="0" collapsed="false">
      <c r="B89" s="68" t="n">
        <v>2026</v>
      </c>
      <c r="C89" s="114" t="s">
        <v>2</v>
      </c>
      <c r="D89" s="68" t="s">
        <v>21</v>
      </c>
      <c r="E89" s="120" t="s">
        <v>154</v>
      </c>
      <c r="F89" s="129" t="n">
        <v>2</v>
      </c>
    </row>
    <row r="90" customFormat="false" ht="28.5" hidden="false" customHeight="true" outlineLevel="0" collapsed="false">
      <c r="B90" s="68" t="n">
        <v>2026</v>
      </c>
      <c r="C90" s="114" t="s">
        <v>2</v>
      </c>
      <c r="D90" s="68" t="s">
        <v>21</v>
      </c>
      <c r="E90" s="122" t="s">
        <v>156</v>
      </c>
      <c r="F90" s="130" t="n">
        <v>0</v>
      </c>
    </row>
    <row r="91" customFormat="false" ht="14.25" hidden="false" customHeight="true" outlineLevel="0" collapsed="false">
      <c r="B91" s="68" t="n">
        <v>2026</v>
      </c>
      <c r="C91" s="114" t="s">
        <v>2</v>
      </c>
      <c r="D91" s="68" t="s">
        <v>22</v>
      </c>
      <c r="E91" s="116" t="s">
        <v>151</v>
      </c>
      <c r="F91" s="129" t="n">
        <v>273</v>
      </c>
    </row>
    <row r="92" customFormat="false" ht="14.25" hidden="false" customHeight="true" outlineLevel="0" collapsed="false">
      <c r="B92" s="68" t="n">
        <v>2026</v>
      </c>
      <c r="C92" s="114" t="s">
        <v>2</v>
      </c>
      <c r="D92" s="68" t="s">
        <v>22</v>
      </c>
      <c r="E92" s="118" t="s">
        <v>153</v>
      </c>
      <c r="F92" s="130" t="n">
        <v>48</v>
      </c>
    </row>
    <row r="93" customFormat="false" ht="14.25" hidden="false" customHeight="true" outlineLevel="0" collapsed="false">
      <c r="B93" s="68" t="n">
        <v>2026</v>
      </c>
      <c r="C93" s="114" t="s">
        <v>2</v>
      </c>
      <c r="D93" s="68" t="s">
        <v>22</v>
      </c>
      <c r="E93" s="120" t="s">
        <v>154</v>
      </c>
      <c r="F93" s="129" t="n">
        <v>9</v>
      </c>
    </row>
    <row r="94" customFormat="false" ht="28.5" hidden="false" customHeight="true" outlineLevel="0" collapsed="false">
      <c r="B94" s="68" t="n">
        <v>2026</v>
      </c>
      <c r="C94" s="114" t="s">
        <v>2</v>
      </c>
      <c r="D94" s="68" t="s">
        <v>22</v>
      </c>
      <c r="E94" s="122" t="s">
        <v>156</v>
      </c>
      <c r="F94" s="130" t="n">
        <v>0</v>
      </c>
    </row>
    <row r="95" customFormat="false" ht="14.25" hidden="false" customHeight="true" outlineLevel="0" collapsed="false">
      <c r="B95" s="68" t="n">
        <v>2026</v>
      </c>
      <c r="C95" s="114" t="s">
        <v>2</v>
      </c>
      <c r="D95" s="68" t="s">
        <v>23</v>
      </c>
      <c r="E95" s="116" t="s">
        <v>151</v>
      </c>
      <c r="F95" s="129" t="n">
        <v>15</v>
      </c>
    </row>
    <row r="96" customFormat="false" ht="14.25" hidden="false" customHeight="true" outlineLevel="0" collapsed="false">
      <c r="B96" s="68" t="n">
        <v>2026</v>
      </c>
      <c r="C96" s="114" t="s">
        <v>2</v>
      </c>
      <c r="D96" s="68" t="s">
        <v>23</v>
      </c>
      <c r="E96" s="118" t="s">
        <v>153</v>
      </c>
      <c r="F96" s="130" t="n">
        <v>4</v>
      </c>
    </row>
    <row r="97" customFormat="false" ht="14.25" hidden="false" customHeight="true" outlineLevel="0" collapsed="false">
      <c r="B97" s="68" t="n">
        <v>2026</v>
      </c>
      <c r="C97" s="114" t="s">
        <v>2</v>
      </c>
      <c r="D97" s="68" t="s">
        <v>23</v>
      </c>
      <c r="E97" s="120" t="s">
        <v>154</v>
      </c>
      <c r="F97" s="129" t="n">
        <v>0</v>
      </c>
    </row>
    <row r="98" customFormat="false" ht="28.5" hidden="false" customHeight="true" outlineLevel="0" collapsed="false">
      <c r="B98" s="68" t="n">
        <v>2026</v>
      </c>
      <c r="C98" s="114" t="s">
        <v>2</v>
      </c>
      <c r="D98" s="68" t="s">
        <v>23</v>
      </c>
      <c r="E98" s="122" t="s">
        <v>156</v>
      </c>
      <c r="F98" s="130" t="n">
        <v>0</v>
      </c>
    </row>
    <row r="99" customFormat="false" ht="14.25" hidden="false" customHeight="true" outlineLevel="0" collapsed="false">
      <c r="B99" s="68" t="n">
        <v>2026</v>
      </c>
      <c r="C99" s="114" t="s">
        <v>3</v>
      </c>
      <c r="D99" s="68" t="s">
        <v>12</v>
      </c>
      <c r="E99" s="116" t="s">
        <v>151</v>
      </c>
      <c r="F99" s="129" t="n">
        <v>46</v>
      </c>
    </row>
    <row r="100" customFormat="false" ht="14.25" hidden="false" customHeight="true" outlineLevel="0" collapsed="false">
      <c r="B100" s="68" t="n">
        <v>2026</v>
      </c>
      <c r="C100" s="114" t="s">
        <v>3</v>
      </c>
      <c r="D100" s="68" t="s">
        <v>12</v>
      </c>
      <c r="E100" s="118" t="s">
        <v>153</v>
      </c>
      <c r="F100" s="130" t="n">
        <v>1</v>
      </c>
    </row>
    <row r="101" customFormat="false" ht="14.25" hidden="false" customHeight="true" outlineLevel="0" collapsed="false">
      <c r="B101" s="68" t="n">
        <v>2026</v>
      </c>
      <c r="C101" s="114" t="s">
        <v>3</v>
      </c>
      <c r="D101" s="68" t="s">
        <v>12</v>
      </c>
      <c r="E101" s="120" t="s">
        <v>154</v>
      </c>
      <c r="F101" s="129" t="n">
        <v>0</v>
      </c>
    </row>
    <row r="102" customFormat="false" ht="28.5" hidden="false" customHeight="true" outlineLevel="0" collapsed="false">
      <c r="B102" s="68" t="n">
        <v>2026</v>
      </c>
      <c r="C102" s="114" t="s">
        <v>3</v>
      </c>
      <c r="D102" s="68" t="s">
        <v>12</v>
      </c>
      <c r="E102" s="122" t="s">
        <v>156</v>
      </c>
      <c r="F102" s="130" t="n">
        <v>0</v>
      </c>
    </row>
    <row r="103" customFormat="false" ht="14.25" hidden="false" customHeight="true" outlineLevel="0" collapsed="false">
      <c r="B103" s="68" t="n">
        <v>2026</v>
      </c>
      <c r="C103" s="114" t="s">
        <v>3</v>
      </c>
      <c r="D103" s="68" t="s">
        <v>13</v>
      </c>
      <c r="E103" s="116" t="s">
        <v>151</v>
      </c>
      <c r="F103" s="129" t="n">
        <v>120</v>
      </c>
    </row>
    <row r="104" customFormat="false" ht="14.25" hidden="false" customHeight="true" outlineLevel="0" collapsed="false">
      <c r="B104" s="68" t="n">
        <v>2026</v>
      </c>
      <c r="C104" s="114" t="s">
        <v>3</v>
      </c>
      <c r="D104" s="68" t="s">
        <v>13</v>
      </c>
      <c r="E104" s="118" t="s">
        <v>153</v>
      </c>
      <c r="F104" s="130" t="n">
        <v>36</v>
      </c>
    </row>
    <row r="105" customFormat="false" ht="14.25" hidden="false" customHeight="true" outlineLevel="0" collapsed="false">
      <c r="B105" s="68" t="n">
        <v>2026</v>
      </c>
      <c r="C105" s="114" t="s">
        <v>3</v>
      </c>
      <c r="D105" s="68" t="s">
        <v>13</v>
      </c>
      <c r="E105" s="120" t="s">
        <v>154</v>
      </c>
      <c r="F105" s="129" t="n">
        <v>2</v>
      </c>
    </row>
    <row r="106" customFormat="false" ht="28.5" hidden="false" customHeight="true" outlineLevel="0" collapsed="false">
      <c r="B106" s="68" t="n">
        <v>2026</v>
      </c>
      <c r="C106" s="114" t="s">
        <v>3</v>
      </c>
      <c r="D106" s="68" t="s">
        <v>13</v>
      </c>
      <c r="E106" s="122" t="s">
        <v>156</v>
      </c>
      <c r="F106" s="130" t="n">
        <v>0</v>
      </c>
    </row>
    <row r="107" customFormat="false" ht="14.25" hidden="false" customHeight="true" outlineLevel="0" collapsed="false">
      <c r="B107" s="68" t="n">
        <v>2026</v>
      </c>
      <c r="C107" s="114" t="s">
        <v>3</v>
      </c>
      <c r="D107" s="68" t="s">
        <v>14</v>
      </c>
      <c r="E107" s="116" t="s">
        <v>151</v>
      </c>
      <c r="F107" s="129" t="n">
        <v>86</v>
      </c>
    </row>
    <row r="108" customFormat="false" ht="14.25" hidden="false" customHeight="true" outlineLevel="0" collapsed="false">
      <c r="B108" s="68" t="n">
        <v>2026</v>
      </c>
      <c r="C108" s="114" t="s">
        <v>3</v>
      </c>
      <c r="D108" s="68" t="s">
        <v>14</v>
      </c>
      <c r="E108" s="118" t="s">
        <v>153</v>
      </c>
      <c r="F108" s="130" t="n">
        <v>6</v>
      </c>
    </row>
    <row r="109" customFormat="false" ht="14.25" hidden="false" customHeight="true" outlineLevel="0" collapsed="false">
      <c r="B109" s="68" t="n">
        <v>2026</v>
      </c>
      <c r="C109" s="114" t="s">
        <v>3</v>
      </c>
      <c r="D109" s="68" t="s">
        <v>14</v>
      </c>
      <c r="E109" s="120" t="s">
        <v>154</v>
      </c>
      <c r="F109" s="129" t="n">
        <v>0</v>
      </c>
    </row>
    <row r="110" customFormat="false" ht="28.5" hidden="false" customHeight="true" outlineLevel="0" collapsed="false">
      <c r="B110" s="68" t="n">
        <v>2026</v>
      </c>
      <c r="C110" s="114" t="s">
        <v>3</v>
      </c>
      <c r="D110" s="68" t="s">
        <v>14</v>
      </c>
      <c r="E110" s="122" t="s">
        <v>156</v>
      </c>
      <c r="F110" s="130" t="n">
        <v>0</v>
      </c>
    </row>
    <row r="111" customFormat="false" ht="14.25" hidden="false" customHeight="true" outlineLevel="0" collapsed="false">
      <c r="B111" s="68" t="n">
        <v>2026</v>
      </c>
      <c r="C111" s="114" t="s">
        <v>3</v>
      </c>
      <c r="D111" s="68" t="s">
        <v>15</v>
      </c>
      <c r="E111" s="116" t="s">
        <v>151</v>
      </c>
      <c r="F111" s="129" t="n">
        <v>16</v>
      </c>
    </row>
    <row r="112" customFormat="false" ht="14.25" hidden="false" customHeight="true" outlineLevel="0" collapsed="false">
      <c r="B112" s="68" t="n">
        <v>2026</v>
      </c>
      <c r="C112" s="114" t="s">
        <v>3</v>
      </c>
      <c r="D112" s="68" t="s">
        <v>15</v>
      </c>
      <c r="E112" s="118" t="s">
        <v>153</v>
      </c>
      <c r="F112" s="130" t="n">
        <v>1</v>
      </c>
    </row>
    <row r="113" customFormat="false" ht="14.25" hidden="false" customHeight="true" outlineLevel="0" collapsed="false">
      <c r="B113" s="68" t="n">
        <v>2026</v>
      </c>
      <c r="C113" s="114" t="s">
        <v>3</v>
      </c>
      <c r="D113" s="68" t="s">
        <v>15</v>
      </c>
      <c r="E113" s="120" t="s">
        <v>154</v>
      </c>
      <c r="F113" s="129" t="n">
        <v>2</v>
      </c>
    </row>
    <row r="114" customFormat="false" ht="28.5" hidden="false" customHeight="true" outlineLevel="0" collapsed="false">
      <c r="B114" s="68" t="n">
        <v>2026</v>
      </c>
      <c r="C114" s="114" t="s">
        <v>3</v>
      </c>
      <c r="D114" s="68" t="s">
        <v>15</v>
      </c>
      <c r="E114" s="122" t="s">
        <v>156</v>
      </c>
      <c r="F114" s="130" t="n">
        <v>0</v>
      </c>
    </row>
    <row r="115" customFormat="false" ht="14.25" hidden="false" customHeight="true" outlineLevel="0" collapsed="false">
      <c r="B115" s="68" t="n">
        <v>2026</v>
      </c>
      <c r="C115" s="114" t="s">
        <v>3</v>
      </c>
      <c r="D115" s="68" t="s">
        <v>16</v>
      </c>
      <c r="E115" s="116" t="s">
        <v>151</v>
      </c>
      <c r="F115" s="129" t="n">
        <v>139</v>
      </c>
    </row>
    <row r="116" customFormat="false" ht="14.25" hidden="false" customHeight="true" outlineLevel="0" collapsed="false">
      <c r="B116" s="68" t="n">
        <v>2026</v>
      </c>
      <c r="C116" s="114" t="s">
        <v>3</v>
      </c>
      <c r="D116" s="68" t="s">
        <v>16</v>
      </c>
      <c r="E116" s="118" t="s">
        <v>153</v>
      </c>
      <c r="F116" s="130" t="n">
        <v>8</v>
      </c>
    </row>
    <row r="117" customFormat="false" ht="14.25" hidden="false" customHeight="true" outlineLevel="0" collapsed="false">
      <c r="B117" s="68" t="n">
        <v>2026</v>
      </c>
      <c r="C117" s="114" t="s">
        <v>3</v>
      </c>
      <c r="D117" s="68" t="s">
        <v>16</v>
      </c>
      <c r="E117" s="120" t="s">
        <v>154</v>
      </c>
      <c r="F117" s="129" t="n">
        <v>7</v>
      </c>
    </row>
    <row r="118" customFormat="false" ht="28.5" hidden="false" customHeight="true" outlineLevel="0" collapsed="false">
      <c r="B118" s="68" t="n">
        <v>2026</v>
      </c>
      <c r="C118" s="114" t="s">
        <v>3</v>
      </c>
      <c r="D118" s="68" t="s">
        <v>16</v>
      </c>
      <c r="E118" s="122" t="s">
        <v>156</v>
      </c>
      <c r="F118" s="130" t="n">
        <v>0</v>
      </c>
    </row>
    <row r="119" customFormat="false" ht="14.25" hidden="false" customHeight="true" outlineLevel="0" collapsed="false">
      <c r="B119" s="68" t="n">
        <v>2026</v>
      </c>
      <c r="C119" s="114" t="s">
        <v>3</v>
      </c>
      <c r="D119" s="68" t="s">
        <v>17</v>
      </c>
      <c r="E119" s="116" t="s">
        <v>151</v>
      </c>
      <c r="F119" s="129" t="n">
        <v>843</v>
      </c>
    </row>
    <row r="120" customFormat="false" ht="14.25" hidden="false" customHeight="true" outlineLevel="0" collapsed="false">
      <c r="B120" s="68" t="n">
        <v>2026</v>
      </c>
      <c r="C120" s="114" t="s">
        <v>3</v>
      </c>
      <c r="D120" s="68" t="s">
        <v>17</v>
      </c>
      <c r="E120" s="118" t="s">
        <v>153</v>
      </c>
      <c r="F120" s="130" t="n">
        <v>118</v>
      </c>
    </row>
    <row r="121" customFormat="false" ht="14.25" hidden="false" customHeight="true" outlineLevel="0" collapsed="false">
      <c r="B121" s="68" t="n">
        <v>2026</v>
      </c>
      <c r="C121" s="114" t="s">
        <v>3</v>
      </c>
      <c r="D121" s="68" t="s">
        <v>17</v>
      </c>
      <c r="E121" s="120" t="s">
        <v>154</v>
      </c>
      <c r="F121" s="129" t="n">
        <v>35</v>
      </c>
    </row>
    <row r="122" customFormat="false" ht="28.5" hidden="false" customHeight="true" outlineLevel="0" collapsed="false">
      <c r="B122" s="68" t="n">
        <v>2026</v>
      </c>
      <c r="C122" s="114" t="s">
        <v>3</v>
      </c>
      <c r="D122" s="68" t="s">
        <v>17</v>
      </c>
      <c r="E122" s="122" t="s">
        <v>156</v>
      </c>
      <c r="F122" s="130" t="n">
        <v>0</v>
      </c>
    </row>
    <row r="123" customFormat="false" ht="14.25" hidden="false" customHeight="true" outlineLevel="0" collapsed="false">
      <c r="B123" s="68" t="n">
        <v>2026</v>
      </c>
      <c r="C123" s="114" t="s">
        <v>3</v>
      </c>
      <c r="D123" s="68" t="s">
        <v>18</v>
      </c>
      <c r="E123" s="116" t="s">
        <v>151</v>
      </c>
      <c r="F123" s="129" t="n">
        <v>231</v>
      </c>
    </row>
    <row r="124" customFormat="false" ht="14.25" hidden="false" customHeight="true" outlineLevel="0" collapsed="false">
      <c r="B124" s="68" t="n">
        <v>2026</v>
      </c>
      <c r="C124" s="114" t="s">
        <v>3</v>
      </c>
      <c r="D124" s="68" t="s">
        <v>18</v>
      </c>
      <c r="E124" s="118" t="s">
        <v>153</v>
      </c>
      <c r="F124" s="130" t="n">
        <v>11</v>
      </c>
    </row>
    <row r="125" customFormat="false" ht="14.25" hidden="false" customHeight="true" outlineLevel="0" collapsed="false">
      <c r="B125" s="68" t="n">
        <v>2026</v>
      </c>
      <c r="C125" s="114" t="s">
        <v>3</v>
      </c>
      <c r="D125" s="68" t="s">
        <v>18</v>
      </c>
      <c r="E125" s="120" t="s">
        <v>154</v>
      </c>
      <c r="F125" s="129" t="n">
        <v>8</v>
      </c>
    </row>
    <row r="126" customFormat="false" ht="28.5" hidden="false" customHeight="true" outlineLevel="0" collapsed="false">
      <c r="B126" s="68" t="n">
        <v>2026</v>
      </c>
      <c r="C126" s="114" t="s">
        <v>3</v>
      </c>
      <c r="D126" s="68" t="s">
        <v>18</v>
      </c>
      <c r="E126" s="122" t="s">
        <v>156</v>
      </c>
      <c r="F126" s="130" t="n">
        <v>0</v>
      </c>
    </row>
    <row r="127" customFormat="false" ht="14.25" hidden="false" customHeight="true" outlineLevel="0" collapsed="false">
      <c r="B127" s="68" t="n">
        <v>2026</v>
      </c>
      <c r="C127" s="114" t="s">
        <v>3</v>
      </c>
      <c r="D127" s="68" t="s">
        <v>19</v>
      </c>
      <c r="E127" s="116" t="s">
        <v>151</v>
      </c>
      <c r="F127" s="129" t="n">
        <v>148</v>
      </c>
    </row>
    <row r="128" customFormat="false" ht="14.25" hidden="false" customHeight="true" outlineLevel="0" collapsed="false">
      <c r="B128" s="68" t="n">
        <v>2026</v>
      </c>
      <c r="C128" s="114" t="s">
        <v>3</v>
      </c>
      <c r="D128" s="68" t="s">
        <v>19</v>
      </c>
      <c r="E128" s="118" t="s">
        <v>153</v>
      </c>
      <c r="F128" s="130" t="n">
        <v>23</v>
      </c>
    </row>
    <row r="129" customFormat="false" ht="14.25" hidden="false" customHeight="true" outlineLevel="0" collapsed="false">
      <c r="B129" s="68" t="n">
        <v>2026</v>
      </c>
      <c r="C129" s="114" t="s">
        <v>3</v>
      </c>
      <c r="D129" s="68" t="s">
        <v>19</v>
      </c>
      <c r="E129" s="120" t="s">
        <v>154</v>
      </c>
      <c r="F129" s="129" t="n">
        <v>0</v>
      </c>
    </row>
    <row r="130" customFormat="false" ht="28.5" hidden="false" customHeight="true" outlineLevel="0" collapsed="false">
      <c r="B130" s="68" t="n">
        <v>2026</v>
      </c>
      <c r="C130" s="114" t="s">
        <v>3</v>
      </c>
      <c r="D130" s="68" t="s">
        <v>19</v>
      </c>
      <c r="E130" s="122" t="s">
        <v>156</v>
      </c>
      <c r="F130" s="130" t="n">
        <v>0</v>
      </c>
    </row>
    <row r="131" customFormat="false" ht="14.25" hidden="false" customHeight="true" outlineLevel="0" collapsed="false">
      <c r="B131" s="68" t="n">
        <v>2026</v>
      </c>
      <c r="C131" s="114" t="s">
        <v>3</v>
      </c>
      <c r="D131" s="68" t="s">
        <v>20</v>
      </c>
      <c r="E131" s="116" t="s">
        <v>151</v>
      </c>
      <c r="F131" s="129" t="n">
        <v>15</v>
      </c>
    </row>
    <row r="132" customFormat="false" ht="14.25" hidden="false" customHeight="true" outlineLevel="0" collapsed="false">
      <c r="B132" s="68" t="n">
        <v>2026</v>
      </c>
      <c r="C132" s="114" t="s">
        <v>3</v>
      </c>
      <c r="D132" s="68" t="s">
        <v>20</v>
      </c>
      <c r="E132" s="118" t="s">
        <v>153</v>
      </c>
      <c r="F132" s="130" t="n">
        <v>7</v>
      </c>
    </row>
    <row r="133" customFormat="false" ht="14.25" hidden="false" customHeight="true" outlineLevel="0" collapsed="false">
      <c r="B133" s="68" t="n">
        <v>2026</v>
      </c>
      <c r="C133" s="114" t="s">
        <v>3</v>
      </c>
      <c r="D133" s="68" t="s">
        <v>20</v>
      </c>
      <c r="E133" s="120" t="s">
        <v>154</v>
      </c>
      <c r="F133" s="129" t="n">
        <v>2</v>
      </c>
    </row>
    <row r="134" customFormat="false" ht="28.5" hidden="false" customHeight="true" outlineLevel="0" collapsed="false">
      <c r="B134" s="68" t="n">
        <v>2026</v>
      </c>
      <c r="C134" s="114" t="s">
        <v>3</v>
      </c>
      <c r="D134" s="68" t="s">
        <v>20</v>
      </c>
      <c r="E134" s="122" t="s">
        <v>156</v>
      </c>
      <c r="F134" s="130" t="n">
        <v>0</v>
      </c>
    </row>
    <row r="135" customFormat="false" ht="14.25" hidden="false" customHeight="true" outlineLevel="0" collapsed="false">
      <c r="B135" s="68" t="n">
        <v>2026</v>
      </c>
      <c r="C135" s="114" t="s">
        <v>3</v>
      </c>
      <c r="D135" s="68" t="s">
        <v>21</v>
      </c>
      <c r="E135" s="116" t="s">
        <v>151</v>
      </c>
      <c r="F135" s="129" t="n">
        <v>121</v>
      </c>
    </row>
    <row r="136" customFormat="false" ht="14.25" hidden="false" customHeight="true" outlineLevel="0" collapsed="false">
      <c r="B136" s="68" t="n">
        <v>2026</v>
      </c>
      <c r="C136" s="114" t="s">
        <v>3</v>
      </c>
      <c r="D136" s="68" t="s">
        <v>21</v>
      </c>
      <c r="E136" s="118" t="s">
        <v>153</v>
      </c>
      <c r="F136" s="130" t="n">
        <v>2</v>
      </c>
    </row>
    <row r="137" customFormat="false" ht="14.25" hidden="false" customHeight="true" outlineLevel="0" collapsed="false">
      <c r="B137" s="68" t="n">
        <v>2026</v>
      </c>
      <c r="C137" s="114" t="s">
        <v>3</v>
      </c>
      <c r="D137" s="68" t="s">
        <v>21</v>
      </c>
      <c r="E137" s="120" t="s">
        <v>154</v>
      </c>
      <c r="F137" s="129" t="n">
        <v>0</v>
      </c>
    </row>
    <row r="138" customFormat="false" ht="28.5" hidden="false" customHeight="true" outlineLevel="0" collapsed="false">
      <c r="B138" s="68" t="n">
        <v>2026</v>
      </c>
      <c r="C138" s="114" t="s">
        <v>3</v>
      </c>
      <c r="D138" s="68" t="s">
        <v>21</v>
      </c>
      <c r="E138" s="122" t="s">
        <v>156</v>
      </c>
      <c r="F138" s="130" t="n">
        <v>0</v>
      </c>
    </row>
    <row r="139" customFormat="false" ht="14.25" hidden="false" customHeight="true" outlineLevel="0" collapsed="false">
      <c r="B139" s="68" t="n">
        <v>2026</v>
      </c>
      <c r="C139" s="114" t="s">
        <v>3</v>
      </c>
      <c r="D139" s="68" t="s">
        <v>22</v>
      </c>
      <c r="E139" s="116" t="s">
        <v>151</v>
      </c>
      <c r="F139" s="129" t="n">
        <v>373</v>
      </c>
    </row>
    <row r="140" customFormat="false" ht="14.25" hidden="false" customHeight="true" outlineLevel="0" collapsed="false">
      <c r="B140" s="68" t="n">
        <v>2026</v>
      </c>
      <c r="C140" s="114" t="s">
        <v>3</v>
      </c>
      <c r="D140" s="68" t="s">
        <v>22</v>
      </c>
      <c r="E140" s="118" t="s">
        <v>153</v>
      </c>
      <c r="F140" s="130" t="n">
        <v>32</v>
      </c>
    </row>
    <row r="141" customFormat="false" ht="14.25" hidden="false" customHeight="true" outlineLevel="0" collapsed="false">
      <c r="B141" s="68" t="n">
        <v>2026</v>
      </c>
      <c r="C141" s="114" t="s">
        <v>3</v>
      </c>
      <c r="D141" s="68" t="s">
        <v>22</v>
      </c>
      <c r="E141" s="120" t="s">
        <v>154</v>
      </c>
      <c r="F141" s="129" t="n">
        <v>3</v>
      </c>
    </row>
    <row r="142" customFormat="false" ht="28.5" hidden="false" customHeight="true" outlineLevel="0" collapsed="false">
      <c r="B142" s="68" t="n">
        <v>2026</v>
      </c>
      <c r="C142" s="114" t="s">
        <v>3</v>
      </c>
      <c r="D142" s="68" t="s">
        <v>22</v>
      </c>
      <c r="E142" s="122" t="s">
        <v>156</v>
      </c>
      <c r="F142" s="130" t="n">
        <v>0</v>
      </c>
    </row>
    <row r="143" customFormat="false" ht="14.25" hidden="false" customHeight="true" outlineLevel="0" collapsed="false">
      <c r="B143" s="68" t="n">
        <v>2026</v>
      </c>
      <c r="C143" s="114" t="s">
        <v>3</v>
      </c>
      <c r="D143" s="68" t="s">
        <v>23</v>
      </c>
      <c r="E143" s="116" t="s">
        <v>151</v>
      </c>
      <c r="F143" s="129" t="n">
        <v>22</v>
      </c>
    </row>
    <row r="144" customFormat="false" ht="14.25" hidden="false" customHeight="true" outlineLevel="0" collapsed="false">
      <c r="B144" s="68" t="n">
        <v>2026</v>
      </c>
      <c r="C144" s="114" t="s">
        <v>3</v>
      </c>
      <c r="D144" s="68" t="s">
        <v>23</v>
      </c>
      <c r="E144" s="118" t="s">
        <v>153</v>
      </c>
      <c r="F144" s="130" t="n">
        <v>5</v>
      </c>
    </row>
    <row r="145" customFormat="false" ht="14.25" hidden="false" customHeight="true" outlineLevel="0" collapsed="false">
      <c r="B145" s="68" t="n">
        <v>2026</v>
      </c>
      <c r="C145" s="114" t="s">
        <v>3</v>
      </c>
      <c r="D145" s="68" t="s">
        <v>23</v>
      </c>
      <c r="E145" s="120" t="s">
        <v>154</v>
      </c>
      <c r="F145" s="129" t="n">
        <v>0</v>
      </c>
    </row>
    <row r="146" customFormat="false" ht="28.5" hidden="false" customHeight="true" outlineLevel="0" collapsed="false">
      <c r="B146" s="68" t="n">
        <v>2026</v>
      </c>
      <c r="C146" s="114" t="s">
        <v>3</v>
      </c>
      <c r="D146" s="68" t="s">
        <v>23</v>
      </c>
      <c r="E146" s="122" t="s">
        <v>156</v>
      </c>
      <c r="F146" s="130" t="n">
        <v>0</v>
      </c>
    </row>
    <row r="147" customFormat="false" ht="14.25" hidden="false" customHeight="true" outlineLevel="0" collapsed="false">
      <c r="B147" s="68" t="n">
        <v>2026</v>
      </c>
      <c r="C147" s="114" t="s">
        <v>5</v>
      </c>
      <c r="D147" s="68" t="s">
        <v>12</v>
      </c>
      <c r="E147" s="116" t="s">
        <v>151</v>
      </c>
      <c r="F147" s="129" t="n">
        <v>222</v>
      </c>
    </row>
    <row r="148" customFormat="false" ht="14.25" hidden="false" customHeight="true" outlineLevel="0" collapsed="false">
      <c r="B148" s="68" t="n">
        <v>2026</v>
      </c>
      <c r="C148" s="114" t="s">
        <v>5</v>
      </c>
      <c r="D148" s="68" t="s">
        <v>12</v>
      </c>
      <c r="E148" s="118" t="s">
        <v>153</v>
      </c>
      <c r="F148" s="130" t="n">
        <v>21</v>
      </c>
    </row>
    <row r="149" customFormat="false" ht="14.25" hidden="false" customHeight="true" outlineLevel="0" collapsed="false">
      <c r="B149" s="68" t="n">
        <v>2026</v>
      </c>
      <c r="C149" s="114" t="s">
        <v>5</v>
      </c>
      <c r="D149" s="68" t="s">
        <v>12</v>
      </c>
      <c r="E149" s="120" t="s">
        <v>154</v>
      </c>
      <c r="F149" s="129" t="n">
        <v>6</v>
      </c>
    </row>
    <row r="150" customFormat="false" ht="28.5" hidden="false" customHeight="true" outlineLevel="0" collapsed="false">
      <c r="B150" s="68" t="n">
        <v>2026</v>
      </c>
      <c r="C150" s="114" t="s">
        <v>5</v>
      </c>
      <c r="D150" s="68" t="s">
        <v>12</v>
      </c>
      <c r="E150" s="122" t="s">
        <v>156</v>
      </c>
      <c r="F150" s="130" t="n">
        <v>0</v>
      </c>
    </row>
    <row r="151" customFormat="false" ht="14.25" hidden="false" customHeight="true" outlineLevel="0" collapsed="false">
      <c r="B151" s="68" t="n">
        <v>2026</v>
      </c>
      <c r="C151" s="114" t="s">
        <v>5</v>
      </c>
      <c r="D151" s="68" t="s">
        <v>13</v>
      </c>
      <c r="E151" s="116" t="s">
        <v>151</v>
      </c>
      <c r="F151" s="129" t="n">
        <v>133</v>
      </c>
    </row>
    <row r="152" customFormat="false" ht="14.25" hidden="false" customHeight="true" outlineLevel="0" collapsed="false">
      <c r="B152" s="68" t="n">
        <v>2026</v>
      </c>
      <c r="C152" s="114" t="s">
        <v>5</v>
      </c>
      <c r="D152" s="68" t="s">
        <v>13</v>
      </c>
      <c r="E152" s="118" t="s">
        <v>153</v>
      </c>
      <c r="F152" s="130" t="n">
        <v>13</v>
      </c>
    </row>
    <row r="153" customFormat="false" ht="14.25" hidden="false" customHeight="true" outlineLevel="0" collapsed="false">
      <c r="B153" s="68" t="n">
        <v>2026</v>
      </c>
      <c r="C153" s="114" t="s">
        <v>5</v>
      </c>
      <c r="D153" s="68" t="s">
        <v>13</v>
      </c>
      <c r="E153" s="120" t="s">
        <v>154</v>
      </c>
      <c r="F153" s="129" t="n">
        <v>7</v>
      </c>
    </row>
    <row r="154" customFormat="false" ht="28.5" hidden="false" customHeight="true" outlineLevel="0" collapsed="false">
      <c r="B154" s="68" t="n">
        <v>2026</v>
      </c>
      <c r="C154" s="114" t="s">
        <v>5</v>
      </c>
      <c r="D154" s="68" t="s">
        <v>13</v>
      </c>
      <c r="E154" s="122" t="s">
        <v>156</v>
      </c>
      <c r="F154" s="130" t="n">
        <v>0</v>
      </c>
    </row>
    <row r="155" customFormat="false" ht="14.25" hidden="false" customHeight="true" outlineLevel="0" collapsed="false">
      <c r="B155" s="68" t="n">
        <v>2026</v>
      </c>
      <c r="C155" s="114" t="s">
        <v>5</v>
      </c>
      <c r="D155" s="68" t="s">
        <v>14</v>
      </c>
      <c r="E155" s="116" t="s">
        <v>151</v>
      </c>
      <c r="F155" s="129" t="n">
        <v>129</v>
      </c>
    </row>
    <row r="156" customFormat="false" ht="14.25" hidden="false" customHeight="true" outlineLevel="0" collapsed="false">
      <c r="B156" s="68" t="n">
        <v>2026</v>
      </c>
      <c r="C156" s="114" t="s">
        <v>5</v>
      </c>
      <c r="D156" s="68" t="s">
        <v>14</v>
      </c>
      <c r="E156" s="118" t="s">
        <v>153</v>
      </c>
      <c r="F156" s="130" t="n">
        <v>6</v>
      </c>
    </row>
    <row r="157" customFormat="false" ht="14.25" hidden="false" customHeight="true" outlineLevel="0" collapsed="false">
      <c r="B157" s="68" t="n">
        <v>2026</v>
      </c>
      <c r="C157" s="114" t="s">
        <v>5</v>
      </c>
      <c r="D157" s="68" t="s">
        <v>14</v>
      </c>
      <c r="E157" s="120" t="s">
        <v>154</v>
      </c>
      <c r="F157" s="129" t="n">
        <v>2</v>
      </c>
    </row>
    <row r="158" customFormat="false" ht="28.5" hidden="false" customHeight="true" outlineLevel="0" collapsed="false">
      <c r="B158" s="68" t="n">
        <v>2026</v>
      </c>
      <c r="C158" s="114" t="s">
        <v>5</v>
      </c>
      <c r="D158" s="68" t="s">
        <v>14</v>
      </c>
      <c r="E158" s="122" t="s">
        <v>156</v>
      </c>
      <c r="F158" s="130" t="n">
        <v>0</v>
      </c>
    </row>
    <row r="159" customFormat="false" ht="14.25" hidden="false" customHeight="true" outlineLevel="0" collapsed="false">
      <c r="B159" s="68" t="n">
        <v>2026</v>
      </c>
      <c r="C159" s="114" t="s">
        <v>5</v>
      </c>
      <c r="D159" s="68" t="s">
        <v>15</v>
      </c>
      <c r="E159" s="116" t="s">
        <v>151</v>
      </c>
      <c r="F159" s="129" t="n">
        <v>148</v>
      </c>
    </row>
    <row r="160" customFormat="false" ht="14.25" hidden="false" customHeight="true" outlineLevel="0" collapsed="false">
      <c r="B160" s="68" t="n">
        <v>2026</v>
      </c>
      <c r="C160" s="114" t="s">
        <v>5</v>
      </c>
      <c r="D160" s="68" t="s">
        <v>15</v>
      </c>
      <c r="E160" s="118" t="s">
        <v>153</v>
      </c>
      <c r="F160" s="130" t="n">
        <v>2</v>
      </c>
    </row>
    <row r="161" customFormat="false" ht="14.25" hidden="false" customHeight="true" outlineLevel="0" collapsed="false">
      <c r="B161" s="68" t="n">
        <v>2026</v>
      </c>
      <c r="C161" s="114" t="s">
        <v>5</v>
      </c>
      <c r="D161" s="68" t="s">
        <v>15</v>
      </c>
      <c r="E161" s="120" t="s">
        <v>154</v>
      </c>
      <c r="F161" s="129" t="n">
        <v>0</v>
      </c>
    </row>
    <row r="162" customFormat="false" ht="28.5" hidden="false" customHeight="true" outlineLevel="0" collapsed="false">
      <c r="B162" s="68" t="n">
        <v>2026</v>
      </c>
      <c r="C162" s="114" t="s">
        <v>5</v>
      </c>
      <c r="D162" s="68" t="s">
        <v>15</v>
      </c>
      <c r="E162" s="122" t="s">
        <v>156</v>
      </c>
      <c r="F162" s="130" t="n">
        <v>0</v>
      </c>
    </row>
    <row r="163" customFormat="false" ht="14.25" hidden="false" customHeight="true" outlineLevel="0" collapsed="false">
      <c r="B163" s="68" t="n">
        <v>2026</v>
      </c>
      <c r="C163" s="114" t="s">
        <v>5</v>
      </c>
      <c r="D163" s="68" t="s">
        <v>16</v>
      </c>
      <c r="E163" s="116" t="s">
        <v>151</v>
      </c>
      <c r="F163" s="129" t="n">
        <v>228</v>
      </c>
    </row>
    <row r="164" customFormat="false" ht="14.25" hidden="false" customHeight="true" outlineLevel="0" collapsed="false">
      <c r="B164" s="68" t="n">
        <v>2026</v>
      </c>
      <c r="C164" s="114" t="s">
        <v>5</v>
      </c>
      <c r="D164" s="68" t="s">
        <v>16</v>
      </c>
      <c r="E164" s="118" t="s">
        <v>153</v>
      </c>
      <c r="F164" s="130" t="n">
        <v>29</v>
      </c>
    </row>
    <row r="165" customFormat="false" ht="14.25" hidden="false" customHeight="true" outlineLevel="0" collapsed="false">
      <c r="B165" s="68" t="n">
        <v>2026</v>
      </c>
      <c r="C165" s="114" t="s">
        <v>5</v>
      </c>
      <c r="D165" s="68" t="s">
        <v>16</v>
      </c>
      <c r="E165" s="120" t="s">
        <v>154</v>
      </c>
      <c r="F165" s="129" t="n">
        <v>9</v>
      </c>
    </row>
    <row r="166" customFormat="false" ht="28.5" hidden="false" customHeight="true" outlineLevel="0" collapsed="false">
      <c r="B166" s="68" t="n">
        <v>2026</v>
      </c>
      <c r="C166" s="114" t="s">
        <v>5</v>
      </c>
      <c r="D166" s="68" t="s">
        <v>16</v>
      </c>
      <c r="E166" s="122" t="s">
        <v>156</v>
      </c>
      <c r="F166" s="130" t="n">
        <v>0</v>
      </c>
    </row>
    <row r="167" customFormat="false" ht="14.25" hidden="false" customHeight="true" outlineLevel="0" collapsed="false">
      <c r="B167" s="68" t="n">
        <v>2026</v>
      </c>
      <c r="C167" s="114" t="s">
        <v>5</v>
      </c>
      <c r="D167" s="68" t="s">
        <v>17</v>
      </c>
      <c r="E167" s="116" t="s">
        <v>151</v>
      </c>
      <c r="F167" s="129" t="n">
        <v>770</v>
      </c>
    </row>
    <row r="168" customFormat="false" ht="14.25" hidden="false" customHeight="true" outlineLevel="0" collapsed="false">
      <c r="B168" s="68" t="n">
        <v>2026</v>
      </c>
      <c r="C168" s="114" t="s">
        <v>5</v>
      </c>
      <c r="D168" s="68" t="s">
        <v>17</v>
      </c>
      <c r="E168" s="118" t="s">
        <v>153</v>
      </c>
      <c r="F168" s="130" t="n">
        <v>79</v>
      </c>
    </row>
    <row r="169" customFormat="false" ht="14.25" hidden="false" customHeight="true" outlineLevel="0" collapsed="false">
      <c r="B169" s="68" t="n">
        <v>2026</v>
      </c>
      <c r="C169" s="114" t="s">
        <v>5</v>
      </c>
      <c r="D169" s="68" t="s">
        <v>17</v>
      </c>
      <c r="E169" s="120" t="s">
        <v>154</v>
      </c>
      <c r="F169" s="129" t="n">
        <v>23</v>
      </c>
    </row>
    <row r="170" customFormat="false" ht="28.5" hidden="false" customHeight="true" outlineLevel="0" collapsed="false">
      <c r="B170" s="68" t="n">
        <v>2026</v>
      </c>
      <c r="C170" s="114" t="s">
        <v>5</v>
      </c>
      <c r="D170" s="68" t="s">
        <v>17</v>
      </c>
      <c r="E170" s="122" t="s">
        <v>156</v>
      </c>
      <c r="F170" s="130" t="n">
        <v>13</v>
      </c>
    </row>
    <row r="171" customFormat="false" ht="14.25" hidden="false" customHeight="true" outlineLevel="0" collapsed="false">
      <c r="B171" s="68" t="n">
        <v>2026</v>
      </c>
      <c r="C171" s="114" t="s">
        <v>5</v>
      </c>
      <c r="D171" s="68" t="s">
        <v>18</v>
      </c>
      <c r="E171" s="116" t="s">
        <v>151</v>
      </c>
      <c r="F171" s="129" t="n">
        <v>257</v>
      </c>
    </row>
    <row r="172" customFormat="false" ht="14.25" hidden="false" customHeight="true" outlineLevel="0" collapsed="false">
      <c r="B172" s="68" t="n">
        <v>2026</v>
      </c>
      <c r="C172" s="114" t="s">
        <v>5</v>
      </c>
      <c r="D172" s="68" t="s">
        <v>18</v>
      </c>
      <c r="E172" s="118" t="s">
        <v>153</v>
      </c>
      <c r="F172" s="130" t="n">
        <v>1</v>
      </c>
    </row>
    <row r="173" customFormat="false" ht="14.25" hidden="false" customHeight="true" outlineLevel="0" collapsed="false">
      <c r="B173" s="68" t="n">
        <v>2026</v>
      </c>
      <c r="C173" s="114" t="s">
        <v>5</v>
      </c>
      <c r="D173" s="68" t="s">
        <v>18</v>
      </c>
      <c r="E173" s="120" t="s">
        <v>154</v>
      </c>
      <c r="F173" s="129" t="n">
        <v>0</v>
      </c>
    </row>
    <row r="174" customFormat="false" ht="28.5" hidden="false" customHeight="true" outlineLevel="0" collapsed="false">
      <c r="B174" s="68" t="n">
        <v>2026</v>
      </c>
      <c r="C174" s="114" t="s">
        <v>5</v>
      </c>
      <c r="D174" s="68" t="s">
        <v>18</v>
      </c>
      <c r="E174" s="122" t="s">
        <v>156</v>
      </c>
      <c r="F174" s="130" t="n">
        <v>0</v>
      </c>
    </row>
    <row r="175" customFormat="false" ht="14.25" hidden="false" customHeight="true" outlineLevel="0" collapsed="false">
      <c r="B175" s="68" t="n">
        <v>2026</v>
      </c>
      <c r="C175" s="114" t="s">
        <v>5</v>
      </c>
      <c r="D175" s="68" t="s">
        <v>19</v>
      </c>
      <c r="E175" s="116" t="s">
        <v>151</v>
      </c>
      <c r="F175" s="129" t="n">
        <v>941</v>
      </c>
    </row>
    <row r="176" customFormat="false" ht="14.25" hidden="false" customHeight="true" outlineLevel="0" collapsed="false">
      <c r="B176" s="68" t="n">
        <v>2026</v>
      </c>
      <c r="C176" s="114" t="s">
        <v>5</v>
      </c>
      <c r="D176" s="68" t="s">
        <v>19</v>
      </c>
      <c r="E176" s="118" t="s">
        <v>153</v>
      </c>
      <c r="F176" s="130" t="n">
        <v>6</v>
      </c>
    </row>
    <row r="177" customFormat="false" ht="14.25" hidden="false" customHeight="true" outlineLevel="0" collapsed="false">
      <c r="B177" s="68" t="n">
        <v>2026</v>
      </c>
      <c r="C177" s="114" t="s">
        <v>5</v>
      </c>
      <c r="D177" s="68" t="s">
        <v>19</v>
      </c>
      <c r="E177" s="120" t="s">
        <v>154</v>
      </c>
      <c r="F177" s="129" t="n">
        <v>0</v>
      </c>
    </row>
    <row r="178" customFormat="false" ht="28.5" hidden="false" customHeight="true" outlineLevel="0" collapsed="false">
      <c r="B178" s="68" t="n">
        <v>2026</v>
      </c>
      <c r="C178" s="114" t="s">
        <v>5</v>
      </c>
      <c r="D178" s="68" t="s">
        <v>19</v>
      </c>
      <c r="E178" s="122" t="s">
        <v>156</v>
      </c>
      <c r="F178" s="130" t="n">
        <v>0</v>
      </c>
    </row>
    <row r="179" customFormat="false" ht="14.25" hidden="false" customHeight="true" outlineLevel="0" collapsed="false">
      <c r="B179" s="68" t="n">
        <v>2026</v>
      </c>
      <c r="C179" s="114" t="s">
        <v>5</v>
      </c>
      <c r="D179" s="68" t="s">
        <v>20</v>
      </c>
      <c r="E179" s="116" t="s">
        <v>151</v>
      </c>
      <c r="F179" s="129" t="n">
        <v>1082</v>
      </c>
    </row>
    <row r="180" customFormat="false" ht="14.25" hidden="false" customHeight="true" outlineLevel="0" collapsed="false">
      <c r="B180" s="68" t="n">
        <v>2026</v>
      </c>
      <c r="C180" s="114" t="s">
        <v>5</v>
      </c>
      <c r="D180" s="68" t="s">
        <v>20</v>
      </c>
      <c r="E180" s="118" t="s">
        <v>153</v>
      </c>
      <c r="F180" s="130" t="n">
        <v>16</v>
      </c>
    </row>
    <row r="181" customFormat="false" ht="14.25" hidden="false" customHeight="true" outlineLevel="0" collapsed="false">
      <c r="B181" s="68" t="n">
        <v>2026</v>
      </c>
      <c r="C181" s="114" t="s">
        <v>5</v>
      </c>
      <c r="D181" s="68" t="s">
        <v>20</v>
      </c>
      <c r="E181" s="120" t="s">
        <v>154</v>
      </c>
      <c r="F181" s="129" t="n">
        <v>3</v>
      </c>
    </row>
    <row r="182" customFormat="false" ht="28.5" hidden="false" customHeight="true" outlineLevel="0" collapsed="false">
      <c r="B182" s="68" t="n">
        <v>2026</v>
      </c>
      <c r="C182" s="114" t="s">
        <v>5</v>
      </c>
      <c r="D182" s="68" t="s">
        <v>20</v>
      </c>
      <c r="E182" s="122" t="s">
        <v>156</v>
      </c>
      <c r="F182" s="130" t="n">
        <v>0</v>
      </c>
    </row>
    <row r="183" customFormat="false" ht="14.25" hidden="false" customHeight="true" outlineLevel="0" collapsed="false">
      <c r="B183" s="68" t="n">
        <v>2026</v>
      </c>
      <c r="C183" s="114" t="s">
        <v>5</v>
      </c>
      <c r="D183" s="68" t="s">
        <v>21</v>
      </c>
      <c r="E183" s="116" t="s">
        <v>151</v>
      </c>
      <c r="F183" s="129" t="n">
        <v>1218</v>
      </c>
    </row>
    <row r="184" customFormat="false" ht="14.25" hidden="false" customHeight="true" outlineLevel="0" collapsed="false">
      <c r="B184" s="68" t="n">
        <v>2026</v>
      </c>
      <c r="C184" s="114" t="s">
        <v>5</v>
      </c>
      <c r="D184" s="68" t="s">
        <v>21</v>
      </c>
      <c r="E184" s="118" t="s">
        <v>153</v>
      </c>
      <c r="F184" s="130" t="n">
        <v>3</v>
      </c>
    </row>
    <row r="185" customFormat="false" ht="14.25" hidden="false" customHeight="true" outlineLevel="0" collapsed="false">
      <c r="B185" s="68" t="n">
        <v>2026</v>
      </c>
      <c r="C185" s="114" t="s">
        <v>5</v>
      </c>
      <c r="D185" s="68" t="s">
        <v>21</v>
      </c>
      <c r="E185" s="120" t="s">
        <v>154</v>
      </c>
      <c r="F185" s="129" t="n">
        <v>8</v>
      </c>
    </row>
    <row r="186" customFormat="false" ht="28.5" hidden="false" customHeight="true" outlineLevel="0" collapsed="false">
      <c r="B186" s="68" t="n">
        <v>2026</v>
      </c>
      <c r="C186" s="114" t="s">
        <v>5</v>
      </c>
      <c r="D186" s="68" t="s">
        <v>21</v>
      </c>
      <c r="E186" s="122" t="s">
        <v>156</v>
      </c>
      <c r="F186" s="130" t="n">
        <v>0</v>
      </c>
    </row>
    <row r="187" customFormat="false" ht="14.25" hidden="false" customHeight="true" outlineLevel="0" collapsed="false">
      <c r="B187" s="68" t="n">
        <v>2026</v>
      </c>
      <c r="C187" s="114" t="s">
        <v>5</v>
      </c>
      <c r="D187" s="68" t="s">
        <v>22</v>
      </c>
      <c r="E187" s="116" t="s">
        <v>151</v>
      </c>
      <c r="F187" s="129" t="n">
        <v>261</v>
      </c>
    </row>
    <row r="188" customFormat="false" ht="14.25" hidden="false" customHeight="true" outlineLevel="0" collapsed="false">
      <c r="B188" s="68" t="n">
        <v>2026</v>
      </c>
      <c r="C188" s="114" t="s">
        <v>5</v>
      </c>
      <c r="D188" s="68" t="s">
        <v>22</v>
      </c>
      <c r="E188" s="118" t="s">
        <v>153</v>
      </c>
      <c r="F188" s="130" t="n">
        <v>19</v>
      </c>
    </row>
    <row r="189" customFormat="false" ht="14.25" hidden="false" customHeight="true" outlineLevel="0" collapsed="false">
      <c r="B189" s="68" t="n">
        <v>2026</v>
      </c>
      <c r="C189" s="114" t="s">
        <v>5</v>
      </c>
      <c r="D189" s="68" t="s">
        <v>22</v>
      </c>
      <c r="E189" s="120" t="s">
        <v>154</v>
      </c>
      <c r="F189" s="129" t="n">
        <v>3</v>
      </c>
    </row>
    <row r="190" customFormat="false" ht="28.5" hidden="false" customHeight="true" outlineLevel="0" collapsed="false">
      <c r="B190" s="68" t="n">
        <v>2026</v>
      </c>
      <c r="C190" s="114" t="s">
        <v>5</v>
      </c>
      <c r="D190" s="68" t="s">
        <v>22</v>
      </c>
      <c r="E190" s="122" t="s">
        <v>156</v>
      </c>
      <c r="F190" s="130" t="n">
        <v>10</v>
      </c>
    </row>
    <row r="191" customFormat="false" ht="14.25" hidden="false" customHeight="true" outlineLevel="0" collapsed="false">
      <c r="B191" s="68" t="n">
        <v>2026</v>
      </c>
      <c r="C191" s="114" t="s">
        <v>5</v>
      </c>
      <c r="D191" s="68" t="s">
        <v>23</v>
      </c>
      <c r="E191" s="116" t="s">
        <v>151</v>
      </c>
      <c r="F191" s="129" t="n">
        <v>25</v>
      </c>
    </row>
    <row r="192" customFormat="false" ht="14.25" hidden="false" customHeight="true" outlineLevel="0" collapsed="false">
      <c r="B192" s="68" t="n">
        <v>2026</v>
      </c>
      <c r="C192" s="114" t="s">
        <v>5</v>
      </c>
      <c r="D192" s="68" t="s">
        <v>23</v>
      </c>
      <c r="E192" s="118" t="s">
        <v>153</v>
      </c>
      <c r="F192" s="130" t="n">
        <v>1</v>
      </c>
    </row>
    <row r="193" customFormat="false" ht="14.25" hidden="false" customHeight="true" outlineLevel="0" collapsed="false">
      <c r="B193" s="68" t="n">
        <v>2026</v>
      </c>
      <c r="C193" s="114" t="s">
        <v>5</v>
      </c>
      <c r="D193" s="68" t="s">
        <v>23</v>
      </c>
      <c r="E193" s="120" t="s">
        <v>154</v>
      </c>
      <c r="F193" s="129" t="n">
        <v>0</v>
      </c>
    </row>
    <row r="194" customFormat="false" ht="28.5" hidden="false" customHeight="true" outlineLevel="0" collapsed="false">
      <c r="B194" s="68" t="n">
        <v>2026</v>
      </c>
      <c r="C194" s="114" t="s">
        <v>5</v>
      </c>
      <c r="D194" s="68" t="s">
        <v>23</v>
      </c>
      <c r="E194" s="122" t="s">
        <v>156</v>
      </c>
      <c r="F194" s="130" t="n">
        <v>13</v>
      </c>
    </row>
    <row r="195" customFormat="false" ht="14.25" hidden="false" customHeight="true" outlineLevel="0" collapsed="false">
      <c r="B195" s="68" t="n">
        <v>2026</v>
      </c>
      <c r="C195" s="114" t="s">
        <v>6</v>
      </c>
      <c r="D195" s="68" t="s">
        <v>12</v>
      </c>
      <c r="E195" s="116" t="s">
        <v>151</v>
      </c>
      <c r="F195" s="129" t="n">
        <v>295</v>
      </c>
    </row>
    <row r="196" customFormat="false" ht="14.25" hidden="false" customHeight="true" outlineLevel="0" collapsed="false">
      <c r="B196" s="68" t="n">
        <v>2026</v>
      </c>
      <c r="C196" s="114" t="s">
        <v>6</v>
      </c>
      <c r="D196" s="68" t="s">
        <v>12</v>
      </c>
      <c r="E196" s="118" t="s">
        <v>153</v>
      </c>
      <c r="F196" s="130" t="n">
        <v>7</v>
      </c>
    </row>
    <row r="197" customFormat="false" ht="14.25" hidden="false" customHeight="true" outlineLevel="0" collapsed="false">
      <c r="B197" s="68" t="n">
        <v>2026</v>
      </c>
      <c r="C197" s="114" t="s">
        <v>6</v>
      </c>
      <c r="D197" s="68" t="s">
        <v>12</v>
      </c>
      <c r="E197" s="120" t="s">
        <v>154</v>
      </c>
      <c r="F197" s="129" t="n">
        <v>9</v>
      </c>
    </row>
    <row r="198" customFormat="false" ht="28.5" hidden="false" customHeight="true" outlineLevel="0" collapsed="false">
      <c r="B198" s="68" t="n">
        <v>2026</v>
      </c>
      <c r="C198" s="114" t="s">
        <v>6</v>
      </c>
      <c r="D198" s="68" t="s">
        <v>12</v>
      </c>
      <c r="E198" s="122" t="s">
        <v>156</v>
      </c>
      <c r="F198" s="130" t="n">
        <v>0</v>
      </c>
    </row>
    <row r="199" customFormat="false" ht="14.25" hidden="false" customHeight="true" outlineLevel="0" collapsed="false">
      <c r="B199" s="68" t="n">
        <v>2026</v>
      </c>
      <c r="C199" s="114" t="s">
        <v>6</v>
      </c>
      <c r="D199" s="68" t="s">
        <v>13</v>
      </c>
      <c r="E199" s="116" t="s">
        <v>151</v>
      </c>
      <c r="F199" s="129" t="n">
        <v>117</v>
      </c>
    </row>
    <row r="200" customFormat="false" ht="14.25" hidden="false" customHeight="true" outlineLevel="0" collapsed="false">
      <c r="B200" s="68" t="n">
        <v>2026</v>
      </c>
      <c r="C200" s="114" t="s">
        <v>6</v>
      </c>
      <c r="D200" s="68" t="s">
        <v>13</v>
      </c>
      <c r="E200" s="118" t="s">
        <v>153</v>
      </c>
      <c r="F200" s="130" t="n">
        <v>7</v>
      </c>
    </row>
    <row r="201" customFormat="false" ht="14.25" hidden="false" customHeight="true" outlineLevel="0" collapsed="false">
      <c r="B201" s="68" t="n">
        <v>2026</v>
      </c>
      <c r="C201" s="114" t="s">
        <v>6</v>
      </c>
      <c r="D201" s="68" t="s">
        <v>13</v>
      </c>
      <c r="E201" s="120" t="s">
        <v>154</v>
      </c>
      <c r="F201" s="129" t="n">
        <v>5</v>
      </c>
    </row>
    <row r="202" customFormat="false" ht="28.5" hidden="false" customHeight="true" outlineLevel="0" collapsed="false">
      <c r="B202" s="68" t="n">
        <v>2026</v>
      </c>
      <c r="C202" s="114" t="s">
        <v>6</v>
      </c>
      <c r="D202" s="68" t="s">
        <v>13</v>
      </c>
      <c r="E202" s="122" t="s">
        <v>156</v>
      </c>
      <c r="F202" s="130" t="n">
        <v>0</v>
      </c>
    </row>
    <row r="203" customFormat="false" ht="14.25" hidden="false" customHeight="true" outlineLevel="0" collapsed="false">
      <c r="B203" s="68" t="n">
        <v>2026</v>
      </c>
      <c r="C203" s="114" t="s">
        <v>6</v>
      </c>
      <c r="D203" s="68" t="s">
        <v>14</v>
      </c>
      <c r="E203" s="116" t="s">
        <v>151</v>
      </c>
      <c r="F203" s="129" t="n">
        <v>90</v>
      </c>
    </row>
    <row r="204" customFormat="false" ht="14.25" hidden="false" customHeight="true" outlineLevel="0" collapsed="false">
      <c r="B204" s="68" t="n">
        <v>2026</v>
      </c>
      <c r="C204" s="114" t="s">
        <v>6</v>
      </c>
      <c r="D204" s="68" t="s">
        <v>14</v>
      </c>
      <c r="E204" s="118" t="s">
        <v>153</v>
      </c>
      <c r="F204" s="130" t="n">
        <v>1</v>
      </c>
    </row>
    <row r="205" customFormat="false" ht="14.25" hidden="false" customHeight="true" outlineLevel="0" collapsed="false">
      <c r="B205" s="68" t="n">
        <v>2026</v>
      </c>
      <c r="C205" s="114" t="s">
        <v>6</v>
      </c>
      <c r="D205" s="68" t="s">
        <v>14</v>
      </c>
      <c r="E205" s="120" t="s">
        <v>154</v>
      </c>
      <c r="F205" s="129" t="n">
        <v>0</v>
      </c>
    </row>
    <row r="206" customFormat="false" ht="28.5" hidden="false" customHeight="true" outlineLevel="0" collapsed="false">
      <c r="B206" s="68" t="n">
        <v>2026</v>
      </c>
      <c r="C206" s="114" t="s">
        <v>6</v>
      </c>
      <c r="D206" s="68" t="s">
        <v>14</v>
      </c>
      <c r="E206" s="122" t="s">
        <v>156</v>
      </c>
      <c r="F206" s="130" t="n">
        <v>0</v>
      </c>
    </row>
    <row r="207" customFormat="false" ht="14.25" hidden="false" customHeight="true" outlineLevel="0" collapsed="false">
      <c r="B207" s="68" t="n">
        <v>2026</v>
      </c>
      <c r="C207" s="114" t="s">
        <v>6</v>
      </c>
      <c r="D207" s="68" t="s">
        <v>15</v>
      </c>
      <c r="E207" s="116" t="s">
        <v>151</v>
      </c>
      <c r="F207" s="129" t="n">
        <v>231</v>
      </c>
    </row>
    <row r="208" customFormat="false" ht="14.25" hidden="false" customHeight="true" outlineLevel="0" collapsed="false">
      <c r="B208" s="68" t="n">
        <v>2026</v>
      </c>
      <c r="C208" s="114" t="s">
        <v>6</v>
      </c>
      <c r="D208" s="68" t="s">
        <v>15</v>
      </c>
      <c r="E208" s="118" t="s">
        <v>153</v>
      </c>
      <c r="F208" s="130" t="n">
        <v>9</v>
      </c>
    </row>
    <row r="209" customFormat="false" ht="14.25" hidden="false" customHeight="true" outlineLevel="0" collapsed="false">
      <c r="B209" s="68" t="n">
        <v>2026</v>
      </c>
      <c r="C209" s="114" t="s">
        <v>6</v>
      </c>
      <c r="D209" s="68" t="s">
        <v>15</v>
      </c>
      <c r="E209" s="120" t="s">
        <v>154</v>
      </c>
      <c r="F209" s="129" t="n">
        <v>2</v>
      </c>
    </row>
    <row r="210" customFormat="false" ht="28.5" hidden="false" customHeight="true" outlineLevel="0" collapsed="false">
      <c r="B210" s="68" t="n">
        <v>2026</v>
      </c>
      <c r="C210" s="114" t="s">
        <v>6</v>
      </c>
      <c r="D210" s="68" t="s">
        <v>15</v>
      </c>
      <c r="E210" s="122" t="s">
        <v>156</v>
      </c>
      <c r="F210" s="130" t="n">
        <v>22</v>
      </c>
    </row>
    <row r="211" customFormat="false" ht="14.25" hidden="false" customHeight="true" outlineLevel="0" collapsed="false">
      <c r="B211" s="68" t="n">
        <v>2026</v>
      </c>
      <c r="C211" s="114" t="s">
        <v>6</v>
      </c>
      <c r="D211" s="68" t="s">
        <v>16</v>
      </c>
      <c r="E211" s="116" t="s">
        <v>151</v>
      </c>
      <c r="F211" s="129" t="n">
        <v>204</v>
      </c>
    </row>
    <row r="212" customFormat="false" ht="14.25" hidden="false" customHeight="true" outlineLevel="0" collapsed="false">
      <c r="B212" s="68" t="n">
        <v>2026</v>
      </c>
      <c r="C212" s="114" t="s">
        <v>6</v>
      </c>
      <c r="D212" s="68" t="s">
        <v>16</v>
      </c>
      <c r="E212" s="118" t="s">
        <v>153</v>
      </c>
      <c r="F212" s="130" t="n">
        <v>24</v>
      </c>
    </row>
    <row r="213" customFormat="false" ht="14.25" hidden="false" customHeight="true" outlineLevel="0" collapsed="false">
      <c r="B213" s="68" t="n">
        <v>2026</v>
      </c>
      <c r="C213" s="114" t="s">
        <v>6</v>
      </c>
      <c r="D213" s="68" t="s">
        <v>16</v>
      </c>
      <c r="E213" s="120" t="s">
        <v>154</v>
      </c>
      <c r="F213" s="129" t="n">
        <v>11</v>
      </c>
    </row>
    <row r="214" customFormat="false" ht="28.5" hidden="false" customHeight="true" outlineLevel="0" collapsed="false">
      <c r="B214" s="68" t="n">
        <v>2026</v>
      </c>
      <c r="C214" s="114" t="s">
        <v>6</v>
      </c>
      <c r="D214" s="68" t="s">
        <v>16</v>
      </c>
      <c r="E214" s="122" t="s">
        <v>156</v>
      </c>
      <c r="F214" s="130" t="n">
        <v>0</v>
      </c>
    </row>
    <row r="215" customFormat="false" ht="14.25" hidden="false" customHeight="true" outlineLevel="0" collapsed="false">
      <c r="B215" s="68" t="n">
        <v>2026</v>
      </c>
      <c r="C215" s="114" t="s">
        <v>6</v>
      </c>
      <c r="D215" s="68" t="s">
        <v>17</v>
      </c>
      <c r="E215" s="116" t="s">
        <v>151</v>
      </c>
      <c r="F215" s="129" t="n">
        <v>535</v>
      </c>
    </row>
    <row r="216" customFormat="false" ht="14.25" hidden="false" customHeight="true" outlineLevel="0" collapsed="false">
      <c r="B216" s="68" t="n">
        <v>2026</v>
      </c>
      <c r="C216" s="114" t="s">
        <v>6</v>
      </c>
      <c r="D216" s="68" t="s">
        <v>17</v>
      </c>
      <c r="E216" s="118" t="s">
        <v>153</v>
      </c>
      <c r="F216" s="130" t="n">
        <v>70</v>
      </c>
    </row>
    <row r="217" customFormat="false" ht="14.25" hidden="false" customHeight="true" outlineLevel="0" collapsed="false">
      <c r="B217" s="68" t="n">
        <v>2026</v>
      </c>
      <c r="C217" s="114" t="s">
        <v>6</v>
      </c>
      <c r="D217" s="68" t="s">
        <v>17</v>
      </c>
      <c r="E217" s="120" t="s">
        <v>154</v>
      </c>
      <c r="F217" s="129" t="n">
        <v>14</v>
      </c>
    </row>
    <row r="218" customFormat="false" ht="28.5" hidden="false" customHeight="true" outlineLevel="0" collapsed="false">
      <c r="B218" s="68" t="n">
        <v>2026</v>
      </c>
      <c r="C218" s="114" t="s">
        <v>6</v>
      </c>
      <c r="D218" s="68" t="s">
        <v>17</v>
      </c>
      <c r="E218" s="122" t="s">
        <v>156</v>
      </c>
      <c r="F218" s="130" t="n">
        <v>0</v>
      </c>
    </row>
    <row r="219" customFormat="false" ht="14.25" hidden="false" customHeight="true" outlineLevel="0" collapsed="false">
      <c r="B219" s="68" t="n">
        <v>2026</v>
      </c>
      <c r="C219" s="114" t="s">
        <v>6</v>
      </c>
      <c r="D219" s="68" t="s">
        <v>18</v>
      </c>
      <c r="E219" s="116" t="s">
        <v>151</v>
      </c>
      <c r="F219" s="129" t="n">
        <v>311</v>
      </c>
    </row>
    <row r="220" customFormat="false" ht="14.25" hidden="false" customHeight="true" outlineLevel="0" collapsed="false">
      <c r="B220" s="68" t="n">
        <v>2026</v>
      </c>
      <c r="C220" s="114" t="s">
        <v>6</v>
      </c>
      <c r="D220" s="68" t="s">
        <v>18</v>
      </c>
      <c r="E220" s="118" t="s">
        <v>153</v>
      </c>
      <c r="F220" s="130" t="n">
        <v>4</v>
      </c>
    </row>
    <row r="221" customFormat="false" ht="14.25" hidden="false" customHeight="true" outlineLevel="0" collapsed="false">
      <c r="B221" s="68" t="n">
        <v>2026</v>
      </c>
      <c r="C221" s="114" t="s">
        <v>6</v>
      </c>
      <c r="D221" s="68" t="s">
        <v>18</v>
      </c>
      <c r="E221" s="120" t="s">
        <v>154</v>
      </c>
      <c r="F221" s="129" t="n">
        <v>1</v>
      </c>
    </row>
    <row r="222" customFormat="false" ht="28.5" hidden="false" customHeight="true" outlineLevel="0" collapsed="false">
      <c r="B222" s="68" t="n">
        <v>2026</v>
      </c>
      <c r="C222" s="114" t="s">
        <v>6</v>
      </c>
      <c r="D222" s="68" t="s">
        <v>18</v>
      </c>
      <c r="E222" s="122" t="s">
        <v>156</v>
      </c>
      <c r="F222" s="130" t="n">
        <v>0</v>
      </c>
    </row>
    <row r="223" customFormat="false" ht="14.25" hidden="false" customHeight="true" outlineLevel="0" collapsed="false">
      <c r="B223" s="68" t="n">
        <v>2026</v>
      </c>
      <c r="C223" s="114" t="s">
        <v>6</v>
      </c>
      <c r="D223" s="68" t="s">
        <v>19</v>
      </c>
      <c r="E223" s="116" t="s">
        <v>151</v>
      </c>
      <c r="F223" s="129" t="n">
        <v>122</v>
      </c>
    </row>
    <row r="224" customFormat="false" ht="14.25" hidden="false" customHeight="true" outlineLevel="0" collapsed="false">
      <c r="B224" s="68" t="n">
        <v>2026</v>
      </c>
      <c r="C224" s="114" t="s">
        <v>6</v>
      </c>
      <c r="D224" s="68" t="s">
        <v>19</v>
      </c>
      <c r="E224" s="118" t="s">
        <v>153</v>
      </c>
      <c r="F224" s="130" t="n">
        <v>29</v>
      </c>
    </row>
    <row r="225" customFormat="false" ht="14.25" hidden="false" customHeight="true" outlineLevel="0" collapsed="false">
      <c r="B225" s="68" t="n">
        <v>2026</v>
      </c>
      <c r="C225" s="114" t="s">
        <v>6</v>
      </c>
      <c r="D225" s="68" t="s">
        <v>19</v>
      </c>
      <c r="E225" s="120" t="s">
        <v>154</v>
      </c>
      <c r="F225" s="129" t="n">
        <v>4</v>
      </c>
    </row>
    <row r="226" customFormat="false" ht="28.5" hidden="false" customHeight="true" outlineLevel="0" collapsed="false">
      <c r="B226" s="68" t="n">
        <v>2026</v>
      </c>
      <c r="C226" s="114" t="s">
        <v>6</v>
      </c>
      <c r="D226" s="68" t="s">
        <v>19</v>
      </c>
      <c r="E226" s="122" t="s">
        <v>156</v>
      </c>
      <c r="F226" s="130" t="n">
        <v>0</v>
      </c>
    </row>
    <row r="227" customFormat="false" ht="14.25" hidden="false" customHeight="true" outlineLevel="0" collapsed="false">
      <c r="B227" s="68" t="n">
        <v>2026</v>
      </c>
      <c r="C227" s="114" t="s">
        <v>6</v>
      </c>
      <c r="D227" s="68" t="s">
        <v>20</v>
      </c>
      <c r="E227" s="116" t="s">
        <v>151</v>
      </c>
      <c r="F227" s="129" t="n">
        <v>980</v>
      </c>
    </row>
    <row r="228" customFormat="false" ht="14.25" hidden="false" customHeight="true" outlineLevel="0" collapsed="false">
      <c r="B228" s="68" t="n">
        <v>2026</v>
      </c>
      <c r="C228" s="114" t="s">
        <v>6</v>
      </c>
      <c r="D228" s="68" t="s">
        <v>20</v>
      </c>
      <c r="E228" s="118" t="s">
        <v>153</v>
      </c>
      <c r="F228" s="130" t="n">
        <v>28</v>
      </c>
    </row>
    <row r="229" customFormat="false" ht="14.25" hidden="false" customHeight="true" outlineLevel="0" collapsed="false">
      <c r="B229" s="68" t="n">
        <v>2026</v>
      </c>
      <c r="C229" s="114" t="s">
        <v>6</v>
      </c>
      <c r="D229" s="68" t="s">
        <v>20</v>
      </c>
      <c r="E229" s="120" t="s">
        <v>154</v>
      </c>
      <c r="F229" s="129" t="n">
        <v>5</v>
      </c>
    </row>
    <row r="230" customFormat="false" ht="28.5" hidden="false" customHeight="true" outlineLevel="0" collapsed="false">
      <c r="B230" s="68" t="n">
        <v>2026</v>
      </c>
      <c r="C230" s="114" t="s">
        <v>6</v>
      </c>
      <c r="D230" s="68" t="s">
        <v>20</v>
      </c>
      <c r="E230" s="122" t="s">
        <v>156</v>
      </c>
      <c r="F230" s="130" t="n">
        <v>0</v>
      </c>
    </row>
    <row r="231" customFormat="false" ht="14.25" hidden="false" customHeight="true" outlineLevel="0" collapsed="false">
      <c r="B231" s="68" t="n">
        <v>2026</v>
      </c>
      <c r="C231" s="114" t="s">
        <v>6</v>
      </c>
      <c r="D231" s="68" t="s">
        <v>21</v>
      </c>
      <c r="E231" s="116" t="s">
        <v>151</v>
      </c>
      <c r="F231" s="129" t="n">
        <v>342</v>
      </c>
    </row>
    <row r="232" customFormat="false" ht="14.25" hidden="false" customHeight="true" outlineLevel="0" collapsed="false">
      <c r="B232" s="68" t="n">
        <v>2026</v>
      </c>
      <c r="C232" s="114" t="s">
        <v>6</v>
      </c>
      <c r="D232" s="68" t="s">
        <v>21</v>
      </c>
      <c r="E232" s="118" t="s">
        <v>153</v>
      </c>
      <c r="F232" s="130" t="n">
        <v>4</v>
      </c>
    </row>
    <row r="233" customFormat="false" ht="14.25" hidden="false" customHeight="true" outlineLevel="0" collapsed="false">
      <c r="B233" s="68" t="n">
        <v>2026</v>
      </c>
      <c r="C233" s="114" t="s">
        <v>6</v>
      </c>
      <c r="D233" s="68" t="s">
        <v>21</v>
      </c>
      <c r="E233" s="120" t="s">
        <v>154</v>
      </c>
      <c r="F233" s="129" t="n">
        <v>10</v>
      </c>
    </row>
    <row r="234" customFormat="false" ht="28.5" hidden="false" customHeight="true" outlineLevel="0" collapsed="false">
      <c r="B234" s="68" t="n">
        <v>2026</v>
      </c>
      <c r="C234" s="114" t="s">
        <v>6</v>
      </c>
      <c r="D234" s="68" t="s">
        <v>21</v>
      </c>
      <c r="E234" s="122" t="s">
        <v>156</v>
      </c>
      <c r="F234" s="130" t="n">
        <v>0</v>
      </c>
    </row>
    <row r="235" customFormat="false" ht="14.25" hidden="false" customHeight="true" outlineLevel="0" collapsed="false">
      <c r="B235" s="68" t="n">
        <v>2026</v>
      </c>
      <c r="C235" s="114" t="s">
        <v>6</v>
      </c>
      <c r="D235" s="68" t="s">
        <v>22</v>
      </c>
      <c r="E235" s="116" t="s">
        <v>151</v>
      </c>
      <c r="F235" s="129" t="n">
        <v>172</v>
      </c>
    </row>
    <row r="236" customFormat="false" ht="14.25" hidden="false" customHeight="true" outlineLevel="0" collapsed="false">
      <c r="B236" s="68" t="n">
        <v>2026</v>
      </c>
      <c r="C236" s="114" t="s">
        <v>6</v>
      </c>
      <c r="D236" s="68" t="s">
        <v>22</v>
      </c>
      <c r="E236" s="118" t="s">
        <v>153</v>
      </c>
      <c r="F236" s="130" t="n">
        <v>27</v>
      </c>
    </row>
    <row r="237" customFormat="false" ht="14.25" hidden="false" customHeight="true" outlineLevel="0" collapsed="false">
      <c r="B237" s="68" t="n">
        <v>2026</v>
      </c>
      <c r="C237" s="114" t="s">
        <v>6</v>
      </c>
      <c r="D237" s="68" t="s">
        <v>22</v>
      </c>
      <c r="E237" s="120" t="s">
        <v>154</v>
      </c>
      <c r="F237" s="129" t="n">
        <v>5</v>
      </c>
    </row>
    <row r="238" customFormat="false" ht="28.5" hidden="false" customHeight="true" outlineLevel="0" collapsed="false">
      <c r="B238" s="68" t="n">
        <v>2026</v>
      </c>
      <c r="C238" s="114" t="s">
        <v>6</v>
      </c>
      <c r="D238" s="68" t="s">
        <v>22</v>
      </c>
      <c r="E238" s="122" t="s">
        <v>156</v>
      </c>
      <c r="F238" s="130" t="n">
        <v>23</v>
      </c>
    </row>
    <row r="239" customFormat="false" ht="14.25" hidden="false" customHeight="true" outlineLevel="0" collapsed="false">
      <c r="B239" s="68" t="n">
        <v>2026</v>
      </c>
      <c r="C239" s="114" t="s">
        <v>6</v>
      </c>
      <c r="D239" s="68" t="s">
        <v>23</v>
      </c>
      <c r="E239" s="116" t="s">
        <v>151</v>
      </c>
      <c r="F239" s="129" t="n">
        <v>22</v>
      </c>
    </row>
    <row r="240" customFormat="false" ht="14.25" hidden="false" customHeight="true" outlineLevel="0" collapsed="false">
      <c r="B240" s="68" t="n">
        <v>2026</v>
      </c>
      <c r="C240" s="114" t="s">
        <v>6</v>
      </c>
      <c r="D240" s="68" t="s">
        <v>23</v>
      </c>
      <c r="E240" s="118" t="s">
        <v>153</v>
      </c>
      <c r="F240" s="130" t="n">
        <v>1</v>
      </c>
    </row>
    <row r="241" customFormat="false" ht="14.25" hidden="false" customHeight="true" outlineLevel="0" collapsed="false">
      <c r="B241" s="68" t="n">
        <v>2026</v>
      </c>
      <c r="C241" s="114" t="s">
        <v>6</v>
      </c>
      <c r="D241" s="68" t="s">
        <v>23</v>
      </c>
      <c r="E241" s="120" t="s">
        <v>154</v>
      </c>
      <c r="F241" s="129" t="n">
        <v>1</v>
      </c>
    </row>
    <row r="242" customFormat="false" ht="28.5" hidden="false" customHeight="true" outlineLevel="0" collapsed="false">
      <c r="B242" s="68" t="n">
        <v>2026</v>
      </c>
      <c r="C242" s="114" t="s">
        <v>6</v>
      </c>
      <c r="D242" s="68" t="s">
        <v>23</v>
      </c>
      <c r="E242" s="122" t="s">
        <v>156</v>
      </c>
      <c r="F242" s="130" t="n">
        <v>0</v>
      </c>
    </row>
    <row r="243" customFormat="false" ht="14.25" hidden="false" customHeight="true" outlineLevel="0" collapsed="false">
      <c r="B243" s="68" t="n">
        <v>2026</v>
      </c>
      <c r="C243" s="114" t="s">
        <v>7</v>
      </c>
      <c r="D243" s="68" t="s">
        <v>12</v>
      </c>
      <c r="E243" s="116" t="s">
        <v>151</v>
      </c>
      <c r="F243" s="129" t="n">
        <v>481</v>
      </c>
    </row>
    <row r="244" customFormat="false" ht="14.25" hidden="false" customHeight="true" outlineLevel="0" collapsed="false">
      <c r="B244" s="68" t="n">
        <v>2026</v>
      </c>
      <c r="C244" s="114" t="s">
        <v>7</v>
      </c>
      <c r="D244" s="68" t="s">
        <v>12</v>
      </c>
      <c r="E244" s="118" t="s">
        <v>153</v>
      </c>
      <c r="F244" s="130" t="n">
        <v>12</v>
      </c>
    </row>
    <row r="245" customFormat="false" ht="14.25" hidden="false" customHeight="true" outlineLevel="0" collapsed="false">
      <c r="B245" s="68" t="n">
        <v>2026</v>
      </c>
      <c r="C245" s="114" t="s">
        <v>7</v>
      </c>
      <c r="D245" s="68" t="s">
        <v>12</v>
      </c>
      <c r="E245" s="120" t="s">
        <v>154</v>
      </c>
      <c r="F245" s="129" t="n">
        <v>4</v>
      </c>
    </row>
    <row r="246" customFormat="false" ht="28.5" hidden="false" customHeight="true" outlineLevel="0" collapsed="false">
      <c r="B246" s="68" t="n">
        <v>2026</v>
      </c>
      <c r="C246" s="114" t="s">
        <v>7</v>
      </c>
      <c r="D246" s="68" t="s">
        <v>12</v>
      </c>
      <c r="E246" s="122" t="s">
        <v>156</v>
      </c>
      <c r="F246" s="130" t="n">
        <v>0</v>
      </c>
    </row>
    <row r="247" customFormat="false" ht="14.25" hidden="false" customHeight="true" outlineLevel="0" collapsed="false">
      <c r="B247" s="68" t="n">
        <v>2026</v>
      </c>
      <c r="C247" s="114" t="s">
        <v>7</v>
      </c>
      <c r="D247" s="68" t="s">
        <v>13</v>
      </c>
      <c r="E247" s="116" t="s">
        <v>151</v>
      </c>
      <c r="F247" s="129" t="n">
        <v>214</v>
      </c>
    </row>
    <row r="248" customFormat="false" ht="14.25" hidden="false" customHeight="true" outlineLevel="0" collapsed="false">
      <c r="B248" s="68" t="n">
        <v>2026</v>
      </c>
      <c r="C248" s="114" t="s">
        <v>7</v>
      </c>
      <c r="D248" s="68" t="s">
        <v>13</v>
      </c>
      <c r="E248" s="118" t="s">
        <v>153</v>
      </c>
      <c r="F248" s="130" t="n">
        <v>105</v>
      </c>
    </row>
    <row r="249" customFormat="false" ht="14.25" hidden="false" customHeight="true" outlineLevel="0" collapsed="false">
      <c r="B249" s="68" t="n">
        <v>2026</v>
      </c>
      <c r="C249" s="114" t="s">
        <v>7</v>
      </c>
      <c r="D249" s="68" t="s">
        <v>13</v>
      </c>
      <c r="E249" s="120" t="s">
        <v>154</v>
      </c>
      <c r="F249" s="129" t="n">
        <v>6</v>
      </c>
    </row>
    <row r="250" customFormat="false" ht="28.5" hidden="false" customHeight="true" outlineLevel="0" collapsed="false">
      <c r="B250" s="68" t="n">
        <v>2026</v>
      </c>
      <c r="C250" s="114" t="s">
        <v>7</v>
      </c>
      <c r="D250" s="68" t="s">
        <v>13</v>
      </c>
      <c r="E250" s="122" t="s">
        <v>156</v>
      </c>
      <c r="F250" s="130" t="n">
        <v>0</v>
      </c>
    </row>
    <row r="251" customFormat="false" ht="14.25" hidden="false" customHeight="true" outlineLevel="0" collapsed="false">
      <c r="B251" s="68" t="n">
        <v>2026</v>
      </c>
      <c r="C251" s="114" t="s">
        <v>7</v>
      </c>
      <c r="D251" s="68" t="s">
        <v>14</v>
      </c>
      <c r="E251" s="116" t="s">
        <v>151</v>
      </c>
      <c r="F251" s="129" t="n">
        <v>117</v>
      </c>
    </row>
    <row r="252" customFormat="false" ht="14.25" hidden="false" customHeight="true" outlineLevel="0" collapsed="false">
      <c r="B252" s="68" t="n">
        <v>2026</v>
      </c>
      <c r="C252" s="114" t="s">
        <v>7</v>
      </c>
      <c r="D252" s="68" t="s">
        <v>14</v>
      </c>
      <c r="E252" s="118" t="s">
        <v>153</v>
      </c>
      <c r="F252" s="130" t="n">
        <v>2</v>
      </c>
    </row>
    <row r="253" customFormat="false" ht="14.25" hidden="false" customHeight="true" outlineLevel="0" collapsed="false">
      <c r="B253" s="68" t="n">
        <v>2026</v>
      </c>
      <c r="C253" s="114" t="s">
        <v>7</v>
      </c>
      <c r="D253" s="68" t="s">
        <v>14</v>
      </c>
      <c r="E253" s="120" t="s">
        <v>154</v>
      </c>
      <c r="F253" s="129" t="n">
        <v>0</v>
      </c>
    </row>
    <row r="254" customFormat="false" ht="28.5" hidden="false" customHeight="true" outlineLevel="0" collapsed="false">
      <c r="B254" s="68" t="n">
        <v>2026</v>
      </c>
      <c r="C254" s="114" t="s">
        <v>7</v>
      </c>
      <c r="D254" s="68" t="s">
        <v>14</v>
      </c>
      <c r="E254" s="122" t="s">
        <v>156</v>
      </c>
      <c r="F254" s="130" t="n">
        <v>20</v>
      </c>
    </row>
    <row r="255" customFormat="false" ht="14.25" hidden="false" customHeight="true" outlineLevel="0" collapsed="false">
      <c r="B255" s="68" t="n">
        <v>2026</v>
      </c>
      <c r="C255" s="114" t="s">
        <v>7</v>
      </c>
      <c r="D255" s="68" t="s">
        <v>15</v>
      </c>
      <c r="E255" s="116" t="s">
        <v>151</v>
      </c>
      <c r="F255" s="129" t="n">
        <v>618</v>
      </c>
    </row>
    <row r="256" customFormat="false" ht="14.25" hidden="false" customHeight="true" outlineLevel="0" collapsed="false">
      <c r="B256" s="68" t="n">
        <v>2026</v>
      </c>
      <c r="C256" s="114" t="s">
        <v>7</v>
      </c>
      <c r="D256" s="68" t="s">
        <v>15</v>
      </c>
      <c r="E256" s="118" t="s">
        <v>153</v>
      </c>
      <c r="F256" s="130" t="n">
        <v>10</v>
      </c>
    </row>
    <row r="257" customFormat="false" ht="14.25" hidden="false" customHeight="true" outlineLevel="0" collapsed="false">
      <c r="B257" s="68" t="n">
        <v>2026</v>
      </c>
      <c r="C257" s="114" t="s">
        <v>7</v>
      </c>
      <c r="D257" s="68" t="s">
        <v>15</v>
      </c>
      <c r="E257" s="120" t="s">
        <v>154</v>
      </c>
      <c r="F257" s="129" t="n">
        <v>4</v>
      </c>
    </row>
    <row r="258" customFormat="false" ht="28.5" hidden="false" customHeight="true" outlineLevel="0" collapsed="false">
      <c r="B258" s="68" t="n">
        <v>2026</v>
      </c>
      <c r="C258" s="114" t="s">
        <v>7</v>
      </c>
      <c r="D258" s="68" t="s">
        <v>15</v>
      </c>
      <c r="E258" s="122" t="s">
        <v>156</v>
      </c>
      <c r="F258" s="130" t="n">
        <v>0</v>
      </c>
    </row>
    <row r="259" customFormat="false" ht="14.25" hidden="false" customHeight="true" outlineLevel="0" collapsed="false">
      <c r="B259" s="68" t="n">
        <v>2026</v>
      </c>
      <c r="C259" s="114" t="s">
        <v>7</v>
      </c>
      <c r="D259" s="68" t="s">
        <v>16</v>
      </c>
      <c r="E259" s="116" t="s">
        <v>151</v>
      </c>
      <c r="F259" s="129" t="n">
        <v>113</v>
      </c>
    </row>
    <row r="260" customFormat="false" ht="14.25" hidden="false" customHeight="true" outlineLevel="0" collapsed="false">
      <c r="B260" s="68" t="n">
        <v>2026</v>
      </c>
      <c r="C260" s="114" t="s">
        <v>7</v>
      </c>
      <c r="D260" s="68" t="s">
        <v>16</v>
      </c>
      <c r="E260" s="118" t="s">
        <v>153</v>
      </c>
      <c r="F260" s="130" t="n">
        <v>12</v>
      </c>
    </row>
    <row r="261" customFormat="false" ht="14.25" hidden="false" customHeight="true" outlineLevel="0" collapsed="false">
      <c r="B261" s="68" t="n">
        <v>2026</v>
      </c>
      <c r="C261" s="114" t="s">
        <v>7</v>
      </c>
      <c r="D261" s="68" t="s">
        <v>16</v>
      </c>
      <c r="E261" s="120" t="s">
        <v>154</v>
      </c>
      <c r="F261" s="129" t="n">
        <v>6</v>
      </c>
    </row>
    <row r="262" customFormat="false" ht="28.5" hidden="false" customHeight="true" outlineLevel="0" collapsed="false">
      <c r="B262" s="68" t="n">
        <v>2026</v>
      </c>
      <c r="C262" s="114" t="s">
        <v>7</v>
      </c>
      <c r="D262" s="68" t="s">
        <v>16</v>
      </c>
      <c r="E262" s="122" t="s">
        <v>156</v>
      </c>
      <c r="F262" s="130" t="n">
        <v>0</v>
      </c>
    </row>
    <row r="263" customFormat="false" ht="14.25" hidden="false" customHeight="true" outlineLevel="0" collapsed="false">
      <c r="B263" s="68" t="n">
        <v>2026</v>
      </c>
      <c r="C263" s="114" t="s">
        <v>7</v>
      </c>
      <c r="D263" s="68" t="s">
        <v>17</v>
      </c>
      <c r="E263" s="116" t="s">
        <v>151</v>
      </c>
      <c r="F263" s="129" t="n">
        <v>943</v>
      </c>
    </row>
    <row r="264" customFormat="false" ht="14.25" hidden="false" customHeight="true" outlineLevel="0" collapsed="false">
      <c r="B264" s="68" t="n">
        <v>2026</v>
      </c>
      <c r="C264" s="114" t="s">
        <v>7</v>
      </c>
      <c r="D264" s="68" t="s">
        <v>17</v>
      </c>
      <c r="E264" s="118" t="s">
        <v>153</v>
      </c>
      <c r="F264" s="130" t="n">
        <v>100</v>
      </c>
    </row>
    <row r="265" customFormat="false" ht="14.25" hidden="false" customHeight="true" outlineLevel="0" collapsed="false">
      <c r="B265" s="68" t="n">
        <v>2026</v>
      </c>
      <c r="C265" s="114" t="s">
        <v>7</v>
      </c>
      <c r="D265" s="68" t="s">
        <v>17</v>
      </c>
      <c r="E265" s="120" t="s">
        <v>154</v>
      </c>
      <c r="F265" s="129" t="n">
        <v>21</v>
      </c>
    </row>
    <row r="266" customFormat="false" ht="28.5" hidden="false" customHeight="true" outlineLevel="0" collapsed="false">
      <c r="B266" s="68" t="n">
        <v>2026</v>
      </c>
      <c r="C266" s="114" t="s">
        <v>7</v>
      </c>
      <c r="D266" s="68" t="s">
        <v>17</v>
      </c>
      <c r="E266" s="122" t="s">
        <v>156</v>
      </c>
      <c r="F266" s="130" t="n">
        <v>21</v>
      </c>
    </row>
    <row r="267" customFormat="false" ht="14.25" hidden="false" customHeight="true" outlineLevel="0" collapsed="false">
      <c r="B267" s="68" t="n">
        <v>2026</v>
      </c>
      <c r="C267" s="114" t="s">
        <v>7</v>
      </c>
      <c r="D267" s="68" t="s">
        <v>18</v>
      </c>
      <c r="E267" s="116" t="s">
        <v>151</v>
      </c>
      <c r="F267" s="129" t="n">
        <v>55</v>
      </c>
    </row>
    <row r="268" customFormat="false" ht="14.25" hidden="false" customHeight="true" outlineLevel="0" collapsed="false">
      <c r="B268" s="68" t="n">
        <v>2026</v>
      </c>
      <c r="C268" s="114" t="s">
        <v>7</v>
      </c>
      <c r="D268" s="68" t="s">
        <v>18</v>
      </c>
      <c r="E268" s="118" t="s">
        <v>153</v>
      </c>
      <c r="F268" s="130" t="n">
        <v>22</v>
      </c>
    </row>
    <row r="269" customFormat="false" ht="14.25" hidden="false" customHeight="true" outlineLevel="0" collapsed="false">
      <c r="B269" s="68" t="n">
        <v>2026</v>
      </c>
      <c r="C269" s="114" t="s">
        <v>7</v>
      </c>
      <c r="D269" s="68" t="s">
        <v>18</v>
      </c>
      <c r="E269" s="120" t="s">
        <v>154</v>
      </c>
      <c r="F269" s="129" t="n">
        <v>10</v>
      </c>
    </row>
    <row r="270" customFormat="false" ht="28.5" hidden="false" customHeight="true" outlineLevel="0" collapsed="false">
      <c r="B270" s="68" t="n">
        <v>2026</v>
      </c>
      <c r="C270" s="114" t="s">
        <v>7</v>
      </c>
      <c r="D270" s="68" t="s">
        <v>18</v>
      </c>
      <c r="E270" s="122" t="s">
        <v>156</v>
      </c>
      <c r="F270" s="130" t="n">
        <v>0</v>
      </c>
    </row>
    <row r="271" customFormat="false" ht="14.25" hidden="false" customHeight="true" outlineLevel="0" collapsed="false">
      <c r="B271" s="68" t="n">
        <v>2026</v>
      </c>
      <c r="C271" s="114" t="s">
        <v>7</v>
      </c>
      <c r="D271" s="68" t="s">
        <v>19</v>
      </c>
      <c r="E271" s="116" t="s">
        <v>151</v>
      </c>
      <c r="F271" s="129" t="n">
        <v>122</v>
      </c>
    </row>
    <row r="272" customFormat="false" ht="14.25" hidden="false" customHeight="true" outlineLevel="0" collapsed="false">
      <c r="B272" s="68" t="n">
        <v>2026</v>
      </c>
      <c r="C272" s="114" t="s">
        <v>7</v>
      </c>
      <c r="D272" s="68" t="s">
        <v>19</v>
      </c>
      <c r="E272" s="118" t="s">
        <v>153</v>
      </c>
      <c r="F272" s="130" t="n">
        <v>42</v>
      </c>
    </row>
    <row r="273" customFormat="false" ht="14.25" hidden="false" customHeight="true" outlineLevel="0" collapsed="false">
      <c r="B273" s="68" t="n">
        <v>2026</v>
      </c>
      <c r="C273" s="114" t="s">
        <v>7</v>
      </c>
      <c r="D273" s="68" t="s">
        <v>19</v>
      </c>
      <c r="E273" s="120" t="s">
        <v>154</v>
      </c>
      <c r="F273" s="129" t="n">
        <v>4</v>
      </c>
    </row>
    <row r="274" customFormat="false" ht="28.5" hidden="false" customHeight="true" outlineLevel="0" collapsed="false">
      <c r="B274" s="68" t="n">
        <v>2026</v>
      </c>
      <c r="C274" s="114" t="s">
        <v>7</v>
      </c>
      <c r="D274" s="68" t="s">
        <v>19</v>
      </c>
      <c r="E274" s="122" t="s">
        <v>156</v>
      </c>
      <c r="F274" s="130" t="n">
        <v>0</v>
      </c>
    </row>
    <row r="275" customFormat="false" ht="14.25" hidden="false" customHeight="true" outlineLevel="0" collapsed="false">
      <c r="B275" s="68" t="n">
        <v>2026</v>
      </c>
      <c r="C275" s="114" t="s">
        <v>7</v>
      </c>
      <c r="D275" s="68" t="s">
        <v>20</v>
      </c>
      <c r="E275" s="116" t="s">
        <v>151</v>
      </c>
      <c r="F275" s="129" t="n">
        <v>587</v>
      </c>
    </row>
    <row r="276" customFormat="false" ht="14.25" hidden="false" customHeight="true" outlineLevel="0" collapsed="false">
      <c r="B276" s="68" t="n">
        <v>2026</v>
      </c>
      <c r="C276" s="114" t="s">
        <v>7</v>
      </c>
      <c r="D276" s="68" t="s">
        <v>20</v>
      </c>
      <c r="E276" s="118" t="s">
        <v>153</v>
      </c>
      <c r="F276" s="130" t="n">
        <v>33</v>
      </c>
    </row>
    <row r="277" customFormat="false" ht="14.25" hidden="false" customHeight="true" outlineLevel="0" collapsed="false">
      <c r="B277" s="68" t="n">
        <v>2026</v>
      </c>
      <c r="C277" s="114" t="s">
        <v>7</v>
      </c>
      <c r="D277" s="68" t="s">
        <v>20</v>
      </c>
      <c r="E277" s="120" t="s">
        <v>154</v>
      </c>
      <c r="F277" s="129" t="n">
        <v>4</v>
      </c>
    </row>
    <row r="278" customFormat="false" ht="28.5" hidden="false" customHeight="true" outlineLevel="0" collapsed="false">
      <c r="B278" s="68" t="n">
        <v>2026</v>
      </c>
      <c r="C278" s="114" t="s">
        <v>7</v>
      </c>
      <c r="D278" s="68" t="s">
        <v>20</v>
      </c>
      <c r="E278" s="122" t="s">
        <v>156</v>
      </c>
      <c r="F278" s="130" t="n">
        <v>0</v>
      </c>
    </row>
    <row r="279" customFormat="false" ht="14.25" hidden="false" customHeight="true" outlineLevel="0" collapsed="false">
      <c r="B279" s="68" t="n">
        <v>2026</v>
      </c>
      <c r="C279" s="114" t="s">
        <v>7</v>
      </c>
      <c r="D279" s="68" t="s">
        <v>21</v>
      </c>
      <c r="E279" s="116" t="s">
        <v>151</v>
      </c>
      <c r="F279" s="129" t="n">
        <v>13</v>
      </c>
    </row>
    <row r="280" customFormat="false" ht="14.25" hidden="false" customHeight="true" outlineLevel="0" collapsed="false">
      <c r="B280" s="68" t="n">
        <v>2026</v>
      </c>
      <c r="C280" s="114" t="s">
        <v>7</v>
      </c>
      <c r="D280" s="68" t="s">
        <v>21</v>
      </c>
      <c r="E280" s="118" t="s">
        <v>153</v>
      </c>
      <c r="F280" s="130" t="n">
        <v>0</v>
      </c>
    </row>
    <row r="281" customFormat="false" ht="14.25" hidden="false" customHeight="true" outlineLevel="0" collapsed="false">
      <c r="B281" s="68" t="n">
        <v>2026</v>
      </c>
      <c r="C281" s="114" t="s">
        <v>7</v>
      </c>
      <c r="D281" s="68" t="s">
        <v>21</v>
      </c>
      <c r="E281" s="120" t="s">
        <v>154</v>
      </c>
      <c r="F281" s="129" t="n">
        <v>2</v>
      </c>
    </row>
    <row r="282" customFormat="false" ht="28.5" hidden="false" customHeight="true" outlineLevel="0" collapsed="false">
      <c r="B282" s="68" t="n">
        <v>2026</v>
      </c>
      <c r="C282" s="114" t="s">
        <v>7</v>
      </c>
      <c r="D282" s="68" t="s">
        <v>21</v>
      </c>
      <c r="E282" s="122" t="s">
        <v>156</v>
      </c>
      <c r="F282" s="130" t="n">
        <v>0</v>
      </c>
    </row>
    <row r="283" customFormat="false" ht="14.25" hidden="false" customHeight="true" outlineLevel="0" collapsed="false">
      <c r="B283" s="68" t="n">
        <v>2026</v>
      </c>
      <c r="C283" s="114" t="s">
        <v>7</v>
      </c>
      <c r="D283" s="68" t="s">
        <v>22</v>
      </c>
      <c r="E283" s="116" t="s">
        <v>151</v>
      </c>
      <c r="F283" s="129" t="n">
        <v>157</v>
      </c>
    </row>
    <row r="284" customFormat="false" ht="14.25" hidden="false" customHeight="true" outlineLevel="0" collapsed="false">
      <c r="B284" s="68" t="n">
        <v>2026</v>
      </c>
      <c r="C284" s="114" t="s">
        <v>7</v>
      </c>
      <c r="D284" s="68" t="s">
        <v>22</v>
      </c>
      <c r="E284" s="118" t="s">
        <v>153</v>
      </c>
      <c r="F284" s="130" t="n">
        <v>25</v>
      </c>
    </row>
    <row r="285" customFormat="false" ht="14.25" hidden="false" customHeight="true" outlineLevel="0" collapsed="false">
      <c r="B285" s="68" t="n">
        <v>2026</v>
      </c>
      <c r="C285" s="114" t="s">
        <v>7</v>
      </c>
      <c r="D285" s="68" t="s">
        <v>22</v>
      </c>
      <c r="E285" s="120" t="s">
        <v>154</v>
      </c>
      <c r="F285" s="129" t="n">
        <v>4</v>
      </c>
    </row>
    <row r="286" customFormat="false" ht="28.5" hidden="false" customHeight="true" outlineLevel="0" collapsed="false">
      <c r="B286" s="68" t="n">
        <v>2026</v>
      </c>
      <c r="C286" s="114" t="s">
        <v>7</v>
      </c>
      <c r="D286" s="68" t="s">
        <v>22</v>
      </c>
      <c r="E286" s="122" t="s">
        <v>156</v>
      </c>
      <c r="F286" s="130" t="n">
        <v>0</v>
      </c>
    </row>
    <row r="287" customFormat="false" ht="14.25" hidden="false" customHeight="true" outlineLevel="0" collapsed="false">
      <c r="B287" s="68" t="n">
        <v>2026</v>
      </c>
      <c r="C287" s="114" t="s">
        <v>7</v>
      </c>
      <c r="D287" s="68" t="s">
        <v>23</v>
      </c>
      <c r="E287" s="116" t="s">
        <v>151</v>
      </c>
      <c r="F287" s="129" t="n">
        <v>20</v>
      </c>
    </row>
    <row r="288" customFormat="false" ht="14.25" hidden="false" customHeight="true" outlineLevel="0" collapsed="false">
      <c r="B288" s="68" t="n">
        <v>2026</v>
      </c>
      <c r="C288" s="114" t="s">
        <v>7</v>
      </c>
      <c r="D288" s="68" t="s">
        <v>23</v>
      </c>
      <c r="E288" s="118" t="s">
        <v>153</v>
      </c>
      <c r="F288" s="130" t="n">
        <v>5</v>
      </c>
    </row>
    <row r="289" customFormat="false" ht="14.25" hidden="false" customHeight="true" outlineLevel="0" collapsed="false">
      <c r="B289" s="68" t="n">
        <v>2026</v>
      </c>
      <c r="C289" s="114" t="s">
        <v>7</v>
      </c>
      <c r="D289" s="68" t="s">
        <v>23</v>
      </c>
      <c r="E289" s="120" t="s">
        <v>154</v>
      </c>
      <c r="F289" s="129" t="n">
        <v>0</v>
      </c>
    </row>
    <row r="290" customFormat="false" ht="28.5" hidden="false" customHeight="true" outlineLevel="0" collapsed="false">
      <c r="B290" s="68" t="n">
        <v>2026</v>
      </c>
      <c r="C290" s="114" t="s">
        <v>7</v>
      </c>
      <c r="D290" s="68" t="s">
        <v>23</v>
      </c>
      <c r="E290" s="122" t="s">
        <v>156</v>
      </c>
      <c r="F290" s="13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53125" defaultRowHeight="15" zeroHeight="false" outlineLevelRow="0" outlineLevelCol="0"/>
  <cols>
    <col collapsed="false" customWidth="true" hidden="false" outlineLevel="0" max="3" min="3" style="1" width="12"/>
    <col collapsed="false" customWidth="true" hidden="false" outlineLevel="0" max="4" min="4" style="1" width="17.54"/>
    <col collapsed="false" customWidth="true" hidden="false" outlineLevel="0" max="6" min="5" style="1" width="21.09"/>
  </cols>
  <sheetData>
    <row r="1" customFormat="false" ht="14.25" hidden="false" customHeight="true" outlineLevel="0" collapsed="false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</row>
    <row r="2" customFormat="false" ht="14.25" hidden="false" customHeight="true" outlineLevel="0" collapsed="false">
      <c r="A2" s="16"/>
      <c r="B2" s="16" t="s">
        <v>164</v>
      </c>
      <c r="C2" s="16"/>
      <c r="D2" s="16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</row>
    <row r="3" customFormat="false" ht="14.25" hidden="false" customHeight="true" outlineLevel="0" collapsed="false">
      <c r="A3" s="16"/>
      <c r="B3" s="16" t="s">
        <v>165</v>
      </c>
      <c r="C3" s="16"/>
      <c r="D3" s="16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</row>
    <row r="4" customFormat="false" ht="14.25" hidden="false" customHeight="true" outlineLevel="0" collapsed="false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</row>
    <row r="5" customFormat="false" ht="14.25" hidden="false" customHeight="true" outlineLevel="0" collapsed="false">
      <c r="A5" s="24"/>
      <c r="B5" s="24"/>
      <c r="C5" s="132" t="s">
        <v>166</v>
      </c>
      <c r="D5" s="132"/>
      <c r="E5" s="132"/>
      <c r="F5" s="132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</row>
    <row r="6" customFormat="false" ht="27.75" hidden="false" customHeight="true" outlineLevel="0" collapsed="false">
      <c r="A6" s="24"/>
      <c r="B6" s="24"/>
      <c r="C6" s="133" t="s">
        <v>118</v>
      </c>
      <c r="D6" s="133" t="s">
        <v>167</v>
      </c>
      <c r="E6" s="133" t="s">
        <v>168</v>
      </c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</row>
    <row r="7" customFormat="false" ht="28.5" hidden="false" customHeight="true" outlineLevel="0" collapsed="false">
      <c r="A7" s="24"/>
      <c r="B7" s="24"/>
      <c r="C7" s="134" t="n">
        <v>1</v>
      </c>
      <c r="D7" s="135" t="s">
        <v>169</v>
      </c>
      <c r="E7" s="136" t="n">
        <v>226</v>
      </c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</row>
    <row r="8" customFormat="false" ht="14.25" hidden="false" customHeight="true" outlineLevel="0" collapsed="false">
      <c r="A8" s="24"/>
      <c r="B8" s="24"/>
      <c r="C8" s="134" t="n">
        <v>2</v>
      </c>
      <c r="D8" s="135" t="s">
        <v>170</v>
      </c>
      <c r="E8" s="137" t="n">
        <v>1301</v>
      </c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</row>
    <row r="9" customFormat="false" ht="28.5" hidden="false" customHeight="true" outlineLevel="0" collapsed="false">
      <c r="A9" s="24"/>
      <c r="B9" s="24"/>
      <c r="C9" s="134" t="n">
        <v>3</v>
      </c>
      <c r="D9" s="135" t="s">
        <v>171</v>
      </c>
      <c r="E9" s="137" t="n">
        <v>1751</v>
      </c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</row>
    <row r="10" customFormat="false" ht="28.5" hidden="false" customHeight="true" outlineLevel="0" collapsed="false">
      <c r="A10" s="24"/>
      <c r="B10" s="24"/>
      <c r="C10" s="134" t="n">
        <v>4</v>
      </c>
      <c r="D10" s="138" t="s">
        <v>172</v>
      </c>
      <c r="E10" s="139" t="n">
        <v>745</v>
      </c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</row>
    <row r="11" customFormat="false" ht="28.5" hidden="false" customHeight="true" outlineLevel="0" collapsed="false">
      <c r="A11" s="24"/>
      <c r="B11" s="24"/>
      <c r="C11" s="134" t="n">
        <v>5</v>
      </c>
      <c r="D11" s="138" t="s">
        <v>173</v>
      </c>
      <c r="E11" s="139" t="n">
        <v>797</v>
      </c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</row>
    <row r="12" customFormat="false" ht="28.5" hidden="false" customHeight="true" outlineLevel="0" collapsed="false">
      <c r="A12" s="24"/>
      <c r="B12" s="24"/>
      <c r="C12" s="134" t="n">
        <v>6</v>
      </c>
      <c r="D12" s="138" t="s">
        <v>174</v>
      </c>
      <c r="E12" s="140" t="n">
        <v>3883</v>
      </c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</row>
    <row r="13" customFormat="false" ht="28.5" hidden="false" customHeight="true" outlineLevel="0" collapsed="false">
      <c r="A13" s="24"/>
      <c r="B13" s="24"/>
      <c r="C13" s="134" t="n">
        <v>7</v>
      </c>
      <c r="D13" s="138" t="s">
        <v>175</v>
      </c>
      <c r="E13" s="140" t="n">
        <v>3696</v>
      </c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</row>
    <row r="14" customFormat="false" ht="28.5" hidden="false" customHeight="true" outlineLevel="0" collapsed="false">
      <c r="A14" s="24"/>
      <c r="B14" s="24"/>
      <c r="C14" s="134" t="n">
        <v>8</v>
      </c>
      <c r="D14" s="138" t="s">
        <v>176</v>
      </c>
      <c r="E14" s="140" t="n">
        <v>5309</v>
      </c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</row>
    <row r="15" customFormat="false" ht="14.25" hidden="false" customHeight="true" outlineLevel="0" collapsed="false">
      <c r="A15" s="24"/>
      <c r="B15" s="24"/>
      <c r="C15" s="134" t="n">
        <v>9</v>
      </c>
      <c r="D15" s="141" t="s">
        <v>177</v>
      </c>
      <c r="E15" s="137" t="n">
        <v>3421</v>
      </c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</row>
    <row r="16" customFormat="false" ht="14.25" hidden="false" customHeight="true" outlineLevel="0" collapsed="false">
      <c r="A16" s="24"/>
      <c r="B16" s="24"/>
      <c r="C16" s="134"/>
      <c r="D16" s="142" t="s">
        <v>82</v>
      </c>
      <c r="E16" s="142" t="n">
        <f aca="false">SUM(E7:E15)</f>
        <v>21129</v>
      </c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</row>
    <row r="17" customFormat="false" ht="14.25" hidden="false" customHeight="true" outlineLevel="0" collapsed="false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</row>
    <row r="18" customFormat="false" ht="14.25" hidden="false" customHeight="true" outlineLevel="0" collapsed="false">
      <c r="A18" s="24"/>
      <c r="B18" s="24"/>
      <c r="C18" s="2" t="s">
        <v>178</v>
      </c>
      <c r="D18" s="2"/>
      <c r="E18" s="2"/>
      <c r="F18" s="2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</row>
    <row r="19" customFormat="false" ht="14.25" hidden="false" customHeight="true" outlineLevel="0" collapsed="false">
      <c r="A19" s="24"/>
      <c r="B19" s="24"/>
      <c r="C19" s="143" t="s">
        <v>118</v>
      </c>
      <c r="D19" s="143" t="s">
        <v>179</v>
      </c>
      <c r="E19" s="143" t="s">
        <v>180</v>
      </c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</row>
    <row r="20" customFormat="false" ht="28.5" hidden="false" customHeight="true" outlineLevel="0" collapsed="false">
      <c r="A20" s="24"/>
      <c r="B20" s="24"/>
      <c r="C20" s="144" t="n">
        <v>1</v>
      </c>
      <c r="D20" s="135" t="s">
        <v>181</v>
      </c>
      <c r="E20" s="144" t="n">
        <v>212</v>
      </c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</row>
    <row r="21" customFormat="false" ht="14.25" hidden="false" customHeight="true" outlineLevel="0" collapsed="false">
      <c r="A21" s="24"/>
      <c r="B21" s="24"/>
      <c r="C21" s="144" t="n">
        <v>2</v>
      </c>
      <c r="D21" s="135" t="s">
        <v>182</v>
      </c>
      <c r="E21" s="144" t="n">
        <v>680</v>
      </c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</row>
    <row r="22" customFormat="false" ht="42" hidden="false" customHeight="true" outlineLevel="0" collapsed="false">
      <c r="A22" s="24"/>
      <c r="B22" s="24"/>
      <c r="C22" s="144" t="n">
        <v>3</v>
      </c>
      <c r="D22" s="135" t="s">
        <v>183</v>
      </c>
      <c r="E22" s="145" t="n">
        <v>2844</v>
      </c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</row>
    <row r="23" customFormat="false" ht="42" hidden="false" customHeight="true" outlineLevel="0" collapsed="false">
      <c r="A23" s="24"/>
      <c r="B23" s="24"/>
      <c r="C23" s="144" t="n">
        <v>4</v>
      </c>
      <c r="D23" s="135" t="s">
        <v>184</v>
      </c>
      <c r="E23" s="145" t="n">
        <v>2844</v>
      </c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</row>
    <row r="24" customFormat="false" ht="14.25" hidden="false" customHeight="true" outlineLevel="0" collapsed="false">
      <c r="A24" s="24"/>
      <c r="B24" s="24"/>
      <c r="C24" s="146"/>
      <c r="D24" s="143" t="s">
        <v>82</v>
      </c>
      <c r="E24" s="143" t="n">
        <f aca="false">SUM(E20:E23)</f>
        <v>6580</v>
      </c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</row>
    <row r="25" customFormat="false" ht="14.25" hidden="false" customHeight="true" outlineLevel="0" collapsed="false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</row>
    <row r="26" customFormat="false" ht="14.25" hidden="false" customHeight="true" outlineLevel="0" collapsed="false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</row>
    <row r="27" customFormat="false" ht="14.25" hidden="false" customHeight="true" outlineLevel="0" collapsed="false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</row>
    <row r="28" customFormat="false" ht="14.25" hidden="false" customHeight="true" outlineLevel="0" collapsed="false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</row>
    <row r="29" customFormat="false" ht="14.25" hidden="false" customHeight="true" outlineLevel="0" collapsed="false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</row>
    <row r="30" customFormat="false" ht="14.25" hidden="false" customHeight="true" outlineLevel="0" collapsed="false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</row>
    <row r="31" customFormat="false" ht="14.25" hidden="false" customHeight="true" outlineLevel="0" collapsed="false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</row>
    <row r="32" customFormat="false" ht="14.25" hidden="false" customHeight="true" outlineLevel="0" collapsed="false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</row>
    <row r="33" customFormat="false" ht="14.25" hidden="false" customHeight="true" outlineLevel="0" collapsed="false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</row>
    <row r="34" customFormat="false" ht="14.25" hidden="false" customHeight="true" outlineLevel="0" collapsed="false">
      <c r="A34" s="24"/>
      <c r="B34" s="24" t="s">
        <v>185</v>
      </c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</row>
    <row r="35" customFormat="false" ht="26.25" hidden="false" customHeight="true" outlineLevel="0" collapsed="false">
      <c r="A35" s="147"/>
      <c r="B35" s="147" t="s">
        <v>121</v>
      </c>
      <c r="C35" s="147" t="s">
        <v>158</v>
      </c>
      <c r="D35" s="147" t="s">
        <v>186</v>
      </c>
      <c r="E35" s="147"/>
      <c r="F35" s="147" t="s">
        <v>187</v>
      </c>
      <c r="G35" s="147" t="s">
        <v>188</v>
      </c>
      <c r="H35" s="147" t="s">
        <v>189</v>
      </c>
      <c r="I35" s="147"/>
      <c r="J35" s="147" t="s">
        <v>190</v>
      </c>
      <c r="K35" s="147" t="s">
        <v>191</v>
      </c>
      <c r="L35" s="147" t="s">
        <v>192</v>
      </c>
      <c r="M35" s="147" t="s">
        <v>193</v>
      </c>
      <c r="N35" s="147" t="s">
        <v>194</v>
      </c>
      <c r="O35" s="147" t="s">
        <v>195</v>
      </c>
      <c r="P35" s="147" t="s">
        <v>196</v>
      </c>
      <c r="Q35" s="147" t="s">
        <v>197</v>
      </c>
      <c r="R35" s="147" t="s">
        <v>198</v>
      </c>
      <c r="S35" s="147" t="s">
        <v>199</v>
      </c>
      <c r="T35" s="147" t="s">
        <v>200</v>
      </c>
      <c r="U35" s="147" t="s">
        <v>201</v>
      </c>
      <c r="V35" s="147" t="s">
        <v>202</v>
      </c>
      <c r="W35" s="147" t="s">
        <v>203</v>
      </c>
      <c r="X35" s="147" t="s">
        <v>204</v>
      </c>
      <c r="Y35" s="147" t="s">
        <v>205</v>
      </c>
      <c r="Z35" s="147" t="s">
        <v>206</v>
      </c>
      <c r="AA35" s="147" t="s">
        <v>207</v>
      </c>
      <c r="AB35" s="147" t="s">
        <v>208</v>
      </c>
      <c r="AC35" s="147" t="s">
        <v>209</v>
      </c>
      <c r="AD35" s="147" t="s">
        <v>210</v>
      </c>
      <c r="AE35" s="147" t="s">
        <v>211</v>
      </c>
      <c r="AF35" s="147" t="s">
        <v>212</v>
      </c>
      <c r="AG35" s="147" t="s">
        <v>213</v>
      </c>
    </row>
    <row r="36" customFormat="false" ht="14.25" hidden="false" customHeight="true" outlineLevel="0" collapsed="false">
      <c r="A36" s="148"/>
      <c r="B36" s="148" t="s">
        <v>214</v>
      </c>
      <c r="C36" s="148" t="s">
        <v>17</v>
      </c>
      <c r="D36" s="149" t="n">
        <v>2143</v>
      </c>
      <c r="E36" s="149"/>
      <c r="F36" s="149" t="n">
        <v>23</v>
      </c>
      <c r="G36" s="149" t="n">
        <v>13</v>
      </c>
      <c r="H36" s="149" t="n">
        <v>10</v>
      </c>
      <c r="I36" s="149"/>
      <c r="J36" s="149" t="n">
        <v>152</v>
      </c>
      <c r="K36" s="149" t="n">
        <v>72</v>
      </c>
      <c r="L36" s="149" t="n">
        <v>80</v>
      </c>
      <c r="M36" s="149" t="n">
        <v>82</v>
      </c>
      <c r="N36" s="149" t="n">
        <v>30</v>
      </c>
      <c r="O36" s="149" t="n">
        <v>52</v>
      </c>
      <c r="P36" s="149" t="n">
        <v>109</v>
      </c>
      <c r="Q36" s="149" t="n">
        <v>53</v>
      </c>
      <c r="R36" s="149" t="n">
        <v>56</v>
      </c>
      <c r="S36" s="149" t="n">
        <v>104</v>
      </c>
      <c r="T36" s="149" t="n">
        <v>53</v>
      </c>
      <c r="U36" s="149" t="n">
        <v>51</v>
      </c>
      <c r="V36" s="149" t="n">
        <v>288</v>
      </c>
      <c r="W36" s="149" t="n">
        <v>0</v>
      </c>
      <c r="X36" s="149" t="n">
        <v>115</v>
      </c>
      <c r="Y36" s="149" t="n">
        <v>370</v>
      </c>
      <c r="Z36" s="149" t="n">
        <v>0</v>
      </c>
      <c r="AA36" s="149" t="n">
        <v>101</v>
      </c>
      <c r="AB36" s="149" t="n">
        <v>591</v>
      </c>
      <c r="AC36" s="149" t="n">
        <v>0</v>
      </c>
      <c r="AD36" s="149" t="n">
        <v>186</v>
      </c>
      <c r="AE36" s="149" t="n">
        <v>424</v>
      </c>
      <c r="AF36" s="149" t="n">
        <v>259</v>
      </c>
      <c r="AG36" s="149" t="n">
        <v>165</v>
      </c>
    </row>
    <row r="37" customFormat="false" ht="14.25" hidden="false" customHeight="true" outlineLevel="0" collapsed="false">
      <c r="A37" s="148"/>
      <c r="B37" s="148" t="s">
        <v>215</v>
      </c>
      <c r="C37" s="148" t="s">
        <v>15</v>
      </c>
      <c r="D37" s="149" t="n">
        <v>1160</v>
      </c>
      <c r="E37" s="149"/>
      <c r="F37" s="149" t="n">
        <v>0</v>
      </c>
      <c r="G37" s="149" t="n">
        <v>0</v>
      </c>
      <c r="H37" s="149" t="n">
        <v>0</v>
      </c>
      <c r="I37" s="149"/>
      <c r="J37" s="149" t="n">
        <v>4</v>
      </c>
      <c r="K37" s="149" t="n">
        <v>2</v>
      </c>
      <c r="L37" s="149" t="n">
        <v>2</v>
      </c>
      <c r="M37" s="149" t="n">
        <v>23</v>
      </c>
      <c r="N37" s="149" t="n">
        <v>10</v>
      </c>
      <c r="O37" s="149" t="n">
        <v>13</v>
      </c>
      <c r="P37" s="149" t="n">
        <v>42</v>
      </c>
      <c r="Q37" s="149" t="n">
        <v>26</v>
      </c>
      <c r="R37" s="149" t="n">
        <v>16</v>
      </c>
      <c r="S37" s="149" t="n">
        <v>51</v>
      </c>
      <c r="T37" s="149" t="n">
        <v>33</v>
      </c>
      <c r="U37" s="149" t="n">
        <v>18</v>
      </c>
      <c r="V37" s="149" t="n">
        <v>269</v>
      </c>
      <c r="W37" s="149" t="n">
        <v>0</v>
      </c>
      <c r="X37" s="149" t="n">
        <v>141</v>
      </c>
      <c r="Y37" s="149" t="n">
        <v>210</v>
      </c>
      <c r="Z37" s="149" t="n">
        <v>0</v>
      </c>
      <c r="AA37" s="149" t="n">
        <v>115</v>
      </c>
      <c r="AB37" s="149" t="n">
        <v>323</v>
      </c>
      <c r="AC37" s="149" t="n">
        <v>0</v>
      </c>
      <c r="AD37" s="149" t="n">
        <v>167</v>
      </c>
      <c r="AE37" s="149" t="n">
        <v>238</v>
      </c>
      <c r="AF37" s="149" t="n">
        <v>124</v>
      </c>
      <c r="AG37" s="149" t="n">
        <v>114</v>
      </c>
    </row>
    <row r="38" customFormat="false" ht="14.25" hidden="false" customHeight="true" outlineLevel="0" collapsed="false">
      <c r="A38" s="148"/>
      <c r="B38" s="148" t="s">
        <v>215</v>
      </c>
      <c r="C38" s="148" t="s">
        <v>14</v>
      </c>
      <c r="D38" s="149" t="n">
        <v>1137</v>
      </c>
      <c r="E38" s="149"/>
      <c r="F38" s="149" t="n">
        <v>0</v>
      </c>
      <c r="G38" s="149" t="n">
        <v>0</v>
      </c>
      <c r="H38" s="149" t="n">
        <v>0</v>
      </c>
      <c r="I38" s="149"/>
      <c r="J38" s="149" t="n">
        <v>25</v>
      </c>
      <c r="K38" s="149" t="n">
        <v>11</v>
      </c>
      <c r="L38" s="149" t="n">
        <v>14</v>
      </c>
      <c r="M38" s="149" t="n">
        <v>354</v>
      </c>
      <c r="N38" s="149" t="n">
        <v>180</v>
      </c>
      <c r="O38" s="149" t="n">
        <v>174</v>
      </c>
      <c r="P38" s="149" t="n">
        <v>15</v>
      </c>
      <c r="Q38" s="149" t="n">
        <v>4</v>
      </c>
      <c r="R38" s="149" t="n">
        <v>11</v>
      </c>
      <c r="S38" s="149" t="n">
        <v>10</v>
      </c>
      <c r="T38" s="149" t="n">
        <v>4</v>
      </c>
      <c r="U38" s="149" t="n">
        <v>6</v>
      </c>
      <c r="V38" s="149" t="n">
        <v>182</v>
      </c>
      <c r="W38" s="149" t="n">
        <v>0</v>
      </c>
      <c r="X38" s="149" t="n">
        <v>54</v>
      </c>
      <c r="Y38" s="149" t="n">
        <v>155</v>
      </c>
      <c r="Z38" s="149" t="n">
        <v>0</v>
      </c>
      <c r="AA38" s="149" t="n">
        <v>52</v>
      </c>
      <c r="AB38" s="149" t="n">
        <v>268</v>
      </c>
      <c r="AC38" s="149" t="n">
        <v>0</v>
      </c>
      <c r="AD38" s="149" t="n">
        <v>116</v>
      </c>
      <c r="AE38" s="149" t="n">
        <v>128</v>
      </c>
      <c r="AF38" s="149" t="n">
        <v>61</v>
      </c>
      <c r="AG38" s="149" t="n">
        <v>67</v>
      </c>
    </row>
    <row r="39" customFormat="false" ht="14.25" hidden="false" customHeight="true" outlineLevel="0" collapsed="false">
      <c r="A39" s="148"/>
      <c r="B39" s="148" t="s">
        <v>216</v>
      </c>
      <c r="C39" s="148" t="s">
        <v>22</v>
      </c>
      <c r="D39" s="149" t="n">
        <v>2389</v>
      </c>
      <c r="E39" s="149"/>
      <c r="F39" s="149" t="n">
        <v>126</v>
      </c>
      <c r="G39" s="149" t="n">
        <v>58</v>
      </c>
      <c r="H39" s="149" t="n">
        <v>68</v>
      </c>
      <c r="I39" s="149"/>
      <c r="J39" s="149" t="n">
        <v>389</v>
      </c>
      <c r="K39" s="149" t="n">
        <v>177</v>
      </c>
      <c r="L39" s="149" t="n">
        <v>212</v>
      </c>
      <c r="M39" s="149" t="n">
        <v>59</v>
      </c>
      <c r="N39" s="149" t="n">
        <v>23</v>
      </c>
      <c r="O39" s="149" t="n">
        <v>36</v>
      </c>
      <c r="P39" s="149" t="n">
        <v>32</v>
      </c>
      <c r="Q39" s="149" t="n">
        <v>17</v>
      </c>
      <c r="R39" s="149" t="n">
        <v>15</v>
      </c>
      <c r="S39" s="149" t="n">
        <v>61</v>
      </c>
      <c r="T39" s="149" t="n">
        <v>33</v>
      </c>
      <c r="U39" s="149" t="n">
        <v>28</v>
      </c>
      <c r="V39" s="149" t="n">
        <v>443</v>
      </c>
      <c r="W39" s="149" t="n">
        <v>0</v>
      </c>
      <c r="X39" s="149" t="n">
        <v>160</v>
      </c>
      <c r="Y39" s="149" t="n">
        <v>427</v>
      </c>
      <c r="Z39" s="149" t="n">
        <v>0</v>
      </c>
      <c r="AA39" s="149" t="n">
        <v>123</v>
      </c>
      <c r="AB39" s="149" t="n">
        <v>495</v>
      </c>
      <c r="AC39" s="149" t="n">
        <v>0</v>
      </c>
      <c r="AD39" s="149" t="n">
        <v>183</v>
      </c>
      <c r="AE39" s="149" t="n">
        <v>357</v>
      </c>
      <c r="AF39" s="149" t="n">
        <v>207</v>
      </c>
      <c r="AG39" s="149" t="n">
        <v>150</v>
      </c>
    </row>
    <row r="40" customFormat="false" ht="14.25" hidden="false" customHeight="true" outlineLevel="0" collapsed="false">
      <c r="A40" s="148"/>
      <c r="B40" s="148" t="s">
        <v>217</v>
      </c>
      <c r="C40" s="148" t="s">
        <v>23</v>
      </c>
      <c r="D40" s="149" t="n">
        <v>339</v>
      </c>
      <c r="E40" s="149"/>
      <c r="F40" s="149" t="n">
        <v>0</v>
      </c>
      <c r="G40" s="149" t="n">
        <v>0</v>
      </c>
      <c r="H40" s="149" t="n">
        <v>0</v>
      </c>
      <c r="I40" s="149"/>
      <c r="J40" s="149" t="n">
        <v>14</v>
      </c>
      <c r="K40" s="149" t="n">
        <v>9</v>
      </c>
      <c r="L40" s="149" t="n">
        <v>5</v>
      </c>
      <c r="M40" s="149" t="n">
        <v>2</v>
      </c>
      <c r="N40" s="149" t="n">
        <v>0</v>
      </c>
      <c r="O40" s="149" t="n">
        <v>2</v>
      </c>
      <c r="P40" s="149" t="n">
        <v>0</v>
      </c>
      <c r="Q40" s="149" t="n">
        <v>0</v>
      </c>
      <c r="R40" s="149" t="n">
        <v>0</v>
      </c>
      <c r="S40" s="149" t="n">
        <v>4</v>
      </c>
      <c r="T40" s="149" t="n">
        <v>3</v>
      </c>
      <c r="U40" s="149" t="n">
        <v>1</v>
      </c>
      <c r="V40" s="149" t="n">
        <v>54</v>
      </c>
      <c r="W40" s="149" t="n">
        <v>0</v>
      </c>
      <c r="X40" s="149" t="n">
        <v>6</v>
      </c>
      <c r="Y40" s="149" t="n">
        <v>71</v>
      </c>
      <c r="Z40" s="149" t="n">
        <v>0</v>
      </c>
      <c r="AA40" s="149" t="n">
        <v>13</v>
      </c>
      <c r="AB40" s="149" t="n">
        <v>108</v>
      </c>
      <c r="AC40" s="149" t="n">
        <v>0</v>
      </c>
      <c r="AD40" s="149" t="n">
        <v>25</v>
      </c>
      <c r="AE40" s="149" t="n">
        <v>86</v>
      </c>
      <c r="AF40" s="149" t="n">
        <v>61</v>
      </c>
      <c r="AG40" s="149" t="n">
        <v>25</v>
      </c>
    </row>
    <row r="41" customFormat="false" ht="14.25" hidden="false" customHeight="true" outlineLevel="0" collapsed="false">
      <c r="A41" s="148"/>
      <c r="B41" s="148" t="s">
        <v>218</v>
      </c>
      <c r="C41" s="148" t="s">
        <v>21</v>
      </c>
      <c r="D41" s="149" t="n">
        <v>3023</v>
      </c>
      <c r="E41" s="149"/>
      <c r="F41" s="149" t="n">
        <v>2</v>
      </c>
      <c r="G41" s="149" t="n">
        <v>2</v>
      </c>
      <c r="H41" s="149" t="n">
        <v>0</v>
      </c>
      <c r="I41" s="149"/>
      <c r="J41" s="149" t="n">
        <v>195</v>
      </c>
      <c r="K41" s="149" t="n">
        <v>102</v>
      </c>
      <c r="L41" s="149" t="n">
        <v>93</v>
      </c>
      <c r="M41" s="149" t="n">
        <v>236</v>
      </c>
      <c r="N41" s="149" t="n">
        <v>128</v>
      </c>
      <c r="O41" s="149" t="n">
        <v>108</v>
      </c>
      <c r="P41" s="149" t="n">
        <v>107</v>
      </c>
      <c r="Q41" s="149" t="n">
        <v>50</v>
      </c>
      <c r="R41" s="149" t="n">
        <v>57</v>
      </c>
      <c r="S41" s="149" t="n">
        <v>158</v>
      </c>
      <c r="T41" s="149" t="n">
        <v>88</v>
      </c>
      <c r="U41" s="149" t="n">
        <v>70</v>
      </c>
      <c r="V41" s="149" t="n">
        <v>684</v>
      </c>
      <c r="W41" s="149" t="n">
        <v>0</v>
      </c>
      <c r="X41" s="149" t="n">
        <v>271</v>
      </c>
      <c r="Y41" s="149" t="n">
        <v>556</v>
      </c>
      <c r="Z41" s="149" t="n">
        <v>0</v>
      </c>
      <c r="AA41" s="149" t="n">
        <v>191</v>
      </c>
      <c r="AB41" s="149" t="n">
        <v>654</v>
      </c>
      <c r="AC41" s="149" t="n">
        <v>0</v>
      </c>
      <c r="AD41" s="149" t="n">
        <v>256</v>
      </c>
      <c r="AE41" s="149" t="n">
        <v>431</v>
      </c>
      <c r="AF41" s="149" t="n">
        <v>271</v>
      </c>
      <c r="AG41" s="149" t="n">
        <v>160</v>
      </c>
    </row>
    <row r="42" customFormat="false" ht="14.25" hidden="false" customHeight="true" outlineLevel="0" collapsed="false">
      <c r="A42" s="148"/>
      <c r="B42" s="148" t="s">
        <v>219</v>
      </c>
      <c r="C42" s="148" t="s">
        <v>20</v>
      </c>
      <c r="D42" s="149" t="n">
        <v>1912</v>
      </c>
      <c r="E42" s="149"/>
      <c r="F42" s="149" t="n">
        <v>1</v>
      </c>
      <c r="G42" s="149" t="n">
        <v>0</v>
      </c>
      <c r="H42" s="149" t="n">
        <v>1</v>
      </c>
      <c r="I42" s="149"/>
      <c r="J42" s="149" t="n">
        <v>16</v>
      </c>
      <c r="K42" s="149" t="n">
        <v>12</v>
      </c>
      <c r="L42" s="149" t="n">
        <v>4</v>
      </c>
      <c r="M42" s="149" t="n">
        <v>29</v>
      </c>
      <c r="N42" s="149" t="n">
        <v>20</v>
      </c>
      <c r="O42" s="149" t="n">
        <v>9</v>
      </c>
      <c r="P42" s="149" t="n">
        <v>25</v>
      </c>
      <c r="Q42" s="149" t="n">
        <v>17</v>
      </c>
      <c r="R42" s="149" t="n">
        <v>8</v>
      </c>
      <c r="S42" s="149" t="n">
        <v>69</v>
      </c>
      <c r="T42" s="149" t="n">
        <v>40</v>
      </c>
      <c r="U42" s="149" t="n">
        <v>29</v>
      </c>
      <c r="V42" s="149" t="n">
        <v>591</v>
      </c>
      <c r="W42" s="149" t="n">
        <v>0</v>
      </c>
      <c r="X42" s="149" t="n">
        <v>203</v>
      </c>
      <c r="Y42" s="149" t="n">
        <v>483</v>
      </c>
      <c r="Z42" s="149" t="n">
        <v>0</v>
      </c>
      <c r="AA42" s="149" t="n">
        <v>183</v>
      </c>
      <c r="AB42" s="149" t="n">
        <v>540</v>
      </c>
      <c r="AC42" s="149" t="n">
        <v>0</v>
      </c>
      <c r="AD42" s="149" t="n">
        <v>220</v>
      </c>
      <c r="AE42" s="149" t="n">
        <v>158</v>
      </c>
      <c r="AF42" s="149" t="n">
        <v>79</v>
      </c>
      <c r="AG42" s="149" t="n">
        <v>79</v>
      </c>
    </row>
    <row r="43" customFormat="false" ht="14.25" hidden="false" customHeight="true" outlineLevel="0" collapsed="false">
      <c r="A43" s="148"/>
      <c r="B43" s="148" t="s">
        <v>220</v>
      </c>
      <c r="C43" s="148" t="s">
        <v>19</v>
      </c>
      <c r="D43" s="149" t="n">
        <v>2118</v>
      </c>
      <c r="E43" s="149"/>
      <c r="F43" s="149" t="n">
        <v>18</v>
      </c>
      <c r="G43" s="149" t="n">
        <v>7</v>
      </c>
      <c r="H43" s="149" t="n">
        <v>11</v>
      </c>
      <c r="I43" s="149"/>
      <c r="J43" s="149" t="n">
        <v>220</v>
      </c>
      <c r="K43" s="149" t="n">
        <v>95</v>
      </c>
      <c r="L43" s="149" t="n">
        <v>125</v>
      </c>
      <c r="M43" s="149" t="n">
        <v>163</v>
      </c>
      <c r="N43" s="149" t="n">
        <v>83</v>
      </c>
      <c r="O43" s="149" t="n">
        <v>80</v>
      </c>
      <c r="P43" s="149" t="n">
        <v>134</v>
      </c>
      <c r="Q43" s="149" t="n">
        <v>70</v>
      </c>
      <c r="R43" s="149" t="n">
        <v>64</v>
      </c>
      <c r="S43" s="149" t="n">
        <v>199</v>
      </c>
      <c r="T43" s="149" t="n">
        <v>98</v>
      </c>
      <c r="U43" s="149" t="n">
        <v>101</v>
      </c>
      <c r="V43" s="149" t="n">
        <v>229</v>
      </c>
      <c r="W43" s="149" t="n">
        <v>0</v>
      </c>
      <c r="X43" s="149" t="n">
        <v>58</v>
      </c>
      <c r="Y43" s="149" t="n">
        <v>323</v>
      </c>
      <c r="Z43" s="149" t="n">
        <v>0</v>
      </c>
      <c r="AA43" s="149" t="n">
        <v>89</v>
      </c>
      <c r="AB43" s="149" t="n">
        <v>474</v>
      </c>
      <c r="AC43" s="149" t="n">
        <v>0</v>
      </c>
      <c r="AD43" s="149" t="n">
        <v>146</v>
      </c>
      <c r="AE43" s="149" t="n">
        <v>358</v>
      </c>
      <c r="AF43" s="149" t="n">
        <v>227</v>
      </c>
      <c r="AG43" s="149" t="n">
        <v>131</v>
      </c>
    </row>
    <row r="44" customFormat="false" ht="14.25" hidden="false" customHeight="true" outlineLevel="0" collapsed="false">
      <c r="A44" s="148"/>
      <c r="B44" s="148" t="s">
        <v>221</v>
      </c>
      <c r="C44" s="148" t="s">
        <v>18</v>
      </c>
      <c r="D44" s="149" t="n">
        <v>2164</v>
      </c>
      <c r="E44" s="149"/>
      <c r="F44" s="149" t="n">
        <v>5</v>
      </c>
      <c r="G44" s="149" t="n">
        <v>5</v>
      </c>
      <c r="H44" s="149" t="n">
        <v>0</v>
      </c>
      <c r="I44" s="149"/>
      <c r="J44" s="149" t="n">
        <v>35</v>
      </c>
      <c r="K44" s="149" t="n">
        <v>19</v>
      </c>
      <c r="L44" s="149" t="n">
        <v>16</v>
      </c>
      <c r="M44" s="149" t="n">
        <v>94</v>
      </c>
      <c r="N44" s="149" t="n">
        <v>53</v>
      </c>
      <c r="O44" s="149" t="n">
        <v>41</v>
      </c>
      <c r="P44" s="149" t="n">
        <v>1</v>
      </c>
      <c r="Q44" s="149" t="n">
        <v>1</v>
      </c>
      <c r="R44" s="149" t="n">
        <v>0</v>
      </c>
      <c r="S44" s="149" t="n">
        <v>18</v>
      </c>
      <c r="T44" s="149" t="n">
        <v>6</v>
      </c>
      <c r="U44" s="149" t="n">
        <v>12</v>
      </c>
      <c r="V44" s="149" t="n">
        <v>599</v>
      </c>
      <c r="W44" s="149" t="n">
        <v>0</v>
      </c>
      <c r="X44" s="149" t="n">
        <v>297</v>
      </c>
      <c r="Y44" s="149" t="n">
        <v>411</v>
      </c>
      <c r="Z44" s="149" t="n">
        <v>0</v>
      </c>
      <c r="AA44" s="149" t="n">
        <v>188</v>
      </c>
      <c r="AB44" s="149" t="n">
        <v>660</v>
      </c>
      <c r="AC44" s="149" t="n">
        <v>0</v>
      </c>
      <c r="AD44" s="149" t="n">
        <v>297</v>
      </c>
      <c r="AE44" s="149" t="n">
        <v>341</v>
      </c>
      <c r="AF44" s="149" t="n">
        <v>163</v>
      </c>
      <c r="AG44" s="149" t="n">
        <v>178</v>
      </c>
    </row>
    <row r="45" customFormat="false" ht="14.25" hidden="false" customHeight="true" outlineLevel="0" collapsed="false">
      <c r="A45" s="148"/>
      <c r="B45" s="148" t="s">
        <v>222</v>
      </c>
      <c r="C45" s="148" t="s">
        <v>16</v>
      </c>
      <c r="D45" s="149" t="n">
        <v>1189</v>
      </c>
      <c r="E45" s="149"/>
      <c r="F45" s="149" t="n">
        <v>45</v>
      </c>
      <c r="G45" s="149" t="n">
        <v>22</v>
      </c>
      <c r="H45" s="149" t="n">
        <v>23</v>
      </c>
      <c r="I45" s="149"/>
      <c r="J45" s="149" t="n">
        <v>130</v>
      </c>
      <c r="K45" s="149" t="n">
        <v>64</v>
      </c>
      <c r="L45" s="149" t="n">
        <v>66</v>
      </c>
      <c r="M45" s="149" t="n">
        <v>13</v>
      </c>
      <c r="N45" s="149" t="n">
        <v>7</v>
      </c>
      <c r="O45" s="149" t="n">
        <v>6</v>
      </c>
      <c r="P45" s="149" t="n">
        <v>5</v>
      </c>
      <c r="Q45" s="149" t="n">
        <v>3</v>
      </c>
      <c r="R45" s="149" t="n">
        <v>2</v>
      </c>
      <c r="S45" s="149" t="n">
        <v>31</v>
      </c>
      <c r="T45" s="149" t="n">
        <v>18</v>
      </c>
      <c r="U45" s="149" t="n">
        <v>13</v>
      </c>
      <c r="V45" s="149" t="n">
        <v>126</v>
      </c>
      <c r="W45" s="149" t="n">
        <v>0</v>
      </c>
      <c r="X45" s="149" t="n">
        <v>38</v>
      </c>
      <c r="Y45" s="149" t="n">
        <v>228</v>
      </c>
      <c r="Z45" s="149" t="n">
        <v>0</v>
      </c>
      <c r="AA45" s="149" t="n">
        <v>50</v>
      </c>
      <c r="AB45" s="149" t="n">
        <v>380</v>
      </c>
      <c r="AC45" s="149" t="n">
        <v>0</v>
      </c>
      <c r="AD45" s="149" t="n">
        <v>129</v>
      </c>
      <c r="AE45" s="149" t="n">
        <v>231</v>
      </c>
      <c r="AF45" s="149" t="n">
        <v>142</v>
      </c>
      <c r="AG45" s="149" t="n">
        <v>89</v>
      </c>
    </row>
    <row r="46" customFormat="false" ht="14.25" hidden="false" customHeight="true" outlineLevel="0" collapsed="false">
      <c r="A46" s="148"/>
      <c r="B46" s="148" t="s">
        <v>223</v>
      </c>
      <c r="C46" s="148" t="s">
        <v>13</v>
      </c>
      <c r="D46" s="149" t="n">
        <v>1521</v>
      </c>
      <c r="E46" s="149"/>
      <c r="F46" s="149" t="n">
        <v>0</v>
      </c>
      <c r="G46" s="149" t="n">
        <v>0</v>
      </c>
      <c r="H46" s="149" t="n">
        <v>0</v>
      </c>
      <c r="I46" s="149"/>
      <c r="J46" s="149" t="n">
        <v>24</v>
      </c>
      <c r="K46" s="149" t="n">
        <v>17</v>
      </c>
      <c r="L46" s="149" t="n">
        <v>7</v>
      </c>
      <c r="M46" s="149" t="n">
        <v>444</v>
      </c>
      <c r="N46" s="149" t="n">
        <v>241</v>
      </c>
      <c r="O46" s="149" t="n">
        <v>203</v>
      </c>
      <c r="P46" s="149" t="n">
        <v>148</v>
      </c>
      <c r="Q46" s="149" t="n">
        <v>71</v>
      </c>
      <c r="R46" s="149" t="n">
        <v>77</v>
      </c>
      <c r="S46" s="149" t="n">
        <v>17</v>
      </c>
      <c r="T46" s="149" t="n">
        <v>8</v>
      </c>
      <c r="U46" s="149" t="n">
        <v>9</v>
      </c>
      <c r="V46" s="149" t="n">
        <v>100</v>
      </c>
      <c r="W46" s="149" t="n">
        <v>0</v>
      </c>
      <c r="X46" s="149" t="n">
        <v>32</v>
      </c>
      <c r="Y46" s="149" t="n">
        <v>148</v>
      </c>
      <c r="Z46" s="149" t="n">
        <v>0</v>
      </c>
      <c r="AA46" s="149" t="n">
        <v>47</v>
      </c>
      <c r="AB46" s="149" t="n">
        <v>332</v>
      </c>
      <c r="AC46" s="149" t="n">
        <v>0</v>
      </c>
      <c r="AD46" s="149" t="n">
        <v>131</v>
      </c>
      <c r="AE46" s="149" t="n">
        <v>308</v>
      </c>
      <c r="AF46" s="149" t="n">
        <v>181</v>
      </c>
      <c r="AG46" s="149" t="n">
        <v>127</v>
      </c>
    </row>
    <row r="47" customFormat="false" ht="14.25" hidden="false" customHeight="true" outlineLevel="0" collapsed="false">
      <c r="A47" s="148"/>
      <c r="B47" s="148" t="s">
        <v>224</v>
      </c>
      <c r="C47" s="148" t="s">
        <v>12</v>
      </c>
      <c r="D47" s="149" t="n">
        <v>2034</v>
      </c>
      <c r="E47" s="149"/>
      <c r="F47" s="149" t="n">
        <v>6</v>
      </c>
      <c r="G47" s="149" t="n">
        <v>3</v>
      </c>
      <c r="H47" s="149" t="n">
        <v>3</v>
      </c>
      <c r="I47" s="149"/>
      <c r="J47" s="149" t="n">
        <v>97</v>
      </c>
      <c r="K47" s="149" t="n">
        <v>50</v>
      </c>
      <c r="L47" s="149" t="n">
        <v>47</v>
      </c>
      <c r="M47" s="149" t="n">
        <v>252</v>
      </c>
      <c r="N47" s="149" t="n">
        <v>112</v>
      </c>
      <c r="O47" s="149" t="n">
        <v>140</v>
      </c>
      <c r="P47" s="149" t="n">
        <v>127</v>
      </c>
      <c r="Q47" s="149" t="n">
        <v>65</v>
      </c>
      <c r="R47" s="149" t="n">
        <v>62</v>
      </c>
      <c r="S47" s="149" t="n">
        <v>75</v>
      </c>
      <c r="T47" s="149" t="n">
        <v>38</v>
      </c>
      <c r="U47" s="149" t="n">
        <v>37</v>
      </c>
      <c r="V47" s="149" t="n">
        <v>318</v>
      </c>
      <c r="W47" s="149" t="n">
        <v>0</v>
      </c>
      <c r="X47" s="149" t="n">
        <v>85</v>
      </c>
      <c r="Y47" s="149" t="n">
        <v>314</v>
      </c>
      <c r="Z47" s="149" t="n">
        <v>0</v>
      </c>
      <c r="AA47" s="149" t="n">
        <v>95</v>
      </c>
      <c r="AB47" s="149" t="n">
        <v>484</v>
      </c>
      <c r="AC47" s="149" t="n">
        <v>0</v>
      </c>
      <c r="AD47" s="149" t="n">
        <v>151</v>
      </c>
      <c r="AE47" s="149" t="n">
        <v>361</v>
      </c>
      <c r="AF47" s="149" t="n">
        <v>229</v>
      </c>
      <c r="AG47" s="149" t="n">
        <v>132</v>
      </c>
    </row>
    <row r="48" customFormat="false" ht="14.25" hidden="false" customHeight="true" outlineLevel="0" collapsed="false">
      <c r="A48" s="16"/>
      <c r="B48" s="16" t="s">
        <v>225</v>
      </c>
      <c r="C48" s="16"/>
      <c r="D48" s="16" t="n">
        <f aca="false">SUM(D36:D47)</f>
        <v>21129</v>
      </c>
      <c r="E48" s="16"/>
      <c r="F48" s="16" t="n">
        <f aca="false">SUM(F36:F47)</f>
        <v>226</v>
      </c>
      <c r="G48" s="16" t="n">
        <f aca="false">SUM(G36:G47)</f>
        <v>110</v>
      </c>
      <c r="H48" s="16" t="n">
        <f aca="false">SUM(H36:H47)</f>
        <v>116</v>
      </c>
      <c r="I48" s="16"/>
      <c r="J48" s="16" t="n">
        <f aca="false">SUM(J36:J47)</f>
        <v>1301</v>
      </c>
      <c r="K48" s="16" t="n">
        <f aca="false">SUM(K36:K47)</f>
        <v>630</v>
      </c>
      <c r="L48" s="16" t="n">
        <f aca="false">SUM(L36:L47)</f>
        <v>671</v>
      </c>
      <c r="M48" s="16" t="n">
        <f aca="false">SUM(M36:M47)</f>
        <v>1751</v>
      </c>
      <c r="N48" s="16" t="n">
        <f aca="false">SUM(N36:N47)</f>
        <v>887</v>
      </c>
      <c r="O48" s="16" t="n">
        <f aca="false">SUM(O36:O47)</f>
        <v>864</v>
      </c>
      <c r="P48" s="16" t="n">
        <f aca="false">SUM(P36:P47)</f>
        <v>745</v>
      </c>
      <c r="Q48" s="16" t="n">
        <f aca="false">SUM(Q36:Q47)</f>
        <v>377</v>
      </c>
      <c r="R48" s="16" t="n">
        <f aca="false">SUM(R36:R47)</f>
        <v>368</v>
      </c>
      <c r="S48" s="16" t="n">
        <f aca="false">SUM(S36:S47)</f>
        <v>797</v>
      </c>
      <c r="T48" s="16" t="n">
        <f aca="false">SUM(T36:T47)</f>
        <v>422</v>
      </c>
      <c r="U48" s="16" t="n">
        <f aca="false">SUM(U36:U47)</f>
        <v>375</v>
      </c>
      <c r="V48" s="16" t="n">
        <f aca="false">SUM(V36:V47)</f>
        <v>3883</v>
      </c>
      <c r="W48" s="16" t="n">
        <f aca="false">SUM(W36:W47)</f>
        <v>0</v>
      </c>
      <c r="X48" s="16" t="n">
        <f aca="false">SUM(X36:X47)</f>
        <v>1460</v>
      </c>
      <c r="Y48" s="16" t="n">
        <f aca="false">SUM(Y36:Y47)</f>
        <v>3696</v>
      </c>
      <c r="Z48" s="16" t="n">
        <f aca="false">SUM(Z36:Z47)</f>
        <v>0</v>
      </c>
      <c r="AA48" s="16" t="n">
        <f aca="false">SUM(AA36:AA47)</f>
        <v>1247</v>
      </c>
      <c r="AB48" s="16" t="n">
        <f aca="false">SUM(AB36:AB47)</f>
        <v>5309</v>
      </c>
      <c r="AC48" s="16" t="n">
        <f aca="false">SUM(AC36:AC47)</f>
        <v>0</v>
      </c>
      <c r="AD48" s="16" t="n">
        <f aca="false">SUM(AD36:AD47)</f>
        <v>2007</v>
      </c>
      <c r="AE48" s="16" t="n">
        <f aca="false">SUM(AE36:AE47)</f>
        <v>3421</v>
      </c>
      <c r="AF48" s="16" t="n">
        <f aca="false">SUM(AF36:AF47)</f>
        <v>2004</v>
      </c>
      <c r="AG48" s="16" t="n">
        <f aca="false">SUM(AG36:AG47)</f>
        <v>1417</v>
      </c>
    </row>
    <row r="49" customFormat="false" ht="14.25" hidden="false" customHeight="true" outlineLevel="0" collapsed="false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</row>
    <row r="50" customFormat="false" ht="14.25" hidden="false" customHeight="true" outlineLevel="0" collapsed="false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</row>
    <row r="51" customFormat="false" ht="14.25" hidden="false" customHeight="true" outlineLevel="0" collapsed="false">
      <c r="A51" s="16"/>
      <c r="B51" s="16" t="s">
        <v>226</v>
      </c>
      <c r="C51" s="16"/>
      <c r="D51" s="16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</row>
    <row r="52" customFormat="false" ht="14.25" hidden="false" customHeight="true" outlineLevel="0" collapsed="false">
      <c r="A52" s="16"/>
      <c r="B52" s="16" t="s">
        <v>165</v>
      </c>
      <c r="C52" s="16"/>
      <c r="D52" s="16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</row>
    <row r="53" customFormat="false" ht="14.25" hidden="false" customHeight="true" outlineLevel="0" collapsed="false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</row>
    <row r="54" customFormat="false" ht="14.25" hidden="false" customHeight="true" outlineLevel="0" collapsed="false">
      <c r="A54" s="24"/>
      <c r="B54" s="16" t="s">
        <v>227</v>
      </c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</row>
    <row r="55" customFormat="false" ht="14.25" hidden="false" customHeight="true" outlineLevel="0" collapsed="false">
      <c r="A55" s="24"/>
      <c r="B55" s="16" t="s">
        <v>228</v>
      </c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</row>
    <row r="56" customFormat="false" ht="14.25" hidden="false" customHeight="true" outlineLevel="0" collapsed="false">
      <c r="A56" s="24"/>
      <c r="B56" s="24" t="s">
        <v>229</v>
      </c>
      <c r="C56" s="24" t="s">
        <v>230</v>
      </c>
      <c r="D56" s="24" t="s">
        <v>82</v>
      </c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</row>
    <row r="57" customFormat="false" ht="14.25" hidden="false" customHeight="true" outlineLevel="0" collapsed="false">
      <c r="A57" s="24"/>
      <c r="B57" s="24" t="n">
        <v>1629</v>
      </c>
      <c r="C57" s="24" t="n">
        <v>3541</v>
      </c>
      <c r="D57" s="24" t="n">
        <f aca="false">SUM(B57:C57)</f>
        <v>5170</v>
      </c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</row>
    <row r="58" customFormat="false" ht="14.25" hidden="false" customHeight="true" outlineLevel="0" collapsed="false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</row>
    <row r="59" customFormat="false" ht="14.25" hidden="false" customHeight="true" outlineLevel="0" collapsed="false">
      <c r="A59" s="24"/>
      <c r="B59" s="24" t="s">
        <v>231</v>
      </c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</row>
    <row r="60" customFormat="false" ht="14.25" hidden="false" customHeight="true" outlineLevel="0" collapsed="false">
      <c r="A60" s="150"/>
      <c r="B60" s="132" t="s">
        <v>232</v>
      </c>
      <c r="C60" s="132"/>
      <c r="D60" s="132"/>
      <c r="E60" s="132" t="s">
        <v>233</v>
      </c>
      <c r="F60" s="132"/>
      <c r="G60" s="132"/>
      <c r="H60" s="132"/>
      <c r="I60" s="150"/>
      <c r="J60" s="132" t="s">
        <v>234</v>
      </c>
      <c r="K60" s="132"/>
      <c r="L60" s="132"/>
      <c r="M60" s="132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</row>
    <row r="61" customFormat="false" ht="14.25" hidden="false" customHeight="true" outlineLevel="0" collapsed="false">
      <c r="A61" s="24" t="s">
        <v>235</v>
      </c>
      <c r="B61" s="24" t="s">
        <v>236</v>
      </c>
      <c r="C61" s="24" t="s">
        <v>237</v>
      </c>
      <c r="D61" s="24" t="s">
        <v>153</v>
      </c>
      <c r="E61" s="24" t="s">
        <v>238</v>
      </c>
      <c r="F61" s="24" t="s">
        <v>236</v>
      </c>
      <c r="G61" s="24" t="s">
        <v>239</v>
      </c>
      <c r="H61" s="24" t="s">
        <v>240</v>
      </c>
      <c r="I61" s="24" t="s">
        <v>238</v>
      </c>
      <c r="J61" s="24" t="s">
        <v>241</v>
      </c>
      <c r="K61" s="24" t="s">
        <v>236</v>
      </c>
      <c r="L61" s="24" t="s">
        <v>242</v>
      </c>
      <c r="M61" s="24" t="s">
        <v>243</v>
      </c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</row>
    <row r="62" customFormat="false" ht="14.25" hidden="false" customHeight="true" outlineLevel="0" collapsed="false">
      <c r="A62" s="16" t="n">
        <f aca="false">SUM(B62:D62)</f>
        <v>4677</v>
      </c>
      <c r="B62" s="24" t="n">
        <v>3679</v>
      </c>
      <c r="C62" s="24" t="n">
        <v>497</v>
      </c>
      <c r="D62" s="24" t="n">
        <v>501</v>
      </c>
      <c r="E62" s="16" t="n">
        <f aca="false">SUM(F62:H62)</f>
        <v>3129</v>
      </c>
      <c r="F62" s="24" t="n">
        <v>2702</v>
      </c>
      <c r="G62" s="24" t="n">
        <v>259</v>
      </c>
      <c r="H62" s="24" t="n">
        <v>168</v>
      </c>
      <c r="I62" s="16" t="n">
        <f aca="false">SUM(J62:M62)</f>
        <v>4683</v>
      </c>
      <c r="J62" s="24" t="n">
        <v>430</v>
      </c>
      <c r="K62" s="24" t="n">
        <v>3456</v>
      </c>
      <c r="L62" s="24" t="n">
        <v>405</v>
      </c>
      <c r="M62" s="24" t="n">
        <v>392</v>
      </c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</row>
    <row r="63" customFormat="false" ht="14.25" hidden="false" customHeight="true" outlineLevel="0" collapsed="false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</row>
    <row r="64" customFormat="false" ht="14.25" hidden="false" customHeight="true" outlineLevel="0" collapsed="false">
      <c r="A64" s="132" t="s">
        <v>244</v>
      </c>
      <c r="B64" s="132"/>
      <c r="C64" s="132"/>
      <c r="D64" s="132" t="s">
        <v>245</v>
      </c>
      <c r="E64" s="132"/>
      <c r="F64" s="132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</row>
    <row r="65" customFormat="false" ht="14.25" hidden="false" customHeight="true" outlineLevel="0" collapsed="false">
      <c r="A65" s="24" t="s">
        <v>246</v>
      </c>
      <c r="B65" s="24" t="s">
        <v>236</v>
      </c>
      <c r="C65" s="24" t="s">
        <v>247</v>
      </c>
      <c r="D65" s="24" t="s">
        <v>246</v>
      </c>
      <c r="E65" s="24" t="s">
        <v>248</v>
      </c>
      <c r="F65" s="24" t="s">
        <v>236</v>
      </c>
      <c r="G65" s="24" t="s">
        <v>249</v>
      </c>
      <c r="H65" s="24" t="s">
        <v>250</v>
      </c>
      <c r="I65" s="24" t="s">
        <v>251</v>
      </c>
      <c r="J65" s="24" t="s">
        <v>252</v>
      </c>
      <c r="K65" s="24" t="s">
        <v>253</v>
      </c>
      <c r="L65" s="24" t="s">
        <v>254</v>
      </c>
      <c r="M65" s="24" t="s">
        <v>255</v>
      </c>
      <c r="N65" s="24" t="s">
        <v>256</v>
      </c>
      <c r="O65" s="24" t="s">
        <v>257</v>
      </c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</row>
    <row r="66" customFormat="false" ht="14.25" hidden="false" customHeight="true" outlineLevel="0" collapsed="false">
      <c r="A66" s="16" t="n">
        <v>4684</v>
      </c>
      <c r="B66" s="24" t="n">
        <v>3851</v>
      </c>
      <c r="C66" s="24" t="n">
        <v>833</v>
      </c>
      <c r="D66" s="16" t="n">
        <v>1072</v>
      </c>
      <c r="E66" s="24" t="n">
        <v>3</v>
      </c>
      <c r="F66" s="24" t="n">
        <v>1069</v>
      </c>
      <c r="G66" s="24" t="n">
        <v>250</v>
      </c>
      <c r="H66" s="24" t="n">
        <v>2</v>
      </c>
      <c r="I66" s="24" t="n">
        <v>248</v>
      </c>
      <c r="J66" s="24" t="n">
        <v>36</v>
      </c>
      <c r="K66" s="24" t="n">
        <v>0</v>
      </c>
      <c r="L66" s="24" t="n">
        <v>36</v>
      </c>
      <c r="M66" s="24" t="n">
        <v>187</v>
      </c>
      <c r="N66" s="24" t="n">
        <v>1</v>
      </c>
      <c r="O66" s="24" t="n">
        <v>186</v>
      </c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</row>
    <row r="67" customFormat="false" ht="14.25" hidden="false" customHeight="true" outlineLevel="0" collapsed="false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</row>
    <row r="68" customFormat="false" ht="14.25" hidden="false" customHeight="true" outlineLevel="0" collapsed="false">
      <c r="A68" s="24" t="s">
        <v>258</v>
      </c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</row>
    <row r="69" customFormat="false" ht="14.25" hidden="false" customHeight="true" outlineLevel="0" collapsed="false">
      <c r="A69" s="24" t="s">
        <v>246</v>
      </c>
      <c r="B69" s="24" t="s">
        <v>236</v>
      </c>
      <c r="C69" s="24" t="s">
        <v>259</v>
      </c>
      <c r="D69" s="24" t="s">
        <v>260</v>
      </c>
      <c r="E69" s="24" t="s">
        <v>261</v>
      </c>
      <c r="F69" s="24" t="s">
        <v>262</v>
      </c>
      <c r="G69" s="24" t="s">
        <v>263</v>
      </c>
      <c r="H69" s="24" t="s">
        <v>257</v>
      </c>
      <c r="I69" s="24" t="s">
        <v>264</v>
      </c>
      <c r="J69" s="24" t="s">
        <v>265</v>
      </c>
      <c r="K69" s="24" t="s">
        <v>254</v>
      </c>
      <c r="L69" s="24" t="s">
        <v>266</v>
      </c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</row>
    <row r="70" customFormat="false" ht="14.25" hidden="false" customHeight="true" outlineLevel="0" collapsed="false">
      <c r="A70" s="24" t="n">
        <v>210</v>
      </c>
      <c r="B70" s="24" t="n">
        <v>208</v>
      </c>
      <c r="C70" s="24" t="n">
        <v>2</v>
      </c>
      <c r="D70" s="24" t="n">
        <v>47</v>
      </c>
      <c r="E70" s="24" t="n">
        <v>47</v>
      </c>
      <c r="F70" s="24" t="n">
        <v>0</v>
      </c>
      <c r="G70" s="24" t="n">
        <v>38</v>
      </c>
      <c r="H70" s="24" t="n">
        <v>38</v>
      </c>
      <c r="I70" s="24" t="n">
        <v>0</v>
      </c>
      <c r="J70" s="24" t="n">
        <v>2</v>
      </c>
      <c r="K70" s="24" t="n">
        <v>2</v>
      </c>
      <c r="L70" s="24" t="n">
        <v>0</v>
      </c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</row>
    <row r="71" customFormat="false" ht="14.25" hidden="false" customHeight="true" outlineLevel="0" collapsed="false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</row>
    <row r="72" customFormat="false" ht="14.25" hidden="false" customHeight="true" outlineLevel="0" collapsed="false">
      <c r="A72" s="24" t="s">
        <v>267</v>
      </c>
      <c r="B72" s="24"/>
      <c r="C72" s="24"/>
      <c r="D72" s="24"/>
      <c r="E72" s="24" t="s">
        <v>268</v>
      </c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</row>
    <row r="73" customFormat="false" ht="14.25" hidden="false" customHeight="true" outlineLevel="0" collapsed="false">
      <c r="A73" s="24" t="s">
        <v>238</v>
      </c>
      <c r="B73" s="24" t="s">
        <v>269</v>
      </c>
      <c r="C73" s="24" t="s">
        <v>270</v>
      </c>
      <c r="D73" s="24" t="s">
        <v>271</v>
      </c>
      <c r="E73" s="24" t="s">
        <v>238</v>
      </c>
      <c r="F73" s="24" t="s">
        <v>236</v>
      </c>
      <c r="G73" s="24" t="s">
        <v>272</v>
      </c>
      <c r="H73" s="24" t="s">
        <v>273</v>
      </c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</row>
    <row r="74" customFormat="false" ht="14.25" hidden="false" customHeight="true" outlineLevel="0" collapsed="false">
      <c r="A74" s="24" t="n">
        <v>437</v>
      </c>
      <c r="B74" s="24" t="n">
        <v>437</v>
      </c>
      <c r="C74" s="24" t="n">
        <v>0</v>
      </c>
      <c r="D74" s="24" t="n">
        <v>0</v>
      </c>
      <c r="E74" s="24" t="n">
        <v>207</v>
      </c>
      <c r="F74" s="24" t="n">
        <v>207</v>
      </c>
      <c r="G74" s="24" t="n">
        <v>0</v>
      </c>
      <c r="H74" s="24" t="n">
        <v>0</v>
      </c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</row>
    <row r="75" customFormat="false" ht="14.25" hidden="false" customHeight="true" outlineLevel="0" collapsed="false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</row>
    <row r="76" customFormat="false" ht="14.25" hidden="false" customHeight="true" outlineLevel="0" collapsed="false">
      <c r="A76" s="24" t="s">
        <v>274</v>
      </c>
      <c r="B76" s="24"/>
      <c r="C76" s="24"/>
      <c r="D76" s="24"/>
      <c r="E76" s="24" t="s">
        <v>275</v>
      </c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</row>
    <row r="77" customFormat="false" ht="14.25" hidden="false" customHeight="true" outlineLevel="0" collapsed="false">
      <c r="A77" s="24" t="s">
        <v>238</v>
      </c>
      <c r="B77" s="24" t="s">
        <v>276</v>
      </c>
      <c r="C77" s="24" t="s">
        <v>277</v>
      </c>
      <c r="D77" s="24" t="s">
        <v>278</v>
      </c>
      <c r="E77" s="24" t="s">
        <v>238</v>
      </c>
      <c r="F77" s="24" t="s">
        <v>279</v>
      </c>
      <c r="G77" s="24" t="s">
        <v>280</v>
      </c>
      <c r="H77" s="24" t="s">
        <v>281</v>
      </c>
      <c r="I77" s="24" t="s">
        <v>282</v>
      </c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</row>
    <row r="78" customFormat="false" ht="14.25" hidden="false" customHeight="true" outlineLevel="0" collapsed="false">
      <c r="A78" s="24" t="n">
        <v>368</v>
      </c>
      <c r="B78" s="24" t="n">
        <v>194</v>
      </c>
      <c r="C78" s="24" t="n">
        <v>155</v>
      </c>
      <c r="D78" s="24" t="n">
        <v>19</v>
      </c>
      <c r="E78" s="24" t="n">
        <v>7</v>
      </c>
      <c r="F78" s="24" t="n">
        <v>7</v>
      </c>
      <c r="G78" s="24" t="n">
        <v>0</v>
      </c>
      <c r="H78" s="24" t="n">
        <v>0</v>
      </c>
      <c r="I78" s="24" t="n">
        <v>0</v>
      </c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</row>
    <row r="79" customFormat="false" ht="14.25" hidden="false" customHeight="true" outlineLevel="0" collapsed="false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</row>
    <row r="80" customFormat="false" ht="14.25" hidden="false" customHeight="true" outlineLevel="0" collapsed="false">
      <c r="A80" s="24" t="s">
        <v>283</v>
      </c>
      <c r="B80" s="24"/>
      <c r="C80" s="24"/>
      <c r="D80" s="24"/>
      <c r="E80" s="24" t="s">
        <v>284</v>
      </c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</row>
    <row r="81" customFormat="false" ht="14.25" hidden="false" customHeight="true" outlineLevel="0" collapsed="false">
      <c r="A81" s="24" t="s">
        <v>238</v>
      </c>
      <c r="B81" s="24" t="s">
        <v>276</v>
      </c>
      <c r="C81" s="24" t="s">
        <v>285</v>
      </c>
      <c r="D81" s="24" t="s">
        <v>286</v>
      </c>
      <c r="E81" s="24" t="s">
        <v>238</v>
      </c>
      <c r="F81" s="24" t="s">
        <v>276</v>
      </c>
      <c r="G81" s="24" t="s">
        <v>286</v>
      </c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</row>
    <row r="82" customFormat="false" ht="14.25" hidden="false" customHeight="true" outlineLevel="0" collapsed="false">
      <c r="A82" s="24" t="n">
        <v>27</v>
      </c>
      <c r="B82" s="24" t="n">
        <v>0</v>
      </c>
      <c r="C82" s="24" t="n">
        <v>25</v>
      </c>
      <c r="D82" s="24" t="n">
        <v>2</v>
      </c>
      <c r="E82" s="24" t="n">
        <v>24</v>
      </c>
      <c r="F82" s="24" t="n">
        <v>22</v>
      </c>
      <c r="G82" s="24" t="n">
        <v>2</v>
      </c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</row>
    <row r="83" customFormat="false" ht="14.25" hidden="false" customHeight="true" outlineLevel="0" collapsed="false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</row>
    <row r="84" customFormat="false" ht="14.25" hidden="false" customHeight="true" outlineLevel="0" collapsed="false">
      <c r="A84" s="24" t="s">
        <v>287</v>
      </c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</row>
    <row r="85" customFormat="false" ht="14.25" hidden="false" customHeight="true" outlineLevel="0" collapsed="false">
      <c r="A85" s="24" t="s">
        <v>238</v>
      </c>
      <c r="B85" s="24" t="s">
        <v>288</v>
      </c>
      <c r="C85" s="24" t="s">
        <v>289</v>
      </c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</row>
    <row r="86" customFormat="false" ht="14.25" hidden="false" customHeight="true" outlineLevel="0" collapsed="false">
      <c r="A86" s="24" t="n">
        <v>1</v>
      </c>
      <c r="B86" s="24" t="n">
        <v>1</v>
      </c>
      <c r="C86" s="24" t="n">
        <v>0</v>
      </c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</row>
    <row r="87" customFormat="false" ht="14.25" hidden="false" customHeight="true" outlineLevel="0" collapsed="false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</row>
    <row r="88" customFormat="false" ht="14.25" hidden="false" customHeight="true" outlineLevel="0" collapsed="false">
      <c r="A88" s="24" t="s">
        <v>290</v>
      </c>
      <c r="B88" s="24"/>
      <c r="C88" s="24"/>
      <c r="D88" s="24"/>
      <c r="E88" s="24"/>
      <c r="F88" s="24" t="s">
        <v>291</v>
      </c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</row>
    <row r="89" customFormat="false" ht="14.25" hidden="false" customHeight="true" outlineLevel="0" collapsed="false">
      <c r="A89" s="24" t="s">
        <v>238</v>
      </c>
      <c r="B89" s="24" t="s">
        <v>236</v>
      </c>
      <c r="C89" s="24" t="s">
        <v>292</v>
      </c>
      <c r="D89" s="24" t="s">
        <v>293</v>
      </c>
      <c r="E89" s="24" t="s">
        <v>294</v>
      </c>
      <c r="F89" s="24" t="s">
        <v>238</v>
      </c>
      <c r="G89" s="24" t="s">
        <v>295</v>
      </c>
      <c r="H89" s="24" t="s">
        <v>296</v>
      </c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</row>
    <row r="90" customFormat="false" ht="14.25" hidden="false" customHeight="true" outlineLevel="0" collapsed="false">
      <c r="A90" s="24" t="n">
        <v>2351</v>
      </c>
      <c r="B90" s="24" t="n">
        <v>1982</v>
      </c>
      <c r="C90" s="24" t="n">
        <v>265</v>
      </c>
      <c r="D90" s="24" t="n">
        <v>92</v>
      </c>
      <c r="E90" s="24" t="n">
        <v>12</v>
      </c>
      <c r="F90" s="24" t="n">
        <v>852</v>
      </c>
      <c r="G90" s="24" t="n">
        <v>823</v>
      </c>
      <c r="H90" s="24" t="n">
        <v>29</v>
      </c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</row>
    <row r="91" customFormat="false" ht="14.25" hidden="false" customHeight="true" outlineLevel="0" collapsed="false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</row>
    <row r="92" customFormat="false" ht="14.25" hidden="false" customHeight="true" outlineLevel="0" collapsed="false">
      <c r="A92" s="24" t="s">
        <v>297</v>
      </c>
      <c r="B92" s="24"/>
      <c r="C92" s="24"/>
      <c r="D92" s="24" t="s">
        <v>298</v>
      </c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</row>
    <row r="93" customFormat="false" ht="14.25" hidden="false" customHeight="true" outlineLevel="0" collapsed="false">
      <c r="A93" s="24" t="s">
        <v>238</v>
      </c>
      <c r="B93" s="24" t="s">
        <v>236</v>
      </c>
      <c r="C93" s="24" t="s">
        <v>299</v>
      </c>
      <c r="D93" s="24" t="s">
        <v>246</v>
      </c>
      <c r="E93" s="24" t="s">
        <v>236</v>
      </c>
      <c r="F93" s="24" t="s">
        <v>300</v>
      </c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</row>
    <row r="94" customFormat="false" ht="14.25" hidden="false" customHeight="true" outlineLevel="0" collapsed="false">
      <c r="A94" s="24" t="n">
        <v>2401</v>
      </c>
      <c r="B94" s="24" t="n">
        <v>2298</v>
      </c>
      <c r="C94" s="24" t="n">
        <v>103</v>
      </c>
      <c r="D94" s="24" t="n">
        <v>1530</v>
      </c>
      <c r="E94" s="24" t="n">
        <v>1529</v>
      </c>
      <c r="F94" s="24" t="n">
        <v>1</v>
      </c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</row>
    <row r="95" customFormat="false" ht="14.25" hidden="false" customHeight="true" outlineLevel="0" collapsed="false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</row>
    <row r="96" customFormat="false" ht="14.25" hidden="false" customHeight="true" outlineLevel="0" collapsed="false">
      <c r="A96" s="24" t="s">
        <v>301</v>
      </c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</row>
    <row r="97" customFormat="false" ht="14.25" hidden="false" customHeight="true" outlineLevel="0" collapsed="false">
      <c r="A97" s="24" t="s">
        <v>238</v>
      </c>
      <c r="B97" s="24" t="s">
        <v>276</v>
      </c>
      <c r="C97" s="24" t="s">
        <v>278</v>
      </c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</row>
    <row r="98" customFormat="false" ht="14.25" hidden="false" customHeight="true" outlineLevel="0" collapsed="false">
      <c r="A98" s="24" t="n">
        <v>178</v>
      </c>
      <c r="B98" s="24" t="n">
        <v>177</v>
      </c>
      <c r="C98" s="24" t="n">
        <v>1</v>
      </c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</row>
    <row r="99" customFormat="false" ht="14.25" hidden="false" customHeight="true" outlineLevel="0" collapsed="false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</row>
    <row r="100" customFormat="false" ht="14.25" hidden="false" customHeight="true" outlineLevel="0" collapsed="false">
      <c r="A100" s="16" t="s">
        <v>227</v>
      </c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</row>
    <row r="101" customFormat="false" ht="14.25" hidden="false" customHeight="true" outlineLevel="0" collapsed="false">
      <c r="A101" s="16" t="s">
        <v>302</v>
      </c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</row>
    <row r="102" customFormat="false" ht="14.25" hidden="false" customHeight="true" outlineLevel="0" collapsed="false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</row>
    <row r="103" customFormat="false" ht="14.25" hidden="false" customHeight="true" outlineLevel="0" collapsed="false">
      <c r="A103" s="24" t="s">
        <v>229</v>
      </c>
      <c r="B103" s="24" t="s">
        <v>230</v>
      </c>
      <c r="C103" s="24" t="s">
        <v>82</v>
      </c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</row>
    <row r="104" customFormat="false" ht="14.25" hidden="false" customHeight="true" outlineLevel="0" collapsed="false">
      <c r="A104" s="24" t="n">
        <v>1506</v>
      </c>
      <c r="B104" s="24" t="n">
        <v>3174</v>
      </c>
      <c r="C104" s="24" t="n">
        <f aca="false">SUM(A104:B104)</f>
        <v>4680</v>
      </c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</row>
    <row r="105" customFormat="false" ht="14.25" hidden="false" customHeight="true" outlineLevel="0" collapsed="false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</row>
    <row r="106" customFormat="false" ht="14.25" hidden="false" customHeight="true" outlineLevel="0" collapsed="false">
      <c r="A106" s="24" t="s">
        <v>303</v>
      </c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</row>
    <row r="107" customFormat="false" ht="14.25" hidden="false" customHeight="true" outlineLevel="0" collapsed="false">
      <c r="A107" s="24" t="s">
        <v>304</v>
      </c>
      <c r="B107" s="24" t="s">
        <v>305</v>
      </c>
      <c r="C107" s="24" t="s">
        <v>306</v>
      </c>
      <c r="D107" s="24" t="s">
        <v>307</v>
      </c>
      <c r="E107" s="24" t="s">
        <v>308</v>
      </c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</row>
    <row r="108" customFormat="false" ht="14.25" hidden="false" customHeight="true" outlineLevel="0" collapsed="false">
      <c r="A108" s="24" t="n">
        <v>4</v>
      </c>
      <c r="B108" s="24" t="n">
        <v>2</v>
      </c>
      <c r="C108" s="24" t="n">
        <v>0</v>
      </c>
      <c r="D108" s="24" t="n">
        <v>0</v>
      </c>
      <c r="E108" s="24" t="n">
        <v>2</v>
      </c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</row>
    <row r="109" customFormat="false" ht="14.25" hidden="false" customHeight="true" outlineLevel="0" collapsed="false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</row>
    <row r="110" customFormat="false" ht="14.25" hidden="false" customHeight="true" outlineLevel="0" collapsed="false">
      <c r="A110" s="24" t="s">
        <v>309</v>
      </c>
      <c r="B110" s="24" t="s">
        <v>310</v>
      </c>
      <c r="C110" s="24" t="s">
        <v>311</v>
      </c>
      <c r="D110" s="24" t="s">
        <v>312</v>
      </c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</row>
    <row r="111" customFormat="false" ht="14.25" hidden="false" customHeight="true" outlineLevel="0" collapsed="false">
      <c r="A111" s="24" t="n">
        <v>453</v>
      </c>
      <c r="B111" s="24" t="n">
        <v>143</v>
      </c>
      <c r="C111" s="24" t="n">
        <v>1</v>
      </c>
      <c r="D111" s="24" t="n">
        <v>0</v>
      </c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</row>
    <row r="112" customFormat="false" ht="14.25" hidden="false" customHeight="true" outlineLevel="0" collapsed="false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</row>
    <row r="113" customFormat="false" ht="14.25" hidden="false" customHeight="true" outlineLevel="0" collapsed="false">
      <c r="A113" s="24" t="s">
        <v>313</v>
      </c>
      <c r="B113" s="24" t="s">
        <v>314</v>
      </c>
      <c r="C113" s="24" t="s">
        <v>315</v>
      </c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</row>
    <row r="114" customFormat="false" ht="14.25" hidden="false" customHeight="true" outlineLevel="0" collapsed="false">
      <c r="A114" s="24" t="n">
        <v>0</v>
      </c>
      <c r="B114" s="24" t="n">
        <v>0</v>
      </c>
      <c r="C114" s="24" t="n">
        <v>0</v>
      </c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</row>
    <row r="115" customFormat="false" ht="14.25" hidden="false" customHeight="true" outlineLevel="0" collapsed="false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</row>
    <row r="116" customFormat="false" ht="14.25" hidden="false" customHeight="true" outlineLevel="0" collapsed="false">
      <c r="A116" s="24" t="s">
        <v>316</v>
      </c>
      <c r="B116" s="24" t="s">
        <v>317</v>
      </c>
      <c r="C116" s="24" t="s">
        <v>318</v>
      </c>
      <c r="D116" s="24" t="s">
        <v>319</v>
      </c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</row>
    <row r="117" customFormat="false" ht="14.25" hidden="false" customHeight="true" outlineLevel="0" collapsed="false">
      <c r="A117" s="24" t="n">
        <v>0</v>
      </c>
      <c r="B117" s="24" t="n">
        <v>0</v>
      </c>
      <c r="C117" s="24" t="n">
        <v>0</v>
      </c>
      <c r="D117" s="24" t="n">
        <v>0</v>
      </c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</row>
    <row r="118" customFormat="false" ht="14.25" hidden="false" customHeight="true" outlineLevel="0" collapsed="false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</row>
    <row r="119" customFormat="false" ht="14.25" hidden="false" customHeight="true" outlineLevel="0" collapsed="false">
      <c r="A119" s="24" t="s">
        <v>320</v>
      </c>
      <c r="B119" s="24" t="s">
        <v>321</v>
      </c>
      <c r="C119" s="24" t="s">
        <v>291</v>
      </c>
      <c r="D119" s="24" t="s">
        <v>322</v>
      </c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</row>
    <row r="120" customFormat="false" ht="14.25" hidden="false" customHeight="true" outlineLevel="0" collapsed="false">
      <c r="A120" s="24" t="n">
        <v>0</v>
      </c>
      <c r="B120" s="24" t="n">
        <v>0</v>
      </c>
      <c r="C120" s="24" t="n">
        <v>0</v>
      </c>
      <c r="D120" s="24" t="n">
        <v>0</v>
      </c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</row>
    <row r="121" customFormat="false" ht="14.25" hidden="false" customHeight="true" outlineLevel="0" collapsed="false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</row>
    <row r="122" customFormat="false" ht="14.25" hidden="false" customHeight="true" outlineLevel="0" collapsed="false">
      <c r="A122" s="24" t="s">
        <v>301</v>
      </c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</row>
    <row r="123" customFormat="false" ht="14.25" hidden="false" customHeight="true" outlineLevel="0" collapsed="false">
      <c r="A123" s="24" t="s">
        <v>323</v>
      </c>
      <c r="B123" s="24" t="s">
        <v>324</v>
      </c>
      <c r="C123" s="24" t="s">
        <v>325</v>
      </c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</row>
    <row r="124" customFormat="false" ht="14.25" hidden="false" customHeight="true" outlineLevel="0" collapsed="false">
      <c r="A124" s="24" t="n">
        <v>0</v>
      </c>
      <c r="B124" s="24" t="n">
        <v>0</v>
      </c>
      <c r="C124" s="24" t="n">
        <v>0</v>
      </c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</row>
    <row r="125" customFormat="false" ht="14.25" hidden="false" customHeight="true" outlineLevel="0" collapsed="false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</row>
    <row r="126" customFormat="false" ht="14.25" hidden="false" customHeight="true" outlineLevel="0" collapsed="false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</row>
    <row r="127" customFormat="false" ht="14.25" hidden="false" customHeight="true" outlineLevel="0" collapsed="false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</row>
    <row r="128" customFormat="false" ht="14.25" hidden="false" customHeight="true" outlineLevel="0" collapsed="false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</row>
    <row r="129" customFormat="false" ht="14.25" hidden="false" customHeight="true" outlineLevel="0" collapsed="false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</row>
    <row r="130" customFormat="false" ht="14.25" hidden="false" customHeight="true" outlineLevel="0" collapsed="false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</row>
    <row r="131" customFormat="false" ht="14.25" hidden="false" customHeight="true" outlineLevel="0" collapsed="false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</row>
    <row r="132" customFormat="false" ht="14.25" hidden="false" customHeight="true" outlineLevel="0" collapsed="false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</row>
    <row r="133" customFormat="false" ht="14.25" hidden="false" customHeight="true" outlineLevel="0" collapsed="false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</row>
    <row r="134" customFormat="false" ht="14.25" hidden="false" customHeight="true" outlineLevel="0" collapsed="false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</row>
    <row r="135" customFormat="false" ht="14.25" hidden="false" customHeight="true" outlineLevel="0" collapsed="false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</row>
    <row r="136" customFormat="false" ht="14.25" hidden="false" customHeight="true" outlineLevel="0" collapsed="false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</row>
    <row r="137" customFormat="false" ht="14.25" hidden="false" customHeight="true" outlineLevel="0" collapsed="false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</row>
    <row r="138" customFormat="false" ht="14.25" hidden="false" customHeight="true" outlineLevel="0" collapsed="false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</row>
    <row r="139" customFormat="false" ht="14.25" hidden="false" customHeight="true" outlineLevel="0" collapsed="false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</row>
    <row r="140" customFormat="false" ht="14.25" hidden="false" customHeight="true" outlineLevel="0" collapsed="false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</row>
    <row r="141" customFormat="false" ht="14.25" hidden="false" customHeight="true" outlineLevel="0" collapsed="false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</row>
    <row r="142" customFormat="false" ht="14.25" hidden="false" customHeight="true" outlineLevel="0" collapsed="false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</row>
    <row r="143" customFormat="false" ht="14.25" hidden="false" customHeight="true" outlineLevel="0" collapsed="false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</row>
    <row r="144" customFormat="false" ht="14.25" hidden="false" customHeight="true" outlineLevel="0" collapsed="false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</row>
    <row r="145" customFormat="false" ht="14.25" hidden="false" customHeight="true" outlineLevel="0" collapsed="false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</row>
    <row r="146" customFormat="false" ht="14.25" hidden="false" customHeight="true" outlineLevel="0" collapsed="false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</row>
    <row r="147" customFormat="false" ht="14.25" hidden="false" customHeight="true" outlineLevel="0" collapsed="false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</row>
    <row r="148" customFormat="false" ht="14.25" hidden="false" customHeight="true" outlineLevel="0" collapsed="false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</row>
    <row r="149" customFormat="false" ht="14.25" hidden="false" customHeight="true" outlineLevel="0" collapsed="false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</row>
    <row r="150" customFormat="false" ht="14.25" hidden="false" customHeight="true" outlineLevel="0" collapsed="false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</row>
    <row r="151" customFormat="false" ht="14.25" hidden="false" customHeight="true" outlineLevel="0" collapsed="false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</row>
    <row r="152" customFormat="false" ht="14.25" hidden="false" customHeight="true" outlineLevel="0" collapsed="false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</row>
    <row r="153" customFormat="false" ht="14.25" hidden="false" customHeight="true" outlineLevel="0" collapsed="false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</row>
    <row r="154" customFormat="false" ht="14.25" hidden="false" customHeight="true" outlineLevel="0" collapsed="false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</row>
    <row r="155" customFormat="false" ht="14.25" hidden="false" customHeight="true" outlineLevel="0" collapsed="false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</row>
    <row r="156" customFormat="false" ht="14.25" hidden="false" customHeight="true" outlineLevel="0" collapsed="false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</row>
    <row r="157" customFormat="false" ht="14.25" hidden="false" customHeight="true" outlineLevel="0" collapsed="false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</row>
    <row r="158" customFormat="false" ht="14.25" hidden="false" customHeight="true" outlineLevel="0" collapsed="false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</row>
    <row r="159" customFormat="false" ht="14.25" hidden="false" customHeight="true" outlineLevel="0" collapsed="false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</row>
    <row r="160" customFormat="false" ht="14.25" hidden="false" customHeight="true" outlineLevel="0" collapsed="false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</row>
    <row r="161" customFormat="false" ht="14.25" hidden="false" customHeight="true" outlineLevel="0" collapsed="false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</row>
    <row r="162" customFormat="false" ht="14.25" hidden="false" customHeight="true" outlineLevel="0" collapsed="false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</row>
    <row r="163" customFormat="false" ht="14.25" hidden="false" customHeight="true" outlineLevel="0" collapsed="false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</row>
    <row r="164" customFormat="false" ht="14.25" hidden="false" customHeight="true" outlineLevel="0" collapsed="false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</row>
    <row r="165" customFormat="false" ht="14.25" hidden="false" customHeight="true" outlineLevel="0" collapsed="false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</row>
    <row r="166" customFormat="false" ht="14.25" hidden="false" customHeight="true" outlineLevel="0" collapsed="false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</row>
    <row r="167" customFormat="false" ht="14.25" hidden="false" customHeight="true" outlineLevel="0" collapsed="false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</row>
    <row r="168" customFormat="false" ht="14.25" hidden="false" customHeight="true" outlineLevel="0" collapsed="false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</row>
    <row r="169" customFormat="false" ht="14.25" hidden="false" customHeight="true" outlineLevel="0" collapsed="false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</row>
    <row r="170" customFormat="false" ht="14.25" hidden="false" customHeight="true" outlineLevel="0" collapsed="false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</row>
    <row r="171" customFormat="false" ht="14.25" hidden="false" customHeight="true" outlineLevel="0" collapsed="false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</row>
    <row r="172" customFormat="false" ht="14.25" hidden="false" customHeight="true" outlineLevel="0" collapsed="false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</row>
    <row r="173" customFormat="false" ht="14.25" hidden="false" customHeight="true" outlineLevel="0" collapsed="false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</row>
    <row r="174" customFormat="false" ht="14.25" hidden="false" customHeight="true" outlineLevel="0" collapsed="false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</row>
    <row r="175" customFormat="false" ht="14.25" hidden="false" customHeight="true" outlineLevel="0" collapsed="false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</row>
    <row r="176" customFormat="false" ht="14.25" hidden="false" customHeight="true" outlineLevel="0" collapsed="false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</row>
    <row r="177" customFormat="false" ht="14.25" hidden="false" customHeight="true" outlineLevel="0" collapsed="false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</row>
    <row r="178" customFormat="false" ht="14.25" hidden="false" customHeight="true" outlineLevel="0" collapsed="false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</row>
    <row r="179" customFormat="false" ht="14.25" hidden="false" customHeight="true" outlineLevel="0" collapsed="false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</row>
    <row r="180" customFormat="false" ht="14.25" hidden="false" customHeight="true" outlineLevel="0" collapsed="false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</row>
    <row r="181" customFormat="false" ht="14.25" hidden="false" customHeight="true" outlineLevel="0" collapsed="false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</row>
    <row r="182" customFormat="false" ht="14.25" hidden="false" customHeight="true" outlineLevel="0" collapsed="false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</row>
    <row r="183" customFormat="false" ht="14.25" hidden="false" customHeight="true" outlineLevel="0" collapsed="false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</row>
    <row r="184" customFormat="false" ht="14.25" hidden="false" customHeight="true" outlineLevel="0" collapsed="false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</row>
    <row r="185" customFormat="false" ht="14.25" hidden="false" customHeight="true" outlineLevel="0" collapsed="false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</row>
    <row r="186" customFormat="false" ht="14.25" hidden="false" customHeight="true" outlineLevel="0" collapsed="false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</row>
    <row r="187" customFormat="false" ht="14.25" hidden="false" customHeight="true" outlineLevel="0" collapsed="false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</row>
    <row r="188" customFormat="false" ht="14.25" hidden="false" customHeight="true" outlineLevel="0" collapsed="false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</row>
    <row r="189" customFormat="false" ht="14.25" hidden="false" customHeight="true" outlineLevel="0" collapsed="false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</row>
    <row r="190" customFormat="false" ht="14.25" hidden="false" customHeight="true" outlineLevel="0" collapsed="false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</row>
    <row r="191" customFormat="false" ht="14.25" hidden="false" customHeight="true" outlineLevel="0" collapsed="false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</row>
    <row r="192" customFormat="false" ht="14.25" hidden="false" customHeight="true" outlineLevel="0" collapsed="false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</row>
    <row r="193" customFormat="false" ht="14.25" hidden="false" customHeight="true" outlineLevel="0" collapsed="false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</row>
    <row r="194" customFormat="false" ht="14.25" hidden="false" customHeight="true" outlineLevel="0" collapsed="false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</row>
    <row r="195" customFormat="false" ht="14.25" hidden="false" customHeight="true" outlineLevel="0" collapsed="false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</row>
    <row r="196" customFormat="false" ht="14.25" hidden="false" customHeight="true" outlineLevel="0" collapsed="false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</row>
    <row r="197" customFormat="false" ht="14.25" hidden="false" customHeight="true" outlineLevel="0" collapsed="false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</row>
    <row r="198" customFormat="false" ht="14.25" hidden="false" customHeight="true" outlineLevel="0" collapsed="false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</row>
    <row r="199" customFormat="false" ht="14.25" hidden="false" customHeight="true" outlineLevel="0" collapsed="false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</row>
    <row r="200" customFormat="false" ht="14.25" hidden="false" customHeight="true" outlineLevel="0" collapsed="false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</row>
    <row r="201" customFormat="false" ht="14.25" hidden="false" customHeight="true" outlineLevel="0" collapsed="false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</row>
    <row r="202" customFormat="false" ht="14.25" hidden="false" customHeight="true" outlineLevel="0" collapsed="false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</row>
    <row r="203" customFormat="false" ht="14.25" hidden="false" customHeight="true" outlineLevel="0" collapsed="false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</row>
    <row r="204" customFormat="false" ht="14.25" hidden="false" customHeight="true" outlineLevel="0" collapsed="false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</row>
    <row r="205" customFormat="false" ht="14.25" hidden="false" customHeight="true" outlineLevel="0" collapsed="false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</row>
    <row r="206" customFormat="false" ht="14.25" hidden="false" customHeight="true" outlineLevel="0" collapsed="false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</row>
    <row r="207" customFormat="false" ht="14.25" hidden="false" customHeight="true" outlineLevel="0" collapsed="false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</row>
    <row r="208" customFormat="false" ht="14.25" hidden="false" customHeight="true" outlineLevel="0" collapsed="false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</row>
    <row r="209" customFormat="false" ht="14.25" hidden="false" customHeight="true" outlineLevel="0" collapsed="false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</row>
    <row r="210" customFormat="false" ht="14.25" hidden="false" customHeight="true" outlineLevel="0" collapsed="false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</row>
    <row r="211" customFormat="false" ht="14.25" hidden="false" customHeight="true" outlineLevel="0" collapsed="false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</row>
    <row r="212" customFormat="false" ht="14.25" hidden="false" customHeight="true" outlineLevel="0" collapsed="false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</row>
    <row r="213" customFormat="false" ht="14.25" hidden="false" customHeight="true" outlineLevel="0" collapsed="false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</row>
    <row r="214" customFormat="false" ht="14.25" hidden="false" customHeight="true" outlineLevel="0" collapsed="false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</row>
    <row r="215" customFormat="false" ht="14.25" hidden="false" customHeight="true" outlineLevel="0" collapsed="false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</row>
    <row r="216" customFormat="false" ht="14.25" hidden="false" customHeight="true" outlineLevel="0" collapsed="false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</row>
    <row r="217" customFormat="false" ht="14.25" hidden="false" customHeight="true" outlineLevel="0" collapsed="false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</row>
    <row r="218" customFormat="false" ht="14.25" hidden="false" customHeight="true" outlineLevel="0" collapsed="false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</row>
    <row r="219" customFormat="false" ht="14.25" hidden="false" customHeight="true" outlineLevel="0" collapsed="false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</row>
    <row r="220" customFormat="false" ht="14.25" hidden="false" customHeight="true" outlineLevel="0" collapsed="false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</row>
    <row r="221" customFormat="false" ht="14.25" hidden="false" customHeight="true" outlineLevel="0" collapsed="false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</row>
    <row r="222" customFormat="false" ht="14.25" hidden="false" customHeight="true" outlineLevel="0" collapsed="false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</row>
    <row r="223" customFormat="false" ht="14.25" hidden="false" customHeight="true" outlineLevel="0" collapsed="false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</row>
    <row r="224" customFormat="false" ht="14.25" hidden="false" customHeight="true" outlineLevel="0" collapsed="false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</row>
    <row r="225" customFormat="false" ht="14.25" hidden="false" customHeight="true" outlineLevel="0" collapsed="false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</row>
    <row r="226" customFormat="false" ht="14.25" hidden="false" customHeight="true" outlineLevel="0" collapsed="false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</row>
    <row r="227" customFormat="false" ht="14.25" hidden="false" customHeight="true" outlineLevel="0" collapsed="false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</row>
    <row r="228" customFormat="false" ht="14.25" hidden="false" customHeight="true" outlineLevel="0" collapsed="false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</row>
    <row r="229" customFormat="false" ht="14.25" hidden="false" customHeight="true" outlineLevel="0" collapsed="false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</row>
    <row r="230" customFormat="false" ht="14.25" hidden="false" customHeight="true" outlineLevel="0" collapsed="false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</row>
    <row r="231" customFormat="false" ht="14.25" hidden="false" customHeight="true" outlineLevel="0" collapsed="false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</row>
    <row r="232" customFormat="false" ht="14.25" hidden="false" customHeight="true" outlineLevel="0" collapsed="false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</row>
    <row r="233" customFormat="false" ht="14.25" hidden="false" customHeight="true" outlineLevel="0" collapsed="false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</row>
    <row r="234" customFormat="false" ht="14.25" hidden="false" customHeight="true" outlineLevel="0" collapsed="false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</row>
    <row r="235" customFormat="false" ht="14.25" hidden="false" customHeight="true" outlineLevel="0" collapsed="false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</row>
    <row r="236" customFormat="false" ht="14.25" hidden="false" customHeight="true" outlineLevel="0" collapsed="false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</row>
    <row r="237" customFormat="false" ht="14.25" hidden="false" customHeight="true" outlineLevel="0" collapsed="false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</row>
    <row r="238" customFormat="false" ht="14.25" hidden="false" customHeight="true" outlineLevel="0" collapsed="false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</row>
    <row r="239" customFormat="false" ht="14.25" hidden="false" customHeight="true" outlineLevel="0" collapsed="false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</row>
    <row r="240" customFormat="false" ht="14.25" hidden="false" customHeight="true" outlineLevel="0" collapsed="false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</row>
    <row r="241" customFormat="false" ht="14.25" hidden="false" customHeight="true" outlineLevel="0" collapsed="false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</row>
    <row r="242" customFormat="false" ht="14.25" hidden="false" customHeight="true" outlineLevel="0" collapsed="false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</row>
    <row r="243" customFormat="false" ht="14.25" hidden="false" customHeight="true" outlineLevel="0" collapsed="false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</row>
    <row r="244" customFormat="false" ht="14.25" hidden="false" customHeight="true" outlineLevel="0" collapsed="false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</row>
    <row r="245" customFormat="false" ht="14.25" hidden="false" customHeight="true" outlineLevel="0" collapsed="false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</row>
    <row r="246" customFormat="false" ht="14.25" hidden="false" customHeight="true" outlineLevel="0" collapsed="false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</row>
    <row r="247" customFormat="false" ht="14.25" hidden="false" customHeight="true" outlineLevel="0" collapsed="false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</row>
    <row r="248" customFormat="false" ht="14.25" hidden="false" customHeight="true" outlineLevel="0" collapsed="false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</row>
    <row r="249" customFormat="false" ht="14.25" hidden="false" customHeight="true" outlineLevel="0" collapsed="false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</row>
    <row r="250" customFormat="false" ht="14.25" hidden="false" customHeight="true" outlineLevel="0" collapsed="false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</row>
    <row r="251" customFormat="false" ht="14.25" hidden="false" customHeight="true" outlineLevel="0" collapsed="false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</row>
    <row r="252" customFormat="false" ht="14.25" hidden="false" customHeight="true" outlineLevel="0" collapsed="false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</row>
    <row r="253" customFormat="false" ht="14.25" hidden="false" customHeight="true" outlineLevel="0" collapsed="false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</row>
    <row r="254" customFormat="false" ht="14.25" hidden="false" customHeight="true" outlineLevel="0" collapsed="false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</row>
    <row r="255" customFormat="false" ht="14.25" hidden="false" customHeight="true" outlineLevel="0" collapsed="false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</row>
    <row r="256" customFormat="false" ht="14.25" hidden="false" customHeight="true" outlineLevel="0" collapsed="false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</row>
    <row r="257" customFormat="false" ht="14.25" hidden="false" customHeight="true" outlineLevel="0" collapsed="false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</row>
    <row r="258" customFormat="false" ht="14.25" hidden="false" customHeight="true" outlineLevel="0" collapsed="false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</row>
    <row r="259" customFormat="false" ht="14.25" hidden="false" customHeight="true" outlineLevel="0" collapsed="false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</row>
    <row r="260" customFormat="false" ht="14.25" hidden="false" customHeight="true" outlineLevel="0" collapsed="false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</row>
    <row r="261" customFormat="false" ht="14.25" hidden="false" customHeight="true" outlineLevel="0" collapsed="false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</row>
    <row r="262" customFormat="false" ht="14.25" hidden="false" customHeight="true" outlineLevel="0" collapsed="false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</row>
    <row r="263" customFormat="false" ht="14.25" hidden="false" customHeight="true" outlineLevel="0" collapsed="false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</row>
    <row r="264" customFormat="false" ht="14.25" hidden="false" customHeight="true" outlineLevel="0" collapsed="false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</row>
    <row r="265" customFormat="false" ht="14.25" hidden="false" customHeight="true" outlineLevel="0" collapsed="false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24"/>
    </row>
    <row r="266" customFormat="false" ht="14.25" hidden="false" customHeight="true" outlineLevel="0" collapsed="false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  <c r="AG266" s="24"/>
    </row>
    <row r="267" customFormat="false" ht="14.25" hidden="false" customHeight="true" outlineLevel="0" collapsed="false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  <c r="AG267" s="24"/>
    </row>
    <row r="268" customFormat="false" ht="14.25" hidden="false" customHeight="true" outlineLevel="0" collapsed="false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</row>
    <row r="269" customFormat="false" ht="14.25" hidden="false" customHeight="true" outlineLevel="0" collapsed="false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</row>
    <row r="270" customFormat="false" ht="14.25" hidden="false" customHeight="true" outlineLevel="0" collapsed="false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</row>
    <row r="271" customFormat="false" ht="14.25" hidden="false" customHeight="true" outlineLevel="0" collapsed="false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</row>
    <row r="272" customFormat="false" ht="14.25" hidden="false" customHeight="true" outlineLevel="0" collapsed="false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</row>
    <row r="273" customFormat="false" ht="14.25" hidden="false" customHeight="true" outlineLevel="0" collapsed="false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</row>
    <row r="274" customFormat="false" ht="14.25" hidden="false" customHeight="true" outlineLevel="0" collapsed="false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</row>
    <row r="275" customFormat="false" ht="14.25" hidden="false" customHeight="true" outlineLevel="0" collapsed="false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</row>
    <row r="276" customFormat="false" ht="14.25" hidden="false" customHeight="true" outlineLevel="0" collapsed="false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</row>
    <row r="277" customFormat="false" ht="14.25" hidden="false" customHeight="true" outlineLevel="0" collapsed="false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</row>
    <row r="278" customFormat="false" ht="14.25" hidden="false" customHeight="true" outlineLevel="0" collapsed="false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</row>
    <row r="279" customFormat="false" ht="14.25" hidden="false" customHeight="true" outlineLevel="0" collapsed="false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</row>
    <row r="280" customFormat="false" ht="14.25" hidden="false" customHeight="true" outlineLevel="0" collapsed="false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</row>
    <row r="281" customFormat="false" ht="14.25" hidden="false" customHeight="true" outlineLevel="0" collapsed="false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</row>
    <row r="282" customFormat="false" ht="14.25" hidden="false" customHeight="true" outlineLevel="0" collapsed="false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</row>
    <row r="283" customFormat="false" ht="14.25" hidden="false" customHeight="true" outlineLevel="0" collapsed="false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</row>
    <row r="284" customFormat="false" ht="14.25" hidden="false" customHeight="true" outlineLevel="0" collapsed="false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</row>
    <row r="285" customFormat="false" ht="14.25" hidden="false" customHeight="true" outlineLevel="0" collapsed="false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</row>
    <row r="286" customFormat="false" ht="14.25" hidden="false" customHeight="true" outlineLevel="0" collapsed="false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</row>
    <row r="287" customFormat="false" ht="14.25" hidden="false" customHeight="true" outlineLevel="0" collapsed="false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</row>
    <row r="288" customFormat="false" ht="14.25" hidden="false" customHeight="true" outlineLevel="0" collapsed="false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</row>
    <row r="289" customFormat="false" ht="14.25" hidden="false" customHeight="true" outlineLevel="0" collapsed="false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</row>
    <row r="290" customFormat="false" ht="14.25" hidden="false" customHeight="true" outlineLevel="0" collapsed="false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</row>
    <row r="291" customFormat="false" ht="14.25" hidden="false" customHeight="true" outlineLevel="0" collapsed="false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</row>
    <row r="292" customFormat="false" ht="14.25" hidden="false" customHeight="true" outlineLevel="0" collapsed="false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</row>
    <row r="293" customFormat="false" ht="14.25" hidden="false" customHeight="true" outlineLevel="0" collapsed="false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</row>
    <row r="294" customFormat="false" ht="14.25" hidden="false" customHeight="true" outlineLevel="0" collapsed="false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</row>
    <row r="295" customFormat="false" ht="14.25" hidden="false" customHeight="true" outlineLevel="0" collapsed="false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</row>
    <row r="296" customFormat="false" ht="14.25" hidden="false" customHeight="true" outlineLevel="0" collapsed="false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</row>
    <row r="297" customFormat="false" ht="14.25" hidden="false" customHeight="true" outlineLevel="0" collapsed="false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</row>
    <row r="298" customFormat="false" ht="14.25" hidden="false" customHeight="true" outlineLevel="0" collapsed="false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</row>
    <row r="299" customFormat="false" ht="14.25" hidden="false" customHeight="true" outlineLevel="0" collapsed="false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</row>
    <row r="300" customFormat="false" ht="14.25" hidden="false" customHeight="true" outlineLevel="0" collapsed="false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</row>
    <row r="301" customFormat="false" ht="14.25" hidden="false" customHeight="true" outlineLevel="0" collapsed="false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</row>
    <row r="302" customFormat="false" ht="14.25" hidden="false" customHeight="true" outlineLevel="0" collapsed="false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  <c r="AG302" s="24"/>
    </row>
    <row r="303" customFormat="false" ht="14.25" hidden="false" customHeight="true" outlineLevel="0" collapsed="false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</row>
    <row r="304" customFormat="false" ht="14.25" hidden="false" customHeight="true" outlineLevel="0" collapsed="false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</row>
    <row r="305" customFormat="false" ht="14.25" hidden="false" customHeight="true" outlineLevel="0" collapsed="false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</row>
    <row r="306" customFormat="false" ht="14.25" hidden="false" customHeight="true" outlineLevel="0" collapsed="false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</row>
    <row r="307" customFormat="false" ht="14.25" hidden="false" customHeight="true" outlineLevel="0" collapsed="false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</row>
    <row r="308" customFormat="false" ht="14.25" hidden="false" customHeight="true" outlineLevel="0" collapsed="false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</row>
    <row r="309" customFormat="false" ht="14.25" hidden="false" customHeight="true" outlineLevel="0" collapsed="false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</row>
    <row r="310" customFormat="false" ht="14.25" hidden="false" customHeight="true" outlineLevel="0" collapsed="false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</row>
    <row r="311" customFormat="false" ht="14.25" hidden="false" customHeight="true" outlineLevel="0" collapsed="false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</row>
    <row r="312" customFormat="false" ht="14.25" hidden="false" customHeight="true" outlineLevel="0" collapsed="false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</row>
    <row r="313" customFormat="false" ht="14.25" hidden="false" customHeight="true" outlineLevel="0" collapsed="false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</row>
    <row r="314" customFormat="false" ht="14.25" hidden="false" customHeight="true" outlineLevel="0" collapsed="false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</row>
    <row r="315" customFormat="false" ht="14.25" hidden="false" customHeight="true" outlineLevel="0" collapsed="false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</row>
    <row r="316" customFormat="false" ht="14.25" hidden="false" customHeight="true" outlineLevel="0" collapsed="false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</row>
    <row r="317" customFormat="false" ht="14.25" hidden="false" customHeight="true" outlineLevel="0" collapsed="false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</row>
    <row r="318" customFormat="false" ht="14.25" hidden="false" customHeight="true" outlineLevel="0" collapsed="false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</row>
    <row r="319" customFormat="false" ht="14.25" hidden="false" customHeight="true" outlineLevel="0" collapsed="false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</row>
    <row r="320" customFormat="false" ht="14.25" hidden="false" customHeight="true" outlineLevel="0" collapsed="false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</row>
    <row r="321" customFormat="false" ht="14.25" hidden="false" customHeight="true" outlineLevel="0" collapsed="false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</row>
    <row r="322" customFormat="false" ht="14.25" hidden="false" customHeight="true" outlineLevel="0" collapsed="false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</row>
    <row r="323" customFormat="false" ht="14.25" hidden="false" customHeight="true" outlineLevel="0" collapsed="false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24"/>
    </row>
    <row r="324" customFormat="false" ht="14.25" hidden="false" customHeight="true" outlineLevel="0" collapsed="false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24"/>
    </row>
    <row r="325" customFormat="false" ht="14.25" hidden="false" customHeight="true" outlineLevel="0" collapsed="false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  <c r="AG325" s="24"/>
    </row>
    <row r="326" customFormat="false" ht="14.25" hidden="false" customHeight="true" outlineLevel="0" collapsed="false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  <c r="AG326" s="24"/>
    </row>
    <row r="327" customFormat="false" ht="14.25" hidden="false" customHeight="true" outlineLevel="0" collapsed="false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24"/>
    </row>
    <row r="328" customFormat="false" ht="14.25" hidden="false" customHeight="true" outlineLevel="0" collapsed="false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  <c r="AG328" s="24"/>
    </row>
    <row r="329" customFormat="false" ht="14.25" hidden="false" customHeight="true" outlineLevel="0" collapsed="false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</row>
    <row r="330" customFormat="false" ht="14.25" hidden="false" customHeight="true" outlineLevel="0" collapsed="false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  <c r="AG330" s="24"/>
    </row>
    <row r="331" customFormat="false" ht="14.25" hidden="false" customHeight="true" outlineLevel="0" collapsed="false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  <c r="AG331" s="24"/>
    </row>
    <row r="332" customFormat="false" ht="14.25" hidden="false" customHeight="true" outlineLevel="0" collapsed="false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</row>
    <row r="333" customFormat="false" ht="14.25" hidden="false" customHeight="true" outlineLevel="0" collapsed="false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  <c r="AG333" s="24"/>
    </row>
    <row r="334" customFormat="false" ht="14.25" hidden="false" customHeight="true" outlineLevel="0" collapsed="false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  <c r="AG334" s="24"/>
    </row>
    <row r="335" customFormat="false" ht="14.25" hidden="false" customHeight="true" outlineLevel="0" collapsed="false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  <c r="AG335" s="24"/>
    </row>
    <row r="336" customFormat="false" ht="14.25" hidden="false" customHeight="true" outlineLevel="0" collapsed="false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24"/>
    </row>
    <row r="337" customFormat="false" ht="14.25" hidden="false" customHeight="true" outlineLevel="0" collapsed="false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  <c r="AG337" s="24"/>
    </row>
    <row r="338" customFormat="false" ht="14.25" hidden="false" customHeight="true" outlineLevel="0" collapsed="false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  <c r="AG338" s="24"/>
    </row>
    <row r="339" customFormat="false" ht="14.25" hidden="false" customHeight="true" outlineLevel="0" collapsed="false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  <c r="AG339" s="24"/>
    </row>
    <row r="340" customFormat="false" ht="14.25" hidden="false" customHeight="true" outlineLevel="0" collapsed="false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  <c r="AG340" s="24"/>
    </row>
    <row r="341" customFormat="false" ht="14.25" hidden="false" customHeight="true" outlineLevel="0" collapsed="false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  <c r="AG341" s="24"/>
    </row>
    <row r="342" customFormat="false" ht="14.25" hidden="false" customHeight="true" outlineLevel="0" collapsed="false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  <c r="AG342" s="24"/>
    </row>
    <row r="343" customFormat="false" ht="14.25" hidden="false" customHeight="true" outlineLevel="0" collapsed="false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  <c r="AG343" s="24"/>
    </row>
    <row r="344" customFormat="false" ht="14.25" hidden="false" customHeight="true" outlineLevel="0" collapsed="false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  <c r="AG344" s="24"/>
    </row>
    <row r="345" customFormat="false" ht="14.25" hidden="false" customHeight="true" outlineLevel="0" collapsed="false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24"/>
    </row>
    <row r="346" customFormat="false" ht="14.25" hidden="false" customHeight="true" outlineLevel="0" collapsed="false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  <c r="AG346" s="24"/>
    </row>
    <row r="347" customFormat="false" ht="14.25" hidden="false" customHeight="true" outlineLevel="0" collapsed="false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  <c r="AG347" s="24"/>
    </row>
    <row r="348" customFormat="false" ht="14.25" hidden="false" customHeight="true" outlineLevel="0" collapsed="false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  <c r="AG348" s="24"/>
    </row>
    <row r="349" customFormat="false" ht="14.25" hidden="false" customHeight="true" outlineLevel="0" collapsed="false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  <c r="AG349" s="24"/>
    </row>
    <row r="350" customFormat="false" ht="14.25" hidden="false" customHeight="true" outlineLevel="0" collapsed="false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  <c r="AG350" s="24"/>
    </row>
    <row r="351" customFormat="false" ht="14.25" hidden="false" customHeight="true" outlineLevel="0" collapsed="false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  <c r="AG351" s="24"/>
    </row>
    <row r="352" customFormat="false" ht="14.25" hidden="false" customHeight="true" outlineLevel="0" collapsed="false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24"/>
    </row>
    <row r="353" customFormat="false" ht="14.25" hidden="false" customHeight="true" outlineLevel="0" collapsed="false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24"/>
    </row>
    <row r="354" customFormat="false" ht="14.25" hidden="false" customHeight="true" outlineLevel="0" collapsed="false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  <c r="AG354" s="24"/>
    </row>
    <row r="355" customFormat="false" ht="14.25" hidden="false" customHeight="true" outlineLevel="0" collapsed="false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  <c r="AG355" s="24"/>
    </row>
    <row r="356" customFormat="false" ht="14.25" hidden="false" customHeight="true" outlineLevel="0" collapsed="false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  <c r="AG356" s="24"/>
    </row>
    <row r="357" customFormat="false" ht="14.25" hidden="false" customHeight="true" outlineLevel="0" collapsed="false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</row>
    <row r="358" customFormat="false" ht="14.25" hidden="false" customHeight="true" outlineLevel="0" collapsed="false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</row>
    <row r="359" customFormat="false" ht="14.25" hidden="false" customHeight="true" outlineLevel="0" collapsed="false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  <c r="AG359" s="24"/>
    </row>
    <row r="360" customFormat="false" ht="14.25" hidden="false" customHeight="true" outlineLevel="0" collapsed="false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  <c r="AG360" s="24"/>
    </row>
    <row r="361" customFormat="false" ht="14.25" hidden="false" customHeight="true" outlineLevel="0" collapsed="false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  <c r="AG361" s="24"/>
    </row>
    <row r="362" customFormat="false" ht="14.25" hidden="false" customHeight="true" outlineLevel="0" collapsed="false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  <c r="AG362" s="24"/>
    </row>
    <row r="363" customFormat="false" ht="14.25" hidden="false" customHeight="true" outlineLevel="0" collapsed="false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  <c r="AG363" s="24"/>
    </row>
    <row r="364" customFormat="false" ht="14.25" hidden="false" customHeight="true" outlineLevel="0" collapsed="false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  <c r="AG364" s="24"/>
    </row>
    <row r="365" customFormat="false" ht="14.25" hidden="false" customHeight="true" outlineLevel="0" collapsed="false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  <c r="AG365" s="24"/>
    </row>
    <row r="366" customFormat="false" ht="14.25" hidden="false" customHeight="true" outlineLevel="0" collapsed="false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  <c r="AG366" s="24"/>
    </row>
    <row r="367" customFormat="false" ht="14.25" hidden="false" customHeight="true" outlineLevel="0" collapsed="false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</row>
    <row r="368" customFormat="false" ht="14.25" hidden="false" customHeight="true" outlineLevel="0" collapsed="false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  <c r="AG368" s="24"/>
    </row>
    <row r="369" customFormat="false" ht="14.25" hidden="false" customHeight="true" outlineLevel="0" collapsed="false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  <c r="AG369" s="24"/>
    </row>
    <row r="370" customFormat="false" ht="14.25" hidden="false" customHeight="true" outlineLevel="0" collapsed="false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</row>
    <row r="371" customFormat="false" ht="14.25" hidden="false" customHeight="true" outlineLevel="0" collapsed="false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  <c r="AG371" s="24"/>
    </row>
    <row r="372" customFormat="false" ht="14.25" hidden="false" customHeight="true" outlineLevel="0" collapsed="false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  <c r="AG372" s="24"/>
    </row>
    <row r="373" customFormat="false" ht="14.25" hidden="false" customHeight="true" outlineLevel="0" collapsed="false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  <c r="AG373" s="24"/>
    </row>
    <row r="374" customFormat="false" ht="14.25" hidden="false" customHeight="true" outlineLevel="0" collapsed="false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  <c r="AG374" s="24"/>
    </row>
    <row r="375" customFormat="false" ht="14.25" hidden="false" customHeight="true" outlineLevel="0" collapsed="false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  <c r="AG375" s="24"/>
    </row>
    <row r="376" customFormat="false" ht="14.25" hidden="false" customHeight="true" outlineLevel="0" collapsed="false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  <c r="AG376" s="24"/>
    </row>
    <row r="377" customFormat="false" ht="14.25" hidden="false" customHeight="true" outlineLevel="0" collapsed="false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  <c r="AG377" s="24"/>
    </row>
    <row r="378" customFormat="false" ht="14.25" hidden="false" customHeight="true" outlineLevel="0" collapsed="false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  <c r="AG378" s="24"/>
    </row>
    <row r="379" customFormat="false" ht="14.25" hidden="false" customHeight="true" outlineLevel="0" collapsed="false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  <c r="AG379" s="24"/>
    </row>
    <row r="380" customFormat="false" ht="14.25" hidden="false" customHeight="true" outlineLevel="0" collapsed="false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  <c r="AG380" s="24"/>
    </row>
    <row r="381" customFormat="false" ht="14.25" hidden="false" customHeight="true" outlineLevel="0" collapsed="false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  <c r="AG381" s="24"/>
    </row>
    <row r="382" customFormat="false" ht="14.25" hidden="false" customHeight="true" outlineLevel="0" collapsed="false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  <c r="AG382" s="24"/>
    </row>
    <row r="383" customFormat="false" ht="14.25" hidden="false" customHeight="true" outlineLevel="0" collapsed="false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  <c r="AG383" s="24"/>
    </row>
    <row r="384" customFormat="false" ht="14.25" hidden="false" customHeight="true" outlineLevel="0" collapsed="false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  <c r="AG384" s="24"/>
    </row>
    <row r="385" customFormat="false" ht="14.25" hidden="false" customHeight="true" outlineLevel="0" collapsed="false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  <c r="AG385" s="24"/>
    </row>
    <row r="386" customFormat="false" ht="14.25" hidden="false" customHeight="true" outlineLevel="0" collapsed="false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  <c r="AG386" s="24"/>
    </row>
    <row r="387" customFormat="false" ht="14.25" hidden="false" customHeight="true" outlineLevel="0" collapsed="false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  <c r="AG387" s="24"/>
    </row>
    <row r="388" customFormat="false" ht="14.25" hidden="false" customHeight="true" outlineLevel="0" collapsed="false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  <c r="AG388" s="24"/>
    </row>
    <row r="389" customFormat="false" ht="14.25" hidden="false" customHeight="true" outlineLevel="0" collapsed="false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  <c r="AG389" s="24"/>
    </row>
    <row r="390" customFormat="false" ht="14.25" hidden="false" customHeight="true" outlineLevel="0" collapsed="false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  <c r="AG390" s="24"/>
    </row>
    <row r="391" customFormat="false" ht="14.25" hidden="false" customHeight="true" outlineLevel="0" collapsed="false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  <c r="AG391" s="24"/>
    </row>
    <row r="392" customFormat="false" ht="14.25" hidden="false" customHeight="true" outlineLevel="0" collapsed="false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  <c r="AG392" s="24"/>
    </row>
    <row r="393" customFormat="false" ht="14.25" hidden="false" customHeight="true" outlineLevel="0" collapsed="false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  <c r="AG393" s="24"/>
    </row>
    <row r="394" customFormat="false" ht="14.25" hidden="false" customHeight="true" outlineLevel="0" collapsed="false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  <c r="AG394" s="24"/>
    </row>
    <row r="395" customFormat="false" ht="14.25" hidden="false" customHeight="true" outlineLevel="0" collapsed="false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  <c r="AG395" s="24"/>
    </row>
    <row r="396" customFormat="false" ht="14.25" hidden="false" customHeight="true" outlineLevel="0" collapsed="false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  <c r="AG396" s="24"/>
    </row>
    <row r="397" customFormat="false" ht="14.25" hidden="false" customHeight="true" outlineLevel="0" collapsed="false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  <c r="AG397" s="24"/>
    </row>
    <row r="398" customFormat="false" ht="14.25" hidden="false" customHeight="true" outlineLevel="0" collapsed="false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  <c r="AG398" s="24"/>
    </row>
    <row r="399" customFormat="false" ht="14.25" hidden="false" customHeight="true" outlineLevel="0" collapsed="false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  <c r="AG399" s="24"/>
    </row>
    <row r="400" customFormat="false" ht="14.25" hidden="false" customHeight="true" outlineLevel="0" collapsed="false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  <c r="AG400" s="24"/>
    </row>
    <row r="401" customFormat="false" ht="14.25" hidden="false" customHeight="true" outlineLevel="0" collapsed="false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  <c r="AG401" s="24"/>
    </row>
    <row r="402" customFormat="false" ht="14.25" hidden="false" customHeight="true" outlineLevel="0" collapsed="false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  <c r="AG402" s="24"/>
    </row>
    <row r="403" customFormat="false" ht="14.25" hidden="false" customHeight="true" outlineLevel="0" collapsed="false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  <c r="AG403" s="24"/>
    </row>
    <row r="404" customFormat="false" ht="14.25" hidden="false" customHeight="true" outlineLevel="0" collapsed="false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  <c r="AG404" s="24"/>
    </row>
    <row r="405" customFormat="false" ht="14.25" hidden="false" customHeight="true" outlineLevel="0" collapsed="false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</row>
    <row r="406" customFormat="false" ht="14.25" hidden="false" customHeight="true" outlineLevel="0" collapsed="false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24"/>
    </row>
    <row r="407" customFormat="false" ht="14.25" hidden="false" customHeight="true" outlineLevel="0" collapsed="false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  <c r="AG407" s="24"/>
    </row>
    <row r="408" customFormat="false" ht="14.25" hidden="false" customHeight="true" outlineLevel="0" collapsed="false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</row>
    <row r="409" customFormat="false" ht="14.25" hidden="false" customHeight="true" outlineLevel="0" collapsed="false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  <c r="AG409" s="24"/>
    </row>
    <row r="410" customFormat="false" ht="14.25" hidden="false" customHeight="true" outlineLevel="0" collapsed="false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  <c r="AG410" s="24"/>
    </row>
    <row r="411" customFormat="false" ht="14.25" hidden="false" customHeight="true" outlineLevel="0" collapsed="false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  <c r="AG411" s="24"/>
    </row>
    <row r="412" customFormat="false" ht="14.25" hidden="false" customHeight="true" outlineLevel="0" collapsed="false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  <c r="AG412" s="24"/>
    </row>
    <row r="413" customFormat="false" ht="14.25" hidden="false" customHeight="true" outlineLevel="0" collapsed="false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  <c r="AG413" s="24"/>
    </row>
    <row r="414" customFormat="false" ht="14.25" hidden="false" customHeight="true" outlineLevel="0" collapsed="false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  <c r="AG414" s="24"/>
    </row>
    <row r="415" customFormat="false" ht="14.25" hidden="false" customHeight="true" outlineLevel="0" collapsed="false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  <c r="AG415" s="24"/>
    </row>
    <row r="416" customFormat="false" ht="14.25" hidden="false" customHeight="true" outlineLevel="0" collapsed="false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  <c r="AG416" s="24"/>
    </row>
    <row r="417" customFormat="false" ht="14.25" hidden="false" customHeight="true" outlineLevel="0" collapsed="false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  <c r="AG417" s="24"/>
    </row>
    <row r="418" customFormat="false" ht="14.25" hidden="false" customHeight="true" outlineLevel="0" collapsed="false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  <c r="AG418" s="24"/>
    </row>
    <row r="419" customFormat="false" ht="14.25" hidden="false" customHeight="true" outlineLevel="0" collapsed="false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  <c r="AG419" s="24"/>
    </row>
    <row r="420" customFormat="false" ht="14.25" hidden="false" customHeight="true" outlineLevel="0" collapsed="false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  <c r="AG420" s="24"/>
    </row>
    <row r="421" customFormat="false" ht="14.25" hidden="false" customHeight="true" outlineLevel="0" collapsed="false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  <c r="AG421" s="24"/>
    </row>
    <row r="422" customFormat="false" ht="14.25" hidden="false" customHeight="true" outlineLevel="0" collapsed="false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  <c r="AG422" s="24"/>
    </row>
    <row r="423" customFormat="false" ht="14.25" hidden="false" customHeight="true" outlineLevel="0" collapsed="false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  <c r="AG423" s="24"/>
    </row>
    <row r="424" customFormat="false" ht="14.25" hidden="false" customHeight="true" outlineLevel="0" collapsed="false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  <c r="AG424" s="24"/>
    </row>
    <row r="425" customFormat="false" ht="14.25" hidden="false" customHeight="true" outlineLevel="0" collapsed="false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  <c r="AG425" s="24"/>
    </row>
    <row r="426" customFormat="false" ht="14.25" hidden="false" customHeight="true" outlineLevel="0" collapsed="false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  <c r="AG426" s="24"/>
    </row>
    <row r="427" customFormat="false" ht="14.25" hidden="false" customHeight="true" outlineLevel="0" collapsed="false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  <c r="AG427" s="24"/>
    </row>
    <row r="428" customFormat="false" ht="14.25" hidden="false" customHeight="true" outlineLevel="0" collapsed="false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  <c r="AG428" s="24"/>
    </row>
    <row r="429" customFormat="false" ht="14.25" hidden="false" customHeight="true" outlineLevel="0" collapsed="false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  <c r="AG429" s="24"/>
    </row>
    <row r="430" customFormat="false" ht="14.25" hidden="false" customHeight="true" outlineLevel="0" collapsed="false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  <c r="AG430" s="24"/>
    </row>
    <row r="431" customFormat="false" ht="14.25" hidden="false" customHeight="true" outlineLevel="0" collapsed="false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  <c r="AG431" s="24"/>
    </row>
    <row r="432" customFormat="false" ht="14.25" hidden="false" customHeight="true" outlineLevel="0" collapsed="false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  <c r="AG432" s="24"/>
    </row>
    <row r="433" customFormat="false" ht="14.25" hidden="false" customHeight="true" outlineLevel="0" collapsed="false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  <c r="AG433" s="24"/>
    </row>
    <row r="434" customFormat="false" ht="14.25" hidden="false" customHeight="true" outlineLevel="0" collapsed="false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  <c r="AG434" s="24"/>
    </row>
    <row r="435" customFormat="false" ht="14.25" hidden="false" customHeight="true" outlineLevel="0" collapsed="false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  <c r="AG435" s="24"/>
    </row>
    <row r="436" customFormat="false" ht="14.25" hidden="false" customHeight="true" outlineLevel="0" collapsed="false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  <c r="AG436" s="24"/>
    </row>
    <row r="437" customFormat="false" ht="14.25" hidden="false" customHeight="true" outlineLevel="0" collapsed="false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  <c r="AG437" s="24"/>
    </row>
    <row r="438" customFormat="false" ht="14.25" hidden="false" customHeight="true" outlineLevel="0" collapsed="false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  <c r="AG438" s="24"/>
    </row>
    <row r="439" customFormat="false" ht="14.25" hidden="false" customHeight="true" outlineLevel="0" collapsed="false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  <c r="AG439" s="24"/>
    </row>
    <row r="440" customFormat="false" ht="14.25" hidden="false" customHeight="true" outlineLevel="0" collapsed="false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  <c r="AG440" s="24"/>
    </row>
    <row r="441" customFormat="false" ht="14.25" hidden="false" customHeight="true" outlineLevel="0" collapsed="false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  <c r="AG441" s="24"/>
    </row>
    <row r="442" customFormat="false" ht="14.25" hidden="false" customHeight="true" outlineLevel="0" collapsed="false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  <c r="AG442" s="24"/>
    </row>
    <row r="443" customFormat="false" ht="14.25" hidden="false" customHeight="true" outlineLevel="0" collapsed="false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</row>
    <row r="444" customFormat="false" ht="14.25" hidden="false" customHeight="true" outlineLevel="0" collapsed="false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  <c r="AG444" s="24"/>
    </row>
    <row r="445" customFormat="false" ht="14.25" hidden="false" customHeight="true" outlineLevel="0" collapsed="false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  <c r="AG445" s="24"/>
    </row>
    <row r="446" customFormat="false" ht="14.25" hidden="false" customHeight="true" outlineLevel="0" collapsed="false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</row>
    <row r="447" customFormat="false" ht="14.25" hidden="false" customHeight="true" outlineLevel="0" collapsed="false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  <c r="AF447" s="24"/>
      <c r="AG447" s="24"/>
    </row>
    <row r="448" customFormat="false" ht="14.25" hidden="false" customHeight="true" outlineLevel="0" collapsed="false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  <c r="AG448" s="24"/>
    </row>
    <row r="449" customFormat="false" ht="14.25" hidden="false" customHeight="true" outlineLevel="0" collapsed="false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  <c r="AG449" s="24"/>
    </row>
    <row r="450" customFormat="false" ht="14.25" hidden="false" customHeight="true" outlineLevel="0" collapsed="false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  <c r="AG450" s="24"/>
    </row>
    <row r="451" customFormat="false" ht="14.25" hidden="false" customHeight="true" outlineLevel="0" collapsed="false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  <c r="AG451" s="24"/>
    </row>
    <row r="452" customFormat="false" ht="14.25" hidden="false" customHeight="true" outlineLevel="0" collapsed="false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  <c r="AG452" s="24"/>
    </row>
    <row r="453" customFormat="false" ht="14.25" hidden="false" customHeight="true" outlineLevel="0" collapsed="false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  <c r="AG453" s="24"/>
    </row>
    <row r="454" customFormat="false" ht="14.25" hidden="false" customHeight="true" outlineLevel="0" collapsed="false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  <c r="AG454" s="24"/>
    </row>
    <row r="455" customFormat="false" ht="14.25" hidden="false" customHeight="true" outlineLevel="0" collapsed="false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  <c r="AG455" s="24"/>
    </row>
    <row r="456" customFormat="false" ht="14.25" hidden="false" customHeight="true" outlineLevel="0" collapsed="false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  <c r="AG456" s="24"/>
    </row>
    <row r="457" customFormat="false" ht="14.25" hidden="false" customHeight="true" outlineLevel="0" collapsed="false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  <c r="AG457" s="24"/>
    </row>
    <row r="458" customFormat="false" ht="14.25" hidden="false" customHeight="true" outlineLevel="0" collapsed="false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  <c r="AG458" s="24"/>
    </row>
    <row r="459" customFormat="false" ht="14.25" hidden="false" customHeight="true" outlineLevel="0" collapsed="false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  <c r="AG459" s="24"/>
    </row>
    <row r="460" customFormat="false" ht="14.25" hidden="false" customHeight="true" outlineLevel="0" collapsed="false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  <c r="AG460" s="24"/>
    </row>
    <row r="461" customFormat="false" ht="14.25" hidden="false" customHeight="true" outlineLevel="0" collapsed="false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  <c r="AG461" s="24"/>
    </row>
    <row r="462" customFormat="false" ht="14.25" hidden="false" customHeight="true" outlineLevel="0" collapsed="false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  <c r="AG462" s="24"/>
    </row>
    <row r="463" customFormat="false" ht="14.25" hidden="false" customHeight="true" outlineLevel="0" collapsed="false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  <c r="AG463" s="24"/>
    </row>
    <row r="464" customFormat="false" ht="14.25" hidden="false" customHeight="true" outlineLevel="0" collapsed="false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  <c r="AG464" s="24"/>
    </row>
    <row r="465" customFormat="false" ht="14.25" hidden="false" customHeight="true" outlineLevel="0" collapsed="false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  <c r="AG465" s="24"/>
    </row>
    <row r="466" customFormat="false" ht="14.25" hidden="false" customHeight="true" outlineLevel="0" collapsed="false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  <c r="AG466" s="24"/>
    </row>
    <row r="467" customFormat="false" ht="14.25" hidden="false" customHeight="true" outlineLevel="0" collapsed="false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  <c r="AG467" s="24"/>
    </row>
    <row r="468" customFormat="false" ht="14.25" hidden="false" customHeight="true" outlineLevel="0" collapsed="false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  <c r="AG468" s="24"/>
    </row>
    <row r="469" customFormat="false" ht="14.25" hidden="false" customHeight="true" outlineLevel="0" collapsed="false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  <c r="AG469" s="24"/>
    </row>
    <row r="470" customFormat="false" ht="14.25" hidden="false" customHeight="true" outlineLevel="0" collapsed="false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  <c r="AG470" s="24"/>
    </row>
    <row r="471" customFormat="false" ht="14.25" hidden="false" customHeight="true" outlineLevel="0" collapsed="false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  <c r="AG471" s="24"/>
    </row>
    <row r="472" customFormat="false" ht="14.25" hidden="false" customHeight="true" outlineLevel="0" collapsed="false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  <c r="AG472" s="24"/>
    </row>
    <row r="473" customFormat="false" ht="14.25" hidden="false" customHeight="true" outlineLevel="0" collapsed="false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  <c r="AG473" s="24"/>
    </row>
    <row r="474" customFormat="false" ht="14.25" hidden="false" customHeight="true" outlineLevel="0" collapsed="false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  <c r="AG474" s="24"/>
    </row>
    <row r="475" customFormat="false" ht="14.25" hidden="false" customHeight="true" outlineLevel="0" collapsed="false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  <c r="AG475" s="24"/>
    </row>
    <row r="476" customFormat="false" ht="14.25" hidden="false" customHeight="true" outlineLevel="0" collapsed="false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  <c r="AG476" s="24"/>
    </row>
    <row r="477" customFormat="false" ht="14.25" hidden="false" customHeight="true" outlineLevel="0" collapsed="false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  <c r="AG477" s="24"/>
    </row>
    <row r="478" customFormat="false" ht="14.25" hidden="false" customHeight="true" outlineLevel="0" collapsed="false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  <c r="AG478" s="24"/>
    </row>
    <row r="479" customFormat="false" ht="14.25" hidden="false" customHeight="true" outlineLevel="0" collapsed="false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  <c r="AG479" s="24"/>
    </row>
    <row r="480" customFormat="false" ht="14.25" hidden="false" customHeight="true" outlineLevel="0" collapsed="false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  <c r="AG480" s="24"/>
    </row>
    <row r="481" customFormat="false" ht="14.25" hidden="false" customHeight="true" outlineLevel="0" collapsed="false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</row>
    <row r="482" customFormat="false" ht="14.25" hidden="false" customHeight="true" outlineLevel="0" collapsed="false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  <c r="AG482" s="24"/>
    </row>
    <row r="483" customFormat="false" ht="14.25" hidden="false" customHeight="true" outlineLevel="0" collapsed="false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  <c r="AG483" s="24"/>
    </row>
    <row r="484" customFormat="false" ht="14.25" hidden="false" customHeight="true" outlineLevel="0" collapsed="false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</row>
    <row r="485" customFormat="false" ht="14.25" hidden="false" customHeight="true" outlineLevel="0" collapsed="false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  <c r="AG485" s="24"/>
    </row>
    <row r="486" customFormat="false" ht="14.25" hidden="false" customHeight="true" outlineLevel="0" collapsed="false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  <c r="AG486" s="24"/>
    </row>
    <row r="487" customFormat="false" ht="14.25" hidden="false" customHeight="true" outlineLevel="0" collapsed="false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  <c r="AG487" s="24"/>
    </row>
    <row r="488" customFormat="false" ht="14.25" hidden="false" customHeight="true" outlineLevel="0" collapsed="false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  <c r="AG488" s="24"/>
    </row>
    <row r="489" customFormat="false" ht="14.25" hidden="false" customHeight="true" outlineLevel="0" collapsed="false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  <c r="AG489" s="24"/>
    </row>
    <row r="490" customFormat="false" ht="14.25" hidden="false" customHeight="true" outlineLevel="0" collapsed="false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  <c r="AG490" s="24"/>
    </row>
    <row r="491" customFormat="false" ht="14.25" hidden="false" customHeight="true" outlineLevel="0" collapsed="false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  <c r="AF491" s="24"/>
      <c r="AG491" s="24"/>
    </row>
    <row r="492" customFormat="false" ht="14.25" hidden="false" customHeight="true" outlineLevel="0" collapsed="false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  <c r="AG492" s="24"/>
    </row>
    <row r="493" customFormat="false" ht="14.25" hidden="false" customHeight="true" outlineLevel="0" collapsed="false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  <c r="AG493" s="24"/>
    </row>
    <row r="494" customFormat="false" ht="14.25" hidden="false" customHeight="true" outlineLevel="0" collapsed="false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  <c r="AF494" s="24"/>
      <c r="AG494" s="24"/>
    </row>
    <row r="495" customFormat="false" ht="14.25" hidden="false" customHeight="true" outlineLevel="0" collapsed="false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  <c r="AF495" s="24"/>
      <c r="AG495" s="24"/>
    </row>
    <row r="496" customFormat="false" ht="14.25" hidden="false" customHeight="true" outlineLevel="0" collapsed="false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  <c r="AF496" s="24"/>
      <c r="AG496" s="24"/>
    </row>
    <row r="497" customFormat="false" ht="14.25" hidden="false" customHeight="true" outlineLevel="0" collapsed="false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  <c r="AG497" s="24"/>
    </row>
    <row r="498" customFormat="false" ht="14.25" hidden="false" customHeight="true" outlineLevel="0" collapsed="false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  <c r="AF498" s="24"/>
      <c r="AG498" s="24"/>
    </row>
    <row r="499" customFormat="false" ht="14.25" hidden="false" customHeight="true" outlineLevel="0" collapsed="false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  <c r="AF499" s="24"/>
      <c r="AG499" s="24"/>
    </row>
    <row r="500" customFormat="false" ht="14.25" hidden="false" customHeight="true" outlineLevel="0" collapsed="false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  <c r="AF500" s="24"/>
      <c r="AG500" s="24"/>
    </row>
    <row r="501" customFormat="false" ht="14.25" hidden="false" customHeight="true" outlineLevel="0" collapsed="false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  <c r="AE501" s="24"/>
      <c r="AF501" s="24"/>
      <c r="AG501" s="24"/>
    </row>
    <row r="502" customFormat="false" ht="14.25" hidden="false" customHeight="true" outlineLevel="0" collapsed="false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  <c r="AE502" s="24"/>
      <c r="AF502" s="24"/>
      <c r="AG502" s="24"/>
    </row>
    <row r="503" customFormat="false" ht="14.25" hidden="false" customHeight="true" outlineLevel="0" collapsed="false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  <c r="AE503" s="24"/>
      <c r="AF503" s="24"/>
      <c r="AG503" s="24"/>
    </row>
    <row r="504" customFormat="false" ht="14.25" hidden="false" customHeight="true" outlineLevel="0" collapsed="false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  <c r="AE504" s="24"/>
      <c r="AF504" s="24"/>
      <c r="AG504" s="24"/>
    </row>
    <row r="505" customFormat="false" ht="14.25" hidden="false" customHeight="true" outlineLevel="0" collapsed="false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  <c r="AE505" s="24"/>
      <c r="AF505" s="24"/>
      <c r="AG505" s="24"/>
    </row>
    <row r="506" customFormat="false" ht="14.25" hidden="false" customHeight="true" outlineLevel="0" collapsed="false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  <c r="AE506" s="24"/>
      <c r="AF506" s="24"/>
      <c r="AG506" s="24"/>
    </row>
    <row r="507" customFormat="false" ht="14.25" hidden="false" customHeight="true" outlineLevel="0" collapsed="false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  <c r="AE507" s="24"/>
      <c r="AF507" s="24"/>
      <c r="AG507" s="24"/>
    </row>
    <row r="508" customFormat="false" ht="14.25" hidden="false" customHeight="true" outlineLevel="0" collapsed="false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  <c r="AF508" s="24"/>
      <c r="AG508" s="24"/>
    </row>
    <row r="509" customFormat="false" ht="14.25" hidden="false" customHeight="true" outlineLevel="0" collapsed="false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  <c r="AE509" s="24"/>
      <c r="AF509" s="24"/>
      <c r="AG509" s="24"/>
    </row>
    <row r="510" customFormat="false" ht="14.25" hidden="false" customHeight="true" outlineLevel="0" collapsed="false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  <c r="AE510" s="24"/>
      <c r="AF510" s="24"/>
      <c r="AG510" s="24"/>
    </row>
    <row r="511" customFormat="false" ht="14.25" hidden="false" customHeight="true" outlineLevel="0" collapsed="false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  <c r="AF511" s="24"/>
      <c r="AG511" s="24"/>
    </row>
    <row r="512" customFormat="false" ht="14.25" hidden="false" customHeight="true" outlineLevel="0" collapsed="false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  <c r="AF512" s="24"/>
      <c r="AG512" s="24"/>
    </row>
    <row r="513" customFormat="false" ht="14.25" hidden="false" customHeight="true" outlineLevel="0" collapsed="false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  <c r="AE513" s="24"/>
      <c r="AF513" s="24"/>
      <c r="AG513" s="24"/>
    </row>
    <row r="514" customFormat="false" ht="14.25" hidden="false" customHeight="true" outlineLevel="0" collapsed="false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  <c r="AE514" s="24"/>
      <c r="AF514" s="24"/>
      <c r="AG514" s="24"/>
    </row>
    <row r="515" customFormat="false" ht="14.25" hidden="false" customHeight="true" outlineLevel="0" collapsed="false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  <c r="AE515" s="24"/>
      <c r="AF515" s="24"/>
      <c r="AG515" s="24"/>
    </row>
    <row r="516" customFormat="false" ht="14.25" hidden="false" customHeight="true" outlineLevel="0" collapsed="false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  <c r="AF516" s="24"/>
      <c r="AG516" s="24"/>
    </row>
    <row r="517" customFormat="false" ht="14.25" hidden="false" customHeight="true" outlineLevel="0" collapsed="false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  <c r="AF517" s="24"/>
      <c r="AG517" s="24"/>
    </row>
    <row r="518" customFormat="false" ht="14.25" hidden="false" customHeight="true" outlineLevel="0" collapsed="false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  <c r="AF518" s="24"/>
      <c r="AG518" s="24"/>
    </row>
    <row r="519" customFormat="false" ht="14.25" hidden="false" customHeight="true" outlineLevel="0" collapsed="false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  <c r="AG519" s="24"/>
    </row>
    <row r="520" customFormat="false" ht="14.25" hidden="false" customHeight="true" outlineLevel="0" collapsed="false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  <c r="AF520" s="24"/>
      <c r="AG520" s="24"/>
    </row>
    <row r="521" customFormat="false" ht="14.25" hidden="false" customHeight="true" outlineLevel="0" collapsed="false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  <c r="AF521" s="24"/>
      <c r="AG521" s="24"/>
    </row>
    <row r="522" customFormat="false" ht="14.25" hidden="false" customHeight="true" outlineLevel="0" collapsed="false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</row>
    <row r="523" customFormat="false" ht="14.25" hidden="false" customHeight="true" outlineLevel="0" collapsed="false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  <c r="AF523" s="24"/>
      <c r="AG523" s="24"/>
    </row>
    <row r="524" customFormat="false" ht="14.25" hidden="false" customHeight="true" outlineLevel="0" collapsed="false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  <c r="AF524" s="24"/>
      <c r="AG524" s="24"/>
    </row>
    <row r="525" customFormat="false" ht="14.25" hidden="false" customHeight="true" outlineLevel="0" collapsed="false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  <c r="AF525" s="24"/>
      <c r="AG525" s="24"/>
    </row>
    <row r="526" customFormat="false" ht="14.25" hidden="false" customHeight="true" outlineLevel="0" collapsed="false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  <c r="AF526" s="24"/>
      <c r="AG526" s="24"/>
    </row>
    <row r="527" customFormat="false" ht="14.25" hidden="false" customHeight="true" outlineLevel="0" collapsed="false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  <c r="AF527" s="24"/>
      <c r="AG527" s="24"/>
    </row>
    <row r="528" customFormat="false" ht="14.25" hidden="false" customHeight="true" outlineLevel="0" collapsed="false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  <c r="AE528" s="24"/>
      <c r="AF528" s="24"/>
      <c r="AG528" s="24"/>
    </row>
    <row r="529" customFormat="false" ht="14.25" hidden="false" customHeight="true" outlineLevel="0" collapsed="false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  <c r="AF529" s="24"/>
      <c r="AG529" s="24"/>
    </row>
    <row r="530" customFormat="false" ht="14.25" hidden="false" customHeight="true" outlineLevel="0" collapsed="false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  <c r="AF530" s="24"/>
      <c r="AG530" s="24"/>
    </row>
    <row r="531" customFormat="false" ht="14.25" hidden="false" customHeight="true" outlineLevel="0" collapsed="false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  <c r="AF531" s="24"/>
      <c r="AG531" s="24"/>
    </row>
    <row r="532" customFormat="false" ht="14.25" hidden="false" customHeight="true" outlineLevel="0" collapsed="false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  <c r="AF532" s="24"/>
      <c r="AG532" s="24"/>
    </row>
    <row r="533" customFormat="false" ht="14.25" hidden="false" customHeight="true" outlineLevel="0" collapsed="false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  <c r="AE533" s="24"/>
      <c r="AF533" s="24"/>
      <c r="AG533" s="24"/>
    </row>
    <row r="534" customFormat="false" ht="14.25" hidden="false" customHeight="true" outlineLevel="0" collapsed="false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  <c r="AE534" s="24"/>
      <c r="AF534" s="24"/>
      <c r="AG534" s="24"/>
    </row>
    <row r="535" customFormat="false" ht="14.25" hidden="false" customHeight="true" outlineLevel="0" collapsed="false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  <c r="AE535" s="24"/>
      <c r="AF535" s="24"/>
      <c r="AG535" s="24"/>
    </row>
    <row r="536" customFormat="false" ht="14.25" hidden="false" customHeight="true" outlineLevel="0" collapsed="false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  <c r="AE536" s="24"/>
      <c r="AF536" s="24"/>
      <c r="AG536" s="24"/>
    </row>
    <row r="537" customFormat="false" ht="14.25" hidden="false" customHeight="true" outlineLevel="0" collapsed="false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  <c r="AE537" s="24"/>
      <c r="AF537" s="24"/>
      <c r="AG537" s="24"/>
    </row>
    <row r="538" customFormat="false" ht="14.25" hidden="false" customHeight="true" outlineLevel="0" collapsed="false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  <c r="AF538" s="24"/>
      <c r="AG538" s="24"/>
    </row>
    <row r="539" customFormat="false" ht="14.25" hidden="false" customHeight="true" outlineLevel="0" collapsed="false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  <c r="AE539" s="24"/>
      <c r="AF539" s="24"/>
      <c r="AG539" s="24"/>
    </row>
    <row r="540" customFormat="false" ht="14.25" hidden="false" customHeight="true" outlineLevel="0" collapsed="false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  <c r="AF540" s="24"/>
      <c r="AG540" s="24"/>
    </row>
    <row r="541" customFormat="false" ht="14.25" hidden="false" customHeight="true" outlineLevel="0" collapsed="false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  <c r="AF541" s="24"/>
      <c r="AG541" s="24"/>
    </row>
    <row r="542" customFormat="false" ht="14.25" hidden="false" customHeight="true" outlineLevel="0" collapsed="false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  <c r="AE542" s="24"/>
      <c r="AF542" s="24"/>
      <c r="AG542" s="24"/>
    </row>
    <row r="543" customFormat="false" ht="14.25" hidden="false" customHeight="true" outlineLevel="0" collapsed="false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  <c r="AE543" s="24"/>
      <c r="AF543" s="24"/>
      <c r="AG543" s="24"/>
    </row>
    <row r="544" customFormat="false" ht="14.25" hidden="false" customHeight="true" outlineLevel="0" collapsed="false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  <c r="AF544" s="24"/>
      <c r="AG544" s="24"/>
    </row>
    <row r="545" customFormat="false" ht="14.25" hidden="false" customHeight="true" outlineLevel="0" collapsed="false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  <c r="AE545" s="24"/>
      <c r="AF545" s="24"/>
      <c r="AG545" s="24"/>
    </row>
    <row r="546" customFormat="false" ht="14.25" hidden="false" customHeight="true" outlineLevel="0" collapsed="false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  <c r="AE546" s="24"/>
      <c r="AF546" s="24"/>
      <c r="AG546" s="24"/>
    </row>
    <row r="547" customFormat="false" ht="14.25" hidden="false" customHeight="true" outlineLevel="0" collapsed="false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  <c r="AE547" s="24"/>
      <c r="AF547" s="24"/>
      <c r="AG547" s="24"/>
    </row>
    <row r="548" customFormat="false" ht="14.25" hidden="false" customHeight="true" outlineLevel="0" collapsed="false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  <c r="AE548" s="24"/>
      <c r="AF548" s="24"/>
      <c r="AG548" s="24"/>
    </row>
    <row r="549" customFormat="false" ht="14.25" hidden="false" customHeight="true" outlineLevel="0" collapsed="false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  <c r="AE549" s="24"/>
      <c r="AF549" s="24"/>
      <c r="AG549" s="24"/>
    </row>
    <row r="550" customFormat="false" ht="14.25" hidden="false" customHeight="true" outlineLevel="0" collapsed="false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  <c r="AE550" s="24"/>
      <c r="AF550" s="24"/>
      <c r="AG550" s="24"/>
    </row>
    <row r="551" customFormat="false" ht="14.25" hidden="false" customHeight="true" outlineLevel="0" collapsed="false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  <c r="AE551" s="24"/>
      <c r="AF551" s="24"/>
      <c r="AG551" s="24"/>
    </row>
    <row r="552" customFormat="false" ht="14.25" hidden="false" customHeight="true" outlineLevel="0" collapsed="false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  <c r="AE552" s="24"/>
      <c r="AF552" s="24"/>
      <c r="AG552" s="24"/>
    </row>
    <row r="553" customFormat="false" ht="14.25" hidden="false" customHeight="true" outlineLevel="0" collapsed="false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  <c r="AE553" s="24"/>
      <c r="AF553" s="24"/>
      <c r="AG553" s="24"/>
    </row>
    <row r="554" customFormat="false" ht="14.25" hidden="false" customHeight="true" outlineLevel="0" collapsed="false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  <c r="AF554" s="24"/>
      <c r="AG554" s="24"/>
    </row>
    <row r="555" customFormat="false" ht="14.25" hidden="false" customHeight="true" outlineLevel="0" collapsed="false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  <c r="AE555" s="24"/>
      <c r="AF555" s="24"/>
      <c r="AG555" s="24"/>
    </row>
    <row r="556" customFormat="false" ht="14.25" hidden="false" customHeight="true" outlineLevel="0" collapsed="false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  <c r="AE556" s="24"/>
      <c r="AF556" s="24"/>
      <c r="AG556" s="24"/>
    </row>
    <row r="557" customFormat="false" ht="14.25" hidden="false" customHeight="true" outlineLevel="0" collapsed="false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  <c r="AG557" s="24"/>
    </row>
    <row r="558" customFormat="false" ht="14.25" hidden="false" customHeight="true" outlineLevel="0" collapsed="false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  <c r="AF558" s="24"/>
      <c r="AG558" s="24"/>
    </row>
    <row r="559" customFormat="false" ht="14.25" hidden="false" customHeight="true" outlineLevel="0" collapsed="false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  <c r="AE559" s="24"/>
      <c r="AF559" s="24"/>
      <c r="AG559" s="24"/>
    </row>
    <row r="560" customFormat="false" ht="14.25" hidden="false" customHeight="true" outlineLevel="0" collapsed="false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  <c r="AG560" s="24"/>
    </row>
    <row r="561" customFormat="false" ht="14.25" hidden="false" customHeight="true" outlineLevel="0" collapsed="false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  <c r="AE561" s="24"/>
      <c r="AF561" s="24"/>
      <c r="AG561" s="24"/>
    </row>
    <row r="562" customFormat="false" ht="14.25" hidden="false" customHeight="true" outlineLevel="0" collapsed="false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  <c r="AF562" s="24"/>
      <c r="AG562" s="24"/>
    </row>
    <row r="563" customFormat="false" ht="14.25" hidden="false" customHeight="true" outlineLevel="0" collapsed="false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  <c r="AE563" s="24"/>
      <c r="AF563" s="24"/>
      <c r="AG563" s="24"/>
    </row>
    <row r="564" customFormat="false" ht="14.25" hidden="false" customHeight="true" outlineLevel="0" collapsed="false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  <c r="AE564" s="24"/>
      <c r="AF564" s="24"/>
      <c r="AG564" s="24"/>
    </row>
    <row r="565" customFormat="false" ht="14.25" hidden="false" customHeight="true" outlineLevel="0" collapsed="false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  <c r="AE565" s="24"/>
      <c r="AF565" s="24"/>
      <c r="AG565" s="24"/>
    </row>
    <row r="566" customFormat="false" ht="14.25" hidden="false" customHeight="true" outlineLevel="0" collapsed="false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  <c r="AE566" s="24"/>
      <c r="AF566" s="24"/>
      <c r="AG566" s="24"/>
    </row>
    <row r="567" customFormat="false" ht="14.25" hidden="false" customHeight="true" outlineLevel="0" collapsed="false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  <c r="AE567" s="24"/>
      <c r="AF567" s="24"/>
      <c r="AG567" s="24"/>
    </row>
    <row r="568" customFormat="false" ht="14.25" hidden="false" customHeight="true" outlineLevel="0" collapsed="false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  <c r="AF568" s="24"/>
      <c r="AG568" s="24"/>
    </row>
    <row r="569" customFormat="false" ht="14.25" hidden="false" customHeight="true" outlineLevel="0" collapsed="false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  <c r="AE569" s="24"/>
      <c r="AF569" s="24"/>
      <c r="AG569" s="24"/>
    </row>
    <row r="570" customFormat="false" ht="14.25" hidden="false" customHeight="true" outlineLevel="0" collapsed="false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  <c r="AE570" s="24"/>
      <c r="AF570" s="24"/>
      <c r="AG570" s="24"/>
    </row>
    <row r="571" customFormat="false" ht="14.25" hidden="false" customHeight="true" outlineLevel="0" collapsed="false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  <c r="AE571" s="24"/>
      <c r="AF571" s="24"/>
      <c r="AG571" s="24"/>
    </row>
    <row r="572" customFormat="false" ht="14.25" hidden="false" customHeight="true" outlineLevel="0" collapsed="false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  <c r="AE572" s="24"/>
      <c r="AF572" s="24"/>
      <c r="AG572" s="24"/>
    </row>
    <row r="573" customFormat="false" ht="14.25" hidden="false" customHeight="true" outlineLevel="0" collapsed="false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  <c r="AE573" s="24"/>
      <c r="AF573" s="24"/>
      <c r="AG573" s="24"/>
    </row>
    <row r="574" customFormat="false" ht="14.25" hidden="false" customHeight="true" outlineLevel="0" collapsed="false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  <c r="AF574" s="24"/>
      <c r="AG574" s="24"/>
    </row>
    <row r="575" customFormat="false" ht="14.25" hidden="false" customHeight="true" outlineLevel="0" collapsed="false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  <c r="AE575" s="24"/>
      <c r="AF575" s="24"/>
      <c r="AG575" s="24"/>
    </row>
    <row r="576" customFormat="false" ht="14.25" hidden="false" customHeight="true" outlineLevel="0" collapsed="false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  <c r="AE576" s="24"/>
      <c r="AF576" s="24"/>
      <c r="AG576" s="24"/>
    </row>
    <row r="577" customFormat="false" ht="14.25" hidden="false" customHeight="true" outlineLevel="0" collapsed="false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  <c r="AE577" s="24"/>
      <c r="AF577" s="24"/>
      <c r="AG577" s="24"/>
    </row>
    <row r="578" customFormat="false" ht="14.25" hidden="false" customHeight="true" outlineLevel="0" collapsed="false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  <c r="AE578" s="24"/>
      <c r="AF578" s="24"/>
      <c r="AG578" s="24"/>
    </row>
    <row r="579" customFormat="false" ht="14.25" hidden="false" customHeight="true" outlineLevel="0" collapsed="false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  <c r="AE579" s="24"/>
      <c r="AF579" s="24"/>
      <c r="AG579" s="24"/>
    </row>
    <row r="580" customFormat="false" ht="14.25" hidden="false" customHeight="true" outlineLevel="0" collapsed="false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  <c r="AE580" s="24"/>
      <c r="AF580" s="24"/>
      <c r="AG580" s="24"/>
    </row>
    <row r="581" customFormat="false" ht="14.25" hidden="false" customHeight="true" outlineLevel="0" collapsed="false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  <c r="AE581" s="24"/>
      <c r="AF581" s="24"/>
      <c r="AG581" s="24"/>
    </row>
    <row r="582" customFormat="false" ht="14.25" hidden="false" customHeight="true" outlineLevel="0" collapsed="false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  <c r="AE582" s="24"/>
      <c r="AF582" s="24"/>
      <c r="AG582" s="24"/>
    </row>
    <row r="583" customFormat="false" ht="14.25" hidden="false" customHeight="true" outlineLevel="0" collapsed="false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  <c r="AF583" s="24"/>
      <c r="AG583" s="24"/>
    </row>
    <row r="584" customFormat="false" ht="14.25" hidden="false" customHeight="true" outlineLevel="0" collapsed="false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  <c r="AE584" s="24"/>
      <c r="AF584" s="24"/>
      <c r="AG584" s="24"/>
    </row>
    <row r="585" customFormat="false" ht="14.25" hidden="false" customHeight="true" outlineLevel="0" collapsed="false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  <c r="AE585" s="24"/>
      <c r="AF585" s="24"/>
      <c r="AG585" s="24"/>
    </row>
    <row r="586" customFormat="false" ht="14.25" hidden="false" customHeight="true" outlineLevel="0" collapsed="false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  <c r="AF586" s="24"/>
      <c r="AG586" s="24"/>
    </row>
    <row r="587" customFormat="false" ht="14.25" hidden="false" customHeight="true" outlineLevel="0" collapsed="false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  <c r="AE587" s="24"/>
      <c r="AF587" s="24"/>
      <c r="AG587" s="24"/>
    </row>
    <row r="588" customFormat="false" ht="14.25" hidden="false" customHeight="true" outlineLevel="0" collapsed="false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  <c r="AF588" s="24"/>
      <c r="AG588" s="24"/>
    </row>
    <row r="589" customFormat="false" ht="14.25" hidden="false" customHeight="true" outlineLevel="0" collapsed="false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  <c r="AE589" s="24"/>
      <c r="AF589" s="24"/>
      <c r="AG589" s="24"/>
    </row>
    <row r="590" customFormat="false" ht="14.25" hidden="false" customHeight="true" outlineLevel="0" collapsed="false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  <c r="AE590" s="24"/>
      <c r="AF590" s="24"/>
      <c r="AG590" s="24"/>
    </row>
    <row r="591" customFormat="false" ht="14.25" hidden="false" customHeight="true" outlineLevel="0" collapsed="false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  <c r="AE591" s="24"/>
      <c r="AF591" s="24"/>
      <c r="AG591" s="24"/>
    </row>
    <row r="592" customFormat="false" ht="14.25" hidden="false" customHeight="true" outlineLevel="0" collapsed="false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  <c r="AE592" s="24"/>
      <c r="AF592" s="24"/>
      <c r="AG592" s="24"/>
    </row>
    <row r="593" customFormat="false" ht="14.25" hidden="false" customHeight="true" outlineLevel="0" collapsed="false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  <c r="AE593" s="24"/>
      <c r="AF593" s="24"/>
      <c r="AG593" s="24"/>
    </row>
    <row r="594" customFormat="false" ht="14.25" hidden="false" customHeight="true" outlineLevel="0" collapsed="false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  <c r="AF594" s="24"/>
      <c r="AG594" s="24"/>
    </row>
    <row r="595" customFormat="false" ht="14.25" hidden="false" customHeight="true" outlineLevel="0" collapsed="false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  <c r="AG595" s="24"/>
    </row>
    <row r="596" customFormat="false" ht="14.25" hidden="false" customHeight="true" outlineLevel="0" collapsed="false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  <c r="AE596" s="24"/>
      <c r="AF596" s="24"/>
      <c r="AG596" s="24"/>
    </row>
    <row r="597" customFormat="false" ht="14.25" hidden="false" customHeight="true" outlineLevel="0" collapsed="false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  <c r="AE597" s="24"/>
      <c r="AF597" s="24"/>
      <c r="AG597" s="24"/>
    </row>
    <row r="598" customFormat="false" ht="14.25" hidden="false" customHeight="true" outlineLevel="0" collapsed="false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  <c r="AG598" s="24"/>
    </row>
    <row r="599" customFormat="false" ht="14.25" hidden="false" customHeight="true" outlineLevel="0" collapsed="false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  <c r="AE599" s="24"/>
      <c r="AF599" s="24"/>
      <c r="AG599" s="24"/>
    </row>
    <row r="600" customFormat="false" ht="14.25" hidden="false" customHeight="true" outlineLevel="0" collapsed="false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  <c r="AE600" s="24"/>
      <c r="AF600" s="24"/>
      <c r="AG600" s="24"/>
    </row>
    <row r="601" customFormat="false" ht="14.25" hidden="false" customHeight="true" outlineLevel="0" collapsed="false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  <c r="AE601" s="24"/>
      <c r="AF601" s="24"/>
      <c r="AG601" s="24"/>
    </row>
    <row r="602" customFormat="false" ht="14.25" hidden="false" customHeight="true" outlineLevel="0" collapsed="false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  <c r="AE602" s="24"/>
      <c r="AF602" s="24"/>
      <c r="AG602" s="24"/>
    </row>
    <row r="603" customFormat="false" ht="14.25" hidden="false" customHeight="true" outlineLevel="0" collapsed="false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  <c r="AF603" s="24"/>
      <c r="AG603" s="24"/>
    </row>
    <row r="604" customFormat="false" ht="14.25" hidden="false" customHeight="true" outlineLevel="0" collapsed="false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  <c r="AE604" s="24"/>
      <c r="AF604" s="24"/>
      <c r="AG604" s="24"/>
    </row>
    <row r="605" customFormat="false" ht="14.25" hidden="false" customHeight="true" outlineLevel="0" collapsed="false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  <c r="AE605" s="24"/>
      <c r="AF605" s="24"/>
      <c r="AG605" s="24"/>
    </row>
    <row r="606" customFormat="false" ht="14.25" hidden="false" customHeight="true" outlineLevel="0" collapsed="false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  <c r="AE606" s="24"/>
      <c r="AF606" s="24"/>
      <c r="AG606" s="24"/>
    </row>
    <row r="607" customFormat="false" ht="14.25" hidden="false" customHeight="true" outlineLevel="0" collapsed="false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  <c r="AE607" s="24"/>
      <c r="AF607" s="24"/>
      <c r="AG607" s="24"/>
    </row>
    <row r="608" customFormat="false" ht="14.25" hidden="false" customHeight="true" outlineLevel="0" collapsed="false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  <c r="AE608" s="24"/>
      <c r="AF608" s="24"/>
      <c r="AG608" s="24"/>
    </row>
    <row r="609" customFormat="false" ht="14.25" hidden="false" customHeight="true" outlineLevel="0" collapsed="false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  <c r="AF609" s="24"/>
      <c r="AG609" s="24"/>
    </row>
    <row r="610" customFormat="false" ht="14.25" hidden="false" customHeight="true" outlineLevel="0" collapsed="false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  <c r="AE610" s="24"/>
      <c r="AF610" s="24"/>
      <c r="AG610" s="24"/>
    </row>
    <row r="611" customFormat="false" ht="14.25" hidden="false" customHeight="true" outlineLevel="0" collapsed="false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  <c r="AE611" s="24"/>
      <c r="AF611" s="24"/>
      <c r="AG611" s="24"/>
    </row>
    <row r="612" customFormat="false" ht="14.25" hidden="false" customHeight="true" outlineLevel="0" collapsed="false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  <c r="AE612" s="24"/>
      <c r="AF612" s="24"/>
      <c r="AG612" s="24"/>
    </row>
    <row r="613" customFormat="false" ht="14.25" hidden="false" customHeight="true" outlineLevel="0" collapsed="false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  <c r="AE613" s="24"/>
      <c r="AF613" s="24"/>
      <c r="AG613" s="24"/>
    </row>
    <row r="614" customFormat="false" ht="14.25" hidden="false" customHeight="true" outlineLevel="0" collapsed="false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  <c r="AE614" s="24"/>
      <c r="AF614" s="24"/>
      <c r="AG614" s="24"/>
    </row>
    <row r="615" customFormat="false" ht="14.25" hidden="false" customHeight="true" outlineLevel="0" collapsed="false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  <c r="AE615" s="24"/>
      <c r="AF615" s="24"/>
      <c r="AG615" s="24"/>
    </row>
    <row r="616" customFormat="false" ht="14.25" hidden="false" customHeight="true" outlineLevel="0" collapsed="false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  <c r="AE616" s="24"/>
      <c r="AF616" s="24"/>
      <c r="AG616" s="24"/>
    </row>
    <row r="617" customFormat="false" ht="14.25" hidden="false" customHeight="true" outlineLevel="0" collapsed="false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  <c r="AF617" s="24"/>
      <c r="AG617" s="24"/>
    </row>
    <row r="618" customFormat="false" ht="14.25" hidden="false" customHeight="true" outlineLevel="0" collapsed="false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  <c r="AF618" s="24"/>
      <c r="AG618" s="24"/>
    </row>
    <row r="619" customFormat="false" ht="14.25" hidden="false" customHeight="true" outlineLevel="0" collapsed="false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  <c r="AE619" s="24"/>
      <c r="AF619" s="24"/>
      <c r="AG619" s="24"/>
    </row>
    <row r="620" customFormat="false" ht="14.25" hidden="false" customHeight="true" outlineLevel="0" collapsed="false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  <c r="AE620" s="24"/>
      <c r="AF620" s="24"/>
      <c r="AG620" s="24"/>
    </row>
    <row r="621" customFormat="false" ht="14.25" hidden="false" customHeight="true" outlineLevel="0" collapsed="false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  <c r="AE621" s="24"/>
      <c r="AF621" s="24"/>
      <c r="AG621" s="24"/>
    </row>
    <row r="622" customFormat="false" ht="14.25" hidden="false" customHeight="true" outlineLevel="0" collapsed="false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  <c r="AE622" s="24"/>
      <c r="AF622" s="24"/>
      <c r="AG622" s="24"/>
    </row>
    <row r="623" customFormat="false" ht="14.25" hidden="false" customHeight="true" outlineLevel="0" collapsed="false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  <c r="AE623" s="24"/>
      <c r="AF623" s="24"/>
      <c r="AG623" s="24"/>
    </row>
    <row r="624" customFormat="false" ht="14.25" hidden="false" customHeight="true" outlineLevel="0" collapsed="false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  <c r="AE624" s="24"/>
      <c r="AF624" s="24"/>
      <c r="AG624" s="24"/>
    </row>
    <row r="625" customFormat="false" ht="14.25" hidden="false" customHeight="true" outlineLevel="0" collapsed="false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  <c r="AE625" s="24"/>
      <c r="AF625" s="24"/>
      <c r="AG625" s="24"/>
    </row>
    <row r="626" customFormat="false" ht="14.25" hidden="false" customHeight="true" outlineLevel="0" collapsed="false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  <c r="AE626" s="24"/>
      <c r="AF626" s="24"/>
      <c r="AG626" s="24"/>
    </row>
    <row r="627" customFormat="false" ht="14.25" hidden="false" customHeight="true" outlineLevel="0" collapsed="false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  <c r="AE627" s="24"/>
      <c r="AF627" s="24"/>
      <c r="AG627" s="24"/>
    </row>
    <row r="628" customFormat="false" ht="14.25" hidden="false" customHeight="true" outlineLevel="0" collapsed="false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  <c r="AE628" s="24"/>
      <c r="AF628" s="24"/>
      <c r="AG628" s="24"/>
    </row>
    <row r="629" customFormat="false" ht="14.25" hidden="false" customHeight="true" outlineLevel="0" collapsed="false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  <c r="AE629" s="24"/>
      <c r="AF629" s="24"/>
      <c r="AG629" s="24"/>
    </row>
    <row r="630" customFormat="false" ht="14.25" hidden="false" customHeight="true" outlineLevel="0" collapsed="false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  <c r="AE630" s="24"/>
      <c r="AF630" s="24"/>
      <c r="AG630" s="24"/>
    </row>
    <row r="631" customFormat="false" ht="14.25" hidden="false" customHeight="true" outlineLevel="0" collapsed="false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  <c r="AE631" s="24"/>
      <c r="AF631" s="24"/>
      <c r="AG631" s="24"/>
    </row>
    <row r="632" customFormat="false" ht="14.25" hidden="false" customHeight="true" outlineLevel="0" collapsed="false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  <c r="AE632" s="24"/>
      <c r="AF632" s="24"/>
      <c r="AG632" s="24"/>
    </row>
    <row r="633" customFormat="false" ht="14.25" hidden="false" customHeight="true" outlineLevel="0" collapsed="false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  <c r="AG633" s="24"/>
    </row>
    <row r="634" customFormat="false" ht="14.25" hidden="false" customHeight="true" outlineLevel="0" collapsed="false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  <c r="AE634" s="24"/>
      <c r="AF634" s="24"/>
      <c r="AG634" s="24"/>
    </row>
    <row r="635" customFormat="false" ht="14.25" hidden="false" customHeight="true" outlineLevel="0" collapsed="false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  <c r="AE635" s="24"/>
      <c r="AF635" s="24"/>
      <c r="AG635" s="24"/>
    </row>
    <row r="636" customFormat="false" ht="14.25" hidden="false" customHeight="true" outlineLevel="0" collapsed="false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  <c r="AG636" s="24"/>
    </row>
    <row r="637" customFormat="false" ht="14.25" hidden="false" customHeight="true" outlineLevel="0" collapsed="false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  <c r="AE637" s="24"/>
      <c r="AF637" s="24"/>
      <c r="AG637" s="24"/>
    </row>
    <row r="638" customFormat="false" ht="14.25" hidden="false" customHeight="true" outlineLevel="0" collapsed="false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  <c r="AE638" s="24"/>
      <c r="AF638" s="24"/>
      <c r="AG638" s="24"/>
    </row>
    <row r="639" customFormat="false" ht="14.25" hidden="false" customHeight="true" outlineLevel="0" collapsed="false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  <c r="AE639" s="24"/>
      <c r="AF639" s="24"/>
      <c r="AG639" s="24"/>
    </row>
    <row r="640" customFormat="false" ht="14.25" hidden="false" customHeight="true" outlineLevel="0" collapsed="false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  <c r="AE640" s="24"/>
      <c r="AF640" s="24"/>
      <c r="AG640" s="24"/>
    </row>
    <row r="641" customFormat="false" ht="14.25" hidden="false" customHeight="true" outlineLevel="0" collapsed="false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  <c r="AE641" s="24"/>
      <c r="AF641" s="24"/>
      <c r="AG641" s="24"/>
    </row>
    <row r="642" customFormat="false" ht="14.25" hidden="false" customHeight="true" outlineLevel="0" collapsed="false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  <c r="AE642" s="24"/>
      <c r="AF642" s="24"/>
      <c r="AG642" s="24"/>
    </row>
    <row r="643" customFormat="false" ht="14.25" hidden="false" customHeight="true" outlineLevel="0" collapsed="false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  <c r="AE643" s="24"/>
      <c r="AF643" s="24"/>
      <c r="AG643" s="24"/>
    </row>
    <row r="644" customFormat="false" ht="14.25" hidden="false" customHeight="true" outlineLevel="0" collapsed="false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  <c r="AE644" s="24"/>
      <c r="AF644" s="24"/>
      <c r="AG644" s="24"/>
    </row>
    <row r="645" customFormat="false" ht="14.25" hidden="false" customHeight="true" outlineLevel="0" collapsed="false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  <c r="AE645" s="24"/>
      <c r="AF645" s="24"/>
      <c r="AG645" s="24"/>
    </row>
    <row r="646" customFormat="false" ht="14.25" hidden="false" customHeight="true" outlineLevel="0" collapsed="false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  <c r="AE646" s="24"/>
      <c r="AF646" s="24"/>
      <c r="AG646" s="24"/>
    </row>
    <row r="647" customFormat="false" ht="14.25" hidden="false" customHeight="true" outlineLevel="0" collapsed="false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  <c r="AE647" s="24"/>
      <c r="AF647" s="24"/>
      <c r="AG647" s="24"/>
    </row>
    <row r="648" customFormat="false" ht="14.25" hidden="false" customHeight="true" outlineLevel="0" collapsed="false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  <c r="AE648" s="24"/>
      <c r="AF648" s="24"/>
      <c r="AG648" s="24"/>
    </row>
    <row r="649" customFormat="false" ht="14.25" hidden="false" customHeight="true" outlineLevel="0" collapsed="false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  <c r="AE649" s="24"/>
      <c r="AF649" s="24"/>
      <c r="AG649" s="24"/>
    </row>
    <row r="650" customFormat="false" ht="14.25" hidden="false" customHeight="true" outlineLevel="0" collapsed="false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  <c r="AE650" s="24"/>
      <c r="AF650" s="24"/>
      <c r="AG650" s="24"/>
    </row>
    <row r="651" customFormat="false" ht="14.25" hidden="false" customHeight="true" outlineLevel="0" collapsed="false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  <c r="AE651" s="24"/>
      <c r="AF651" s="24"/>
      <c r="AG651" s="24"/>
    </row>
    <row r="652" customFormat="false" ht="14.25" hidden="false" customHeight="true" outlineLevel="0" collapsed="false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  <c r="AE652" s="24"/>
      <c r="AF652" s="24"/>
      <c r="AG652" s="24"/>
    </row>
    <row r="653" customFormat="false" ht="14.25" hidden="false" customHeight="true" outlineLevel="0" collapsed="false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  <c r="AE653" s="24"/>
      <c r="AF653" s="24"/>
      <c r="AG653" s="24"/>
    </row>
    <row r="654" customFormat="false" ht="14.25" hidden="false" customHeight="true" outlineLevel="0" collapsed="false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  <c r="AE654" s="24"/>
      <c r="AF654" s="24"/>
      <c r="AG654" s="24"/>
    </row>
    <row r="655" customFormat="false" ht="14.25" hidden="false" customHeight="true" outlineLevel="0" collapsed="false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  <c r="AE655" s="24"/>
      <c r="AF655" s="24"/>
      <c r="AG655" s="24"/>
    </row>
    <row r="656" customFormat="false" ht="14.25" hidden="false" customHeight="true" outlineLevel="0" collapsed="false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  <c r="AE656" s="24"/>
      <c r="AF656" s="24"/>
      <c r="AG656" s="24"/>
    </row>
    <row r="657" customFormat="false" ht="14.25" hidden="false" customHeight="true" outlineLevel="0" collapsed="false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  <c r="AE657" s="24"/>
      <c r="AF657" s="24"/>
      <c r="AG657" s="24"/>
    </row>
    <row r="658" customFormat="false" ht="14.25" hidden="false" customHeight="true" outlineLevel="0" collapsed="false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  <c r="AE658" s="24"/>
      <c r="AF658" s="24"/>
      <c r="AG658" s="24"/>
    </row>
    <row r="659" customFormat="false" ht="14.25" hidden="false" customHeight="true" outlineLevel="0" collapsed="false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  <c r="AE659" s="24"/>
      <c r="AF659" s="24"/>
      <c r="AG659" s="24"/>
    </row>
    <row r="660" customFormat="false" ht="14.25" hidden="false" customHeight="true" outlineLevel="0" collapsed="false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  <c r="AE660" s="24"/>
      <c r="AF660" s="24"/>
      <c r="AG660" s="24"/>
    </row>
    <row r="661" customFormat="false" ht="14.25" hidden="false" customHeight="true" outlineLevel="0" collapsed="false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  <c r="AE661" s="24"/>
      <c r="AF661" s="24"/>
      <c r="AG661" s="24"/>
    </row>
    <row r="662" customFormat="false" ht="14.25" hidden="false" customHeight="true" outlineLevel="0" collapsed="false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  <c r="AE662" s="24"/>
      <c r="AF662" s="24"/>
      <c r="AG662" s="24"/>
    </row>
    <row r="663" customFormat="false" ht="14.25" hidden="false" customHeight="true" outlineLevel="0" collapsed="false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  <c r="AE663" s="24"/>
      <c r="AF663" s="24"/>
      <c r="AG663" s="24"/>
    </row>
    <row r="664" customFormat="false" ht="14.25" hidden="false" customHeight="true" outlineLevel="0" collapsed="false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  <c r="AE664" s="24"/>
      <c r="AF664" s="24"/>
      <c r="AG664" s="24"/>
    </row>
    <row r="665" customFormat="false" ht="14.25" hidden="false" customHeight="true" outlineLevel="0" collapsed="false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  <c r="AE665" s="24"/>
      <c r="AF665" s="24"/>
      <c r="AG665" s="24"/>
    </row>
    <row r="666" customFormat="false" ht="14.25" hidden="false" customHeight="true" outlineLevel="0" collapsed="false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  <c r="AE666" s="24"/>
      <c r="AF666" s="24"/>
      <c r="AG666" s="24"/>
    </row>
    <row r="667" customFormat="false" ht="14.25" hidden="false" customHeight="true" outlineLevel="0" collapsed="false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  <c r="AE667" s="24"/>
      <c r="AF667" s="24"/>
      <c r="AG667" s="24"/>
    </row>
    <row r="668" customFormat="false" ht="14.25" hidden="false" customHeight="true" outlineLevel="0" collapsed="false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  <c r="AE668" s="24"/>
      <c r="AF668" s="24"/>
      <c r="AG668" s="24"/>
    </row>
    <row r="669" customFormat="false" ht="14.25" hidden="false" customHeight="true" outlineLevel="0" collapsed="false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  <c r="AE669" s="24"/>
      <c r="AF669" s="24"/>
      <c r="AG669" s="24"/>
    </row>
    <row r="670" customFormat="false" ht="14.25" hidden="false" customHeight="true" outlineLevel="0" collapsed="false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  <c r="AE670" s="24"/>
      <c r="AF670" s="24"/>
      <c r="AG670" s="24"/>
    </row>
    <row r="671" customFormat="false" ht="14.25" hidden="false" customHeight="true" outlineLevel="0" collapsed="false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  <c r="AG671" s="24"/>
    </row>
    <row r="672" customFormat="false" ht="14.25" hidden="false" customHeight="true" outlineLevel="0" collapsed="false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  <c r="AE672" s="24"/>
      <c r="AF672" s="24"/>
      <c r="AG672" s="24"/>
    </row>
    <row r="673" customFormat="false" ht="14.25" hidden="false" customHeight="true" outlineLevel="0" collapsed="false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  <c r="AE673" s="24"/>
      <c r="AF673" s="24"/>
      <c r="AG673" s="24"/>
    </row>
    <row r="674" customFormat="false" ht="14.25" hidden="false" customHeight="true" outlineLevel="0" collapsed="false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  <c r="AF674" s="24"/>
      <c r="AG674" s="24"/>
    </row>
    <row r="675" customFormat="false" ht="14.25" hidden="false" customHeight="true" outlineLevel="0" collapsed="false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  <c r="AE675" s="24"/>
      <c r="AF675" s="24"/>
      <c r="AG675" s="24"/>
    </row>
    <row r="676" customFormat="false" ht="14.25" hidden="false" customHeight="true" outlineLevel="0" collapsed="false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  <c r="AE676" s="24"/>
      <c r="AF676" s="24"/>
      <c r="AG676" s="24"/>
    </row>
    <row r="677" customFormat="false" ht="14.25" hidden="false" customHeight="true" outlineLevel="0" collapsed="false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  <c r="AE677" s="24"/>
      <c r="AF677" s="24"/>
      <c r="AG677" s="24"/>
    </row>
    <row r="678" customFormat="false" ht="14.25" hidden="false" customHeight="true" outlineLevel="0" collapsed="false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  <c r="AE678" s="24"/>
      <c r="AF678" s="24"/>
      <c r="AG678" s="24"/>
    </row>
    <row r="679" customFormat="false" ht="14.25" hidden="false" customHeight="true" outlineLevel="0" collapsed="false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  <c r="AE679" s="24"/>
      <c r="AF679" s="24"/>
      <c r="AG679" s="24"/>
    </row>
    <row r="680" customFormat="false" ht="14.25" hidden="false" customHeight="true" outlineLevel="0" collapsed="false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  <c r="AE680" s="24"/>
      <c r="AF680" s="24"/>
      <c r="AG680" s="24"/>
    </row>
    <row r="681" customFormat="false" ht="14.25" hidden="false" customHeight="true" outlineLevel="0" collapsed="false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  <c r="AE681" s="24"/>
      <c r="AF681" s="24"/>
      <c r="AG681" s="24"/>
    </row>
    <row r="682" customFormat="false" ht="14.25" hidden="false" customHeight="true" outlineLevel="0" collapsed="false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  <c r="AE682" s="24"/>
      <c r="AF682" s="24"/>
      <c r="AG682" s="24"/>
    </row>
    <row r="683" customFormat="false" ht="14.25" hidden="false" customHeight="true" outlineLevel="0" collapsed="false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  <c r="AE683" s="24"/>
      <c r="AF683" s="24"/>
      <c r="AG683" s="24"/>
    </row>
    <row r="684" customFormat="false" ht="14.25" hidden="false" customHeight="true" outlineLevel="0" collapsed="false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  <c r="AE684" s="24"/>
      <c r="AF684" s="24"/>
      <c r="AG684" s="24"/>
    </row>
    <row r="685" customFormat="false" ht="14.25" hidden="false" customHeight="true" outlineLevel="0" collapsed="false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  <c r="AE685" s="24"/>
      <c r="AF685" s="24"/>
      <c r="AG685" s="24"/>
    </row>
    <row r="686" customFormat="false" ht="14.25" hidden="false" customHeight="true" outlineLevel="0" collapsed="false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  <c r="AE686" s="24"/>
      <c r="AF686" s="24"/>
      <c r="AG686" s="24"/>
    </row>
    <row r="687" customFormat="false" ht="14.25" hidden="false" customHeight="true" outlineLevel="0" collapsed="false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  <c r="AE687" s="24"/>
      <c r="AF687" s="24"/>
      <c r="AG687" s="24"/>
    </row>
    <row r="688" customFormat="false" ht="14.25" hidden="false" customHeight="true" outlineLevel="0" collapsed="false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  <c r="AE688" s="24"/>
      <c r="AF688" s="24"/>
      <c r="AG688" s="24"/>
    </row>
    <row r="689" customFormat="false" ht="14.25" hidden="false" customHeight="true" outlineLevel="0" collapsed="false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  <c r="AE689" s="24"/>
      <c r="AF689" s="24"/>
      <c r="AG689" s="24"/>
    </row>
    <row r="690" customFormat="false" ht="14.25" hidden="false" customHeight="true" outlineLevel="0" collapsed="false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  <c r="AE690" s="24"/>
      <c r="AF690" s="24"/>
      <c r="AG690" s="24"/>
    </row>
    <row r="691" customFormat="false" ht="14.25" hidden="false" customHeight="true" outlineLevel="0" collapsed="false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  <c r="AE691" s="24"/>
      <c r="AF691" s="24"/>
      <c r="AG691" s="24"/>
    </row>
    <row r="692" customFormat="false" ht="14.25" hidden="false" customHeight="true" outlineLevel="0" collapsed="false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  <c r="AE692" s="24"/>
      <c r="AF692" s="24"/>
      <c r="AG692" s="24"/>
    </row>
    <row r="693" customFormat="false" ht="14.25" hidden="false" customHeight="true" outlineLevel="0" collapsed="false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  <c r="AE693" s="24"/>
      <c r="AF693" s="24"/>
      <c r="AG693" s="24"/>
    </row>
    <row r="694" customFormat="false" ht="14.25" hidden="false" customHeight="true" outlineLevel="0" collapsed="false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  <c r="AE694" s="24"/>
      <c r="AF694" s="24"/>
      <c r="AG694" s="24"/>
    </row>
    <row r="695" customFormat="false" ht="14.25" hidden="false" customHeight="true" outlineLevel="0" collapsed="false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  <c r="AE695" s="24"/>
      <c r="AF695" s="24"/>
      <c r="AG695" s="24"/>
    </row>
    <row r="696" customFormat="false" ht="14.25" hidden="false" customHeight="true" outlineLevel="0" collapsed="false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  <c r="AE696" s="24"/>
      <c r="AF696" s="24"/>
      <c r="AG696" s="24"/>
    </row>
    <row r="697" customFormat="false" ht="14.25" hidden="false" customHeight="true" outlineLevel="0" collapsed="false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  <c r="AE697" s="24"/>
      <c r="AF697" s="24"/>
      <c r="AG697" s="24"/>
    </row>
    <row r="698" customFormat="false" ht="14.25" hidden="false" customHeight="true" outlineLevel="0" collapsed="false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  <c r="AE698" s="24"/>
      <c r="AF698" s="24"/>
      <c r="AG698" s="24"/>
    </row>
    <row r="699" customFormat="false" ht="14.25" hidden="false" customHeight="true" outlineLevel="0" collapsed="false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  <c r="AE699" s="24"/>
      <c r="AF699" s="24"/>
      <c r="AG699" s="24"/>
    </row>
    <row r="700" customFormat="false" ht="14.25" hidden="false" customHeight="true" outlineLevel="0" collapsed="false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  <c r="AE700" s="24"/>
      <c r="AF700" s="24"/>
      <c r="AG700" s="24"/>
    </row>
    <row r="701" customFormat="false" ht="14.25" hidden="false" customHeight="true" outlineLevel="0" collapsed="false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  <c r="AE701" s="24"/>
      <c r="AF701" s="24"/>
      <c r="AG701" s="24"/>
    </row>
    <row r="702" customFormat="false" ht="14.25" hidden="false" customHeight="true" outlineLevel="0" collapsed="false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  <c r="AE702" s="24"/>
      <c r="AF702" s="24"/>
      <c r="AG702" s="24"/>
    </row>
    <row r="703" customFormat="false" ht="14.25" hidden="false" customHeight="true" outlineLevel="0" collapsed="false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  <c r="AE703" s="24"/>
      <c r="AF703" s="24"/>
      <c r="AG703" s="24"/>
    </row>
    <row r="704" customFormat="false" ht="14.25" hidden="false" customHeight="true" outlineLevel="0" collapsed="false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  <c r="AE704" s="24"/>
      <c r="AF704" s="24"/>
      <c r="AG704" s="24"/>
    </row>
    <row r="705" customFormat="false" ht="14.25" hidden="false" customHeight="true" outlineLevel="0" collapsed="false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  <c r="AE705" s="24"/>
      <c r="AF705" s="24"/>
      <c r="AG705" s="24"/>
    </row>
    <row r="706" customFormat="false" ht="14.25" hidden="false" customHeight="true" outlineLevel="0" collapsed="false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  <c r="AE706" s="24"/>
      <c r="AF706" s="24"/>
      <c r="AG706" s="24"/>
    </row>
    <row r="707" customFormat="false" ht="14.25" hidden="false" customHeight="true" outlineLevel="0" collapsed="false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  <c r="AE707" s="24"/>
      <c r="AF707" s="24"/>
      <c r="AG707" s="24"/>
    </row>
    <row r="708" customFormat="false" ht="14.25" hidden="false" customHeight="true" outlineLevel="0" collapsed="false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  <c r="AE708" s="24"/>
      <c r="AF708" s="24"/>
      <c r="AG708" s="24"/>
    </row>
    <row r="709" customFormat="false" ht="14.25" hidden="false" customHeight="true" outlineLevel="0" collapsed="false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  <c r="AF709" s="24"/>
      <c r="AG709" s="24"/>
    </row>
    <row r="710" customFormat="false" ht="14.25" hidden="false" customHeight="true" outlineLevel="0" collapsed="false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  <c r="AE710" s="24"/>
      <c r="AF710" s="24"/>
      <c r="AG710" s="24"/>
    </row>
    <row r="711" customFormat="false" ht="14.25" hidden="false" customHeight="true" outlineLevel="0" collapsed="false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  <c r="AE711" s="24"/>
      <c r="AF711" s="24"/>
      <c r="AG711" s="24"/>
    </row>
    <row r="712" customFormat="false" ht="14.25" hidden="false" customHeight="true" outlineLevel="0" collapsed="false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  <c r="AF712" s="24"/>
      <c r="AG712" s="24"/>
    </row>
    <row r="713" customFormat="false" ht="14.25" hidden="false" customHeight="true" outlineLevel="0" collapsed="false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  <c r="AE713" s="24"/>
      <c r="AF713" s="24"/>
      <c r="AG713" s="24"/>
    </row>
    <row r="714" customFormat="false" ht="14.25" hidden="false" customHeight="true" outlineLevel="0" collapsed="false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  <c r="AE714" s="24"/>
      <c r="AF714" s="24"/>
      <c r="AG714" s="24"/>
    </row>
    <row r="715" customFormat="false" ht="14.25" hidden="false" customHeight="true" outlineLevel="0" collapsed="false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  <c r="AE715" s="24"/>
      <c r="AF715" s="24"/>
      <c r="AG715" s="24"/>
    </row>
    <row r="716" customFormat="false" ht="14.25" hidden="false" customHeight="true" outlineLevel="0" collapsed="false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  <c r="AE716" s="24"/>
      <c r="AF716" s="24"/>
      <c r="AG716" s="24"/>
    </row>
    <row r="717" customFormat="false" ht="14.25" hidden="false" customHeight="true" outlineLevel="0" collapsed="false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  <c r="AE717" s="24"/>
      <c r="AF717" s="24"/>
      <c r="AG717" s="24"/>
    </row>
    <row r="718" customFormat="false" ht="14.25" hidden="false" customHeight="true" outlineLevel="0" collapsed="false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  <c r="AE718" s="24"/>
      <c r="AF718" s="24"/>
      <c r="AG718" s="24"/>
    </row>
    <row r="719" customFormat="false" ht="14.25" hidden="false" customHeight="true" outlineLevel="0" collapsed="false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  <c r="AE719" s="24"/>
      <c r="AF719" s="24"/>
      <c r="AG719" s="24"/>
    </row>
    <row r="720" customFormat="false" ht="14.25" hidden="false" customHeight="true" outlineLevel="0" collapsed="false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  <c r="AE720" s="24"/>
      <c r="AF720" s="24"/>
      <c r="AG720" s="24"/>
    </row>
    <row r="721" customFormat="false" ht="14.25" hidden="false" customHeight="true" outlineLevel="0" collapsed="false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  <c r="AE721" s="24"/>
      <c r="AF721" s="24"/>
      <c r="AG721" s="24"/>
    </row>
    <row r="722" customFormat="false" ht="14.25" hidden="false" customHeight="true" outlineLevel="0" collapsed="false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  <c r="AE722" s="24"/>
      <c r="AF722" s="24"/>
      <c r="AG722" s="24"/>
    </row>
    <row r="723" customFormat="false" ht="14.25" hidden="false" customHeight="true" outlineLevel="0" collapsed="false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  <c r="AE723" s="24"/>
      <c r="AF723" s="24"/>
      <c r="AG723" s="24"/>
    </row>
    <row r="724" customFormat="false" ht="14.25" hidden="false" customHeight="true" outlineLevel="0" collapsed="false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  <c r="AE724" s="24"/>
      <c r="AF724" s="24"/>
      <c r="AG724" s="24"/>
    </row>
    <row r="725" customFormat="false" ht="14.25" hidden="false" customHeight="true" outlineLevel="0" collapsed="false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  <c r="AE725" s="24"/>
      <c r="AF725" s="24"/>
      <c r="AG725" s="24"/>
    </row>
    <row r="726" customFormat="false" ht="14.25" hidden="false" customHeight="true" outlineLevel="0" collapsed="false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  <c r="AE726" s="24"/>
      <c r="AF726" s="24"/>
      <c r="AG726" s="24"/>
    </row>
    <row r="727" customFormat="false" ht="14.25" hidden="false" customHeight="true" outlineLevel="0" collapsed="false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  <c r="AE727" s="24"/>
      <c r="AF727" s="24"/>
      <c r="AG727" s="24"/>
    </row>
    <row r="728" customFormat="false" ht="14.25" hidden="false" customHeight="true" outlineLevel="0" collapsed="false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  <c r="AE728" s="24"/>
      <c r="AF728" s="24"/>
      <c r="AG728" s="24"/>
    </row>
    <row r="729" customFormat="false" ht="14.25" hidden="false" customHeight="true" outlineLevel="0" collapsed="false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  <c r="AE729" s="24"/>
      <c r="AF729" s="24"/>
      <c r="AG729" s="24"/>
    </row>
    <row r="730" customFormat="false" ht="14.25" hidden="false" customHeight="true" outlineLevel="0" collapsed="false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  <c r="AE730" s="24"/>
      <c r="AF730" s="24"/>
      <c r="AG730" s="24"/>
    </row>
    <row r="731" customFormat="false" ht="14.25" hidden="false" customHeight="true" outlineLevel="0" collapsed="false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  <c r="AE731" s="24"/>
      <c r="AF731" s="24"/>
      <c r="AG731" s="24"/>
    </row>
    <row r="732" customFormat="false" ht="14.25" hidden="false" customHeight="true" outlineLevel="0" collapsed="false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  <c r="AE732" s="24"/>
      <c r="AF732" s="24"/>
      <c r="AG732" s="24"/>
    </row>
    <row r="733" customFormat="false" ht="14.25" hidden="false" customHeight="true" outlineLevel="0" collapsed="false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  <c r="AE733" s="24"/>
      <c r="AF733" s="24"/>
      <c r="AG733" s="24"/>
    </row>
    <row r="734" customFormat="false" ht="14.25" hidden="false" customHeight="true" outlineLevel="0" collapsed="false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  <c r="AE734" s="24"/>
      <c r="AF734" s="24"/>
      <c r="AG734" s="24"/>
    </row>
    <row r="735" customFormat="false" ht="14.25" hidden="false" customHeight="true" outlineLevel="0" collapsed="false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  <c r="AE735" s="24"/>
      <c r="AF735" s="24"/>
      <c r="AG735" s="24"/>
    </row>
    <row r="736" customFormat="false" ht="14.25" hidden="false" customHeight="true" outlineLevel="0" collapsed="false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  <c r="AE736" s="24"/>
      <c r="AF736" s="24"/>
      <c r="AG736" s="24"/>
    </row>
    <row r="737" customFormat="false" ht="14.25" hidden="false" customHeight="true" outlineLevel="0" collapsed="false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  <c r="AE737" s="24"/>
      <c r="AF737" s="24"/>
      <c r="AG737" s="24"/>
    </row>
    <row r="738" customFormat="false" ht="14.25" hidden="false" customHeight="true" outlineLevel="0" collapsed="false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  <c r="AE738" s="24"/>
      <c r="AF738" s="24"/>
      <c r="AG738" s="24"/>
    </row>
    <row r="739" customFormat="false" ht="14.25" hidden="false" customHeight="true" outlineLevel="0" collapsed="false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  <c r="AE739" s="24"/>
      <c r="AF739" s="24"/>
      <c r="AG739" s="24"/>
    </row>
    <row r="740" customFormat="false" ht="14.25" hidden="false" customHeight="true" outlineLevel="0" collapsed="false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  <c r="AE740" s="24"/>
      <c r="AF740" s="24"/>
      <c r="AG740" s="24"/>
    </row>
    <row r="741" customFormat="false" ht="14.25" hidden="false" customHeight="true" outlineLevel="0" collapsed="false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  <c r="AE741" s="24"/>
      <c r="AF741" s="24"/>
      <c r="AG741" s="24"/>
    </row>
    <row r="742" customFormat="false" ht="14.25" hidden="false" customHeight="true" outlineLevel="0" collapsed="false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  <c r="AE742" s="24"/>
      <c r="AF742" s="24"/>
      <c r="AG742" s="24"/>
    </row>
    <row r="743" customFormat="false" ht="14.25" hidden="false" customHeight="true" outlineLevel="0" collapsed="false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  <c r="AE743" s="24"/>
      <c r="AF743" s="24"/>
      <c r="AG743" s="24"/>
    </row>
    <row r="744" customFormat="false" ht="14.25" hidden="false" customHeight="true" outlineLevel="0" collapsed="false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  <c r="AE744" s="24"/>
      <c r="AF744" s="24"/>
      <c r="AG744" s="24"/>
    </row>
    <row r="745" customFormat="false" ht="14.25" hidden="false" customHeight="true" outlineLevel="0" collapsed="false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  <c r="AE745" s="24"/>
      <c r="AF745" s="24"/>
      <c r="AG745" s="24"/>
    </row>
    <row r="746" customFormat="false" ht="14.25" hidden="false" customHeight="true" outlineLevel="0" collapsed="false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  <c r="AE746" s="24"/>
      <c r="AF746" s="24"/>
      <c r="AG746" s="24"/>
    </row>
    <row r="747" customFormat="false" ht="14.25" hidden="false" customHeight="true" outlineLevel="0" collapsed="false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  <c r="AF747" s="24"/>
      <c r="AG747" s="24"/>
    </row>
    <row r="748" customFormat="false" ht="14.25" hidden="false" customHeight="true" outlineLevel="0" collapsed="false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  <c r="AE748" s="24"/>
      <c r="AF748" s="24"/>
      <c r="AG748" s="24"/>
    </row>
    <row r="749" customFormat="false" ht="14.25" hidden="false" customHeight="true" outlineLevel="0" collapsed="false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  <c r="AE749" s="24"/>
      <c r="AF749" s="24"/>
      <c r="AG749" s="24"/>
    </row>
    <row r="750" customFormat="false" ht="14.25" hidden="false" customHeight="true" outlineLevel="0" collapsed="false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  <c r="AF750" s="24"/>
      <c r="AG750" s="24"/>
    </row>
    <row r="751" customFormat="false" ht="14.25" hidden="false" customHeight="true" outlineLevel="0" collapsed="false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  <c r="AE751" s="24"/>
      <c r="AF751" s="24"/>
      <c r="AG751" s="24"/>
    </row>
    <row r="752" customFormat="false" ht="14.25" hidden="false" customHeight="true" outlineLevel="0" collapsed="false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  <c r="AE752" s="24"/>
      <c r="AF752" s="24"/>
      <c r="AG752" s="24"/>
    </row>
    <row r="753" customFormat="false" ht="14.25" hidden="false" customHeight="true" outlineLevel="0" collapsed="false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  <c r="AE753" s="24"/>
      <c r="AF753" s="24"/>
      <c r="AG753" s="24"/>
    </row>
    <row r="754" customFormat="false" ht="14.25" hidden="false" customHeight="true" outlineLevel="0" collapsed="false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  <c r="AE754" s="24"/>
      <c r="AF754" s="24"/>
      <c r="AG754" s="24"/>
    </row>
    <row r="755" customFormat="false" ht="14.25" hidden="false" customHeight="true" outlineLevel="0" collapsed="false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  <c r="AE755" s="24"/>
      <c r="AF755" s="24"/>
      <c r="AG755" s="24"/>
    </row>
    <row r="756" customFormat="false" ht="14.25" hidden="false" customHeight="true" outlineLevel="0" collapsed="false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  <c r="AE756" s="24"/>
      <c r="AF756" s="24"/>
      <c r="AG756" s="24"/>
    </row>
    <row r="757" customFormat="false" ht="14.25" hidden="false" customHeight="true" outlineLevel="0" collapsed="false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  <c r="AE757" s="24"/>
      <c r="AF757" s="24"/>
      <c r="AG757" s="24"/>
    </row>
    <row r="758" customFormat="false" ht="14.25" hidden="false" customHeight="true" outlineLevel="0" collapsed="false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  <c r="AE758" s="24"/>
      <c r="AF758" s="24"/>
      <c r="AG758" s="24"/>
    </row>
    <row r="759" customFormat="false" ht="14.25" hidden="false" customHeight="true" outlineLevel="0" collapsed="false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  <c r="AE759" s="24"/>
      <c r="AF759" s="24"/>
      <c r="AG759" s="24"/>
    </row>
    <row r="760" customFormat="false" ht="14.25" hidden="false" customHeight="true" outlineLevel="0" collapsed="false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  <c r="AE760" s="24"/>
      <c r="AF760" s="24"/>
      <c r="AG760" s="24"/>
    </row>
    <row r="761" customFormat="false" ht="14.25" hidden="false" customHeight="true" outlineLevel="0" collapsed="false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  <c r="AE761" s="24"/>
      <c r="AF761" s="24"/>
      <c r="AG761" s="24"/>
    </row>
    <row r="762" customFormat="false" ht="14.25" hidden="false" customHeight="true" outlineLevel="0" collapsed="false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  <c r="AE762" s="24"/>
      <c r="AF762" s="24"/>
      <c r="AG762" s="24"/>
    </row>
    <row r="763" customFormat="false" ht="14.25" hidden="false" customHeight="true" outlineLevel="0" collapsed="false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  <c r="AE763" s="24"/>
      <c r="AF763" s="24"/>
      <c r="AG763" s="24"/>
    </row>
    <row r="764" customFormat="false" ht="14.25" hidden="false" customHeight="true" outlineLevel="0" collapsed="false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  <c r="AE764" s="24"/>
      <c r="AF764" s="24"/>
      <c r="AG764" s="24"/>
    </row>
    <row r="765" customFormat="false" ht="14.25" hidden="false" customHeight="true" outlineLevel="0" collapsed="false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  <c r="AE765" s="24"/>
      <c r="AF765" s="24"/>
      <c r="AG765" s="24"/>
    </row>
    <row r="766" customFormat="false" ht="14.25" hidden="false" customHeight="true" outlineLevel="0" collapsed="false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  <c r="AE766" s="24"/>
      <c r="AF766" s="24"/>
      <c r="AG766" s="24"/>
    </row>
    <row r="767" customFormat="false" ht="14.25" hidden="false" customHeight="true" outlineLevel="0" collapsed="false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  <c r="AE767" s="24"/>
      <c r="AF767" s="24"/>
      <c r="AG767" s="24"/>
    </row>
    <row r="768" customFormat="false" ht="14.25" hidden="false" customHeight="true" outlineLevel="0" collapsed="false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  <c r="AE768" s="24"/>
      <c r="AF768" s="24"/>
      <c r="AG768" s="24"/>
    </row>
    <row r="769" customFormat="false" ht="14.25" hidden="false" customHeight="true" outlineLevel="0" collapsed="false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  <c r="AE769" s="24"/>
      <c r="AF769" s="24"/>
      <c r="AG769" s="24"/>
    </row>
    <row r="770" customFormat="false" ht="14.25" hidden="false" customHeight="true" outlineLevel="0" collapsed="false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  <c r="AE770" s="24"/>
      <c r="AF770" s="24"/>
      <c r="AG770" s="24"/>
    </row>
    <row r="771" customFormat="false" ht="14.25" hidden="false" customHeight="true" outlineLevel="0" collapsed="false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  <c r="AE771" s="24"/>
      <c r="AF771" s="24"/>
      <c r="AG771" s="24"/>
    </row>
    <row r="772" customFormat="false" ht="14.25" hidden="false" customHeight="true" outlineLevel="0" collapsed="false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  <c r="AE772" s="24"/>
      <c r="AF772" s="24"/>
      <c r="AG772" s="24"/>
    </row>
    <row r="773" customFormat="false" ht="14.25" hidden="false" customHeight="true" outlineLevel="0" collapsed="false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  <c r="AE773" s="24"/>
      <c r="AF773" s="24"/>
      <c r="AG773" s="24"/>
    </row>
    <row r="774" customFormat="false" ht="14.25" hidden="false" customHeight="true" outlineLevel="0" collapsed="false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  <c r="AE774" s="24"/>
      <c r="AF774" s="24"/>
      <c r="AG774" s="24"/>
    </row>
    <row r="775" customFormat="false" ht="14.25" hidden="false" customHeight="true" outlineLevel="0" collapsed="false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  <c r="AE775" s="24"/>
      <c r="AF775" s="24"/>
      <c r="AG775" s="24"/>
    </row>
    <row r="776" customFormat="false" ht="14.25" hidden="false" customHeight="true" outlineLevel="0" collapsed="false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  <c r="AE776" s="24"/>
      <c r="AF776" s="24"/>
      <c r="AG776" s="24"/>
    </row>
    <row r="777" customFormat="false" ht="14.25" hidden="false" customHeight="true" outlineLevel="0" collapsed="false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  <c r="AE777" s="24"/>
      <c r="AF777" s="24"/>
      <c r="AG777" s="24"/>
    </row>
    <row r="778" customFormat="false" ht="14.25" hidden="false" customHeight="true" outlineLevel="0" collapsed="false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  <c r="AE778" s="24"/>
      <c r="AF778" s="24"/>
      <c r="AG778" s="24"/>
    </row>
    <row r="779" customFormat="false" ht="14.25" hidden="false" customHeight="true" outlineLevel="0" collapsed="false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  <c r="AE779" s="24"/>
      <c r="AF779" s="24"/>
      <c r="AG779" s="24"/>
    </row>
    <row r="780" customFormat="false" ht="14.25" hidden="false" customHeight="true" outlineLevel="0" collapsed="false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  <c r="AE780" s="24"/>
      <c r="AF780" s="24"/>
      <c r="AG780" s="24"/>
    </row>
    <row r="781" customFormat="false" ht="14.25" hidden="false" customHeight="true" outlineLevel="0" collapsed="false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  <c r="AE781" s="24"/>
      <c r="AF781" s="24"/>
      <c r="AG781" s="24"/>
    </row>
    <row r="782" customFormat="false" ht="14.25" hidden="false" customHeight="true" outlineLevel="0" collapsed="false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  <c r="AE782" s="24"/>
      <c r="AF782" s="24"/>
      <c r="AG782" s="24"/>
    </row>
    <row r="783" customFormat="false" ht="14.25" hidden="false" customHeight="true" outlineLevel="0" collapsed="false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  <c r="AE783" s="24"/>
      <c r="AF783" s="24"/>
      <c r="AG783" s="24"/>
    </row>
    <row r="784" customFormat="false" ht="14.25" hidden="false" customHeight="true" outlineLevel="0" collapsed="false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  <c r="AE784" s="24"/>
      <c r="AF784" s="24"/>
      <c r="AG784" s="24"/>
    </row>
    <row r="785" customFormat="false" ht="14.25" hidden="false" customHeight="true" outlineLevel="0" collapsed="false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  <c r="AE785" s="24"/>
      <c r="AF785" s="24"/>
      <c r="AG785" s="24"/>
    </row>
    <row r="786" customFormat="false" ht="14.25" hidden="false" customHeight="true" outlineLevel="0" collapsed="false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  <c r="AE786" s="24"/>
      <c r="AF786" s="24"/>
      <c r="AG786" s="24"/>
    </row>
    <row r="787" customFormat="false" ht="14.25" hidden="false" customHeight="true" outlineLevel="0" collapsed="false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  <c r="AE787" s="24"/>
      <c r="AF787" s="24"/>
      <c r="AG787" s="24"/>
    </row>
    <row r="788" customFormat="false" ht="14.25" hidden="false" customHeight="true" outlineLevel="0" collapsed="false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  <c r="AE788" s="24"/>
      <c r="AF788" s="24"/>
      <c r="AG788" s="24"/>
    </row>
    <row r="789" customFormat="false" ht="14.25" hidden="false" customHeight="true" outlineLevel="0" collapsed="false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  <c r="AE789" s="24"/>
      <c r="AF789" s="24"/>
      <c r="AG789" s="24"/>
    </row>
    <row r="790" customFormat="false" ht="14.25" hidden="false" customHeight="true" outlineLevel="0" collapsed="false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  <c r="AE790" s="24"/>
      <c r="AF790" s="24"/>
      <c r="AG790" s="24"/>
    </row>
    <row r="791" customFormat="false" ht="14.25" hidden="false" customHeight="true" outlineLevel="0" collapsed="false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  <c r="AE791" s="24"/>
      <c r="AF791" s="24"/>
      <c r="AG791" s="24"/>
    </row>
    <row r="792" customFormat="false" ht="14.25" hidden="false" customHeight="true" outlineLevel="0" collapsed="false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  <c r="AE792" s="24"/>
      <c r="AF792" s="24"/>
      <c r="AG792" s="24"/>
    </row>
    <row r="793" customFormat="false" ht="14.25" hidden="false" customHeight="true" outlineLevel="0" collapsed="false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  <c r="AE793" s="24"/>
      <c r="AF793" s="24"/>
      <c r="AG793" s="24"/>
    </row>
    <row r="794" customFormat="false" ht="14.25" hidden="false" customHeight="true" outlineLevel="0" collapsed="false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  <c r="AE794" s="24"/>
      <c r="AF794" s="24"/>
      <c r="AG794" s="24"/>
    </row>
    <row r="795" customFormat="false" ht="14.25" hidden="false" customHeight="true" outlineLevel="0" collapsed="false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  <c r="AE795" s="24"/>
      <c r="AF795" s="24"/>
      <c r="AG795" s="24"/>
    </row>
    <row r="796" customFormat="false" ht="14.25" hidden="false" customHeight="true" outlineLevel="0" collapsed="false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  <c r="AE796" s="24"/>
      <c r="AF796" s="24"/>
      <c r="AG796" s="24"/>
    </row>
    <row r="797" customFormat="false" ht="14.25" hidden="false" customHeight="true" outlineLevel="0" collapsed="false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  <c r="AE797" s="24"/>
      <c r="AF797" s="24"/>
      <c r="AG797" s="24"/>
    </row>
    <row r="798" customFormat="false" ht="14.25" hidden="false" customHeight="true" outlineLevel="0" collapsed="false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  <c r="AE798" s="24"/>
      <c r="AF798" s="24"/>
      <c r="AG798" s="24"/>
    </row>
    <row r="799" customFormat="false" ht="14.25" hidden="false" customHeight="true" outlineLevel="0" collapsed="false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  <c r="AE799" s="24"/>
      <c r="AF799" s="24"/>
      <c r="AG799" s="24"/>
    </row>
    <row r="800" customFormat="false" ht="14.25" hidden="false" customHeight="true" outlineLevel="0" collapsed="false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  <c r="AE800" s="24"/>
      <c r="AF800" s="24"/>
      <c r="AG800" s="24"/>
    </row>
    <row r="801" customFormat="false" ht="14.25" hidden="false" customHeight="true" outlineLevel="0" collapsed="false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  <c r="AE801" s="24"/>
      <c r="AF801" s="24"/>
      <c r="AG801" s="24"/>
    </row>
    <row r="802" customFormat="false" ht="14.25" hidden="false" customHeight="true" outlineLevel="0" collapsed="false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  <c r="AE802" s="24"/>
      <c r="AF802" s="24"/>
      <c r="AG802" s="24"/>
    </row>
    <row r="803" customFormat="false" ht="14.25" hidden="false" customHeight="true" outlineLevel="0" collapsed="false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  <c r="AE803" s="24"/>
      <c r="AF803" s="24"/>
      <c r="AG803" s="24"/>
    </row>
    <row r="804" customFormat="false" ht="14.25" hidden="false" customHeight="true" outlineLevel="0" collapsed="false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  <c r="AE804" s="24"/>
      <c r="AF804" s="24"/>
      <c r="AG804" s="24"/>
    </row>
    <row r="805" customFormat="false" ht="14.25" hidden="false" customHeight="true" outlineLevel="0" collapsed="false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  <c r="AE805" s="24"/>
      <c r="AF805" s="24"/>
      <c r="AG805" s="24"/>
    </row>
    <row r="806" customFormat="false" ht="14.25" hidden="false" customHeight="true" outlineLevel="0" collapsed="false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  <c r="AE806" s="24"/>
      <c r="AF806" s="24"/>
      <c r="AG806" s="24"/>
    </row>
    <row r="807" customFormat="false" ht="14.25" hidden="false" customHeight="true" outlineLevel="0" collapsed="false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  <c r="AE807" s="24"/>
      <c r="AF807" s="24"/>
      <c r="AG807" s="24"/>
    </row>
    <row r="808" customFormat="false" ht="14.25" hidden="false" customHeight="true" outlineLevel="0" collapsed="false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  <c r="AE808" s="24"/>
      <c r="AF808" s="24"/>
      <c r="AG808" s="24"/>
    </row>
    <row r="809" customFormat="false" ht="14.25" hidden="false" customHeight="true" outlineLevel="0" collapsed="false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  <c r="AE809" s="24"/>
      <c r="AF809" s="24"/>
      <c r="AG809" s="24"/>
    </row>
    <row r="810" customFormat="false" ht="14.25" hidden="false" customHeight="true" outlineLevel="0" collapsed="false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  <c r="AE810" s="24"/>
      <c r="AF810" s="24"/>
      <c r="AG810" s="24"/>
    </row>
    <row r="811" customFormat="false" ht="14.25" hidden="false" customHeight="true" outlineLevel="0" collapsed="false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  <c r="AE811" s="24"/>
      <c r="AF811" s="24"/>
      <c r="AG811" s="24"/>
    </row>
    <row r="812" customFormat="false" ht="14.25" hidden="false" customHeight="true" outlineLevel="0" collapsed="false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  <c r="AE812" s="24"/>
      <c r="AF812" s="24"/>
      <c r="AG812" s="24"/>
    </row>
    <row r="813" customFormat="false" ht="14.25" hidden="false" customHeight="true" outlineLevel="0" collapsed="false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  <c r="AE813" s="24"/>
      <c r="AF813" s="24"/>
      <c r="AG813" s="24"/>
    </row>
    <row r="814" customFormat="false" ht="14.25" hidden="false" customHeight="true" outlineLevel="0" collapsed="false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  <c r="AE814" s="24"/>
      <c r="AF814" s="24"/>
      <c r="AG814" s="24"/>
    </row>
    <row r="815" customFormat="false" ht="14.25" hidden="false" customHeight="true" outlineLevel="0" collapsed="false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  <c r="AE815" s="24"/>
      <c r="AF815" s="24"/>
      <c r="AG815" s="24"/>
    </row>
    <row r="816" customFormat="false" ht="14.25" hidden="false" customHeight="true" outlineLevel="0" collapsed="false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  <c r="AE816" s="24"/>
      <c r="AF816" s="24"/>
      <c r="AG816" s="24"/>
    </row>
    <row r="817" customFormat="false" ht="14.25" hidden="false" customHeight="true" outlineLevel="0" collapsed="false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  <c r="AE817" s="24"/>
      <c r="AF817" s="24"/>
      <c r="AG817" s="24"/>
    </row>
    <row r="818" customFormat="false" ht="14.25" hidden="false" customHeight="true" outlineLevel="0" collapsed="false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  <c r="AE818" s="24"/>
      <c r="AF818" s="24"/>
      <c r="AG818" s="24"/>
    </row>
    <row r="819" customFormat="false" ht="14.25" hidden="false" customHeight="true" outlineLevel="0" collapsed="false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  <c r="AE819" s="24"/>
      <c r="AF819" s="24"/>
      <c r="AG819" s="24"/>
    </row>
    <row r="820" customFormat="false" ht="14.25" hidden="false" customHeight="true" outlineLevel="0" collapsed="false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  <c r="AE820" s="24"/>
      <c r="AF820" s="24"/>
      <c r="AG820" s="24"/>
    </row>
    <row r="821" customFormat="false" ht="14.25" hidden="false" customHeight="true" outlineLevel="0" collapsed="false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  <c r="AE821" s="24"/>
      <c r="AF821" s="24"/>
      <c r="AG821" s="24"/>
    </row>
    <row r="822" customFormat="false" ht="14.25" hidden="false" customHeight="true" outlineLevel="0" collapsed="false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  <c r="AE822" s="24"/>
      <c r="AF822" s="24"/>
      <c r="AG822" s="24"/>
    </row>
    <row r="823" customFormat="false" ht="14.25" hidden="false" customHeight="true" outlineLevel="0" collapsed="false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  <c r="AE823" s="24"/>
      <c r="AF823" s="24"/>
      <c r="AG823" s="24"/>
    </row>
    <row r="824" customFormat="false" ht="14.25" hidden="false" customHeight="true" outlineLevel="0" collapsed="false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  <c r="AE824" s="24"/>
      <c r="AF824" s="24"/>
      <c r="AG824" s="24"/>
    </row>
    <row r="825" customFormat="false" ht="14.25" hidden="false" customHeight="true" outlineLevel="0" collapsed="false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  <c r="AE825" s="24"/>
      <c r="AF825" s="24"/>
      <c r="AG825" s="24"/>
    </row>
    <row r="826" customFormat="false" ht="14.25" hidden="false" customHeight="true" outlineLevel="0" collapsed="false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  <c r="AE826" s="24"/>
      <c r="AF826" s="24"/>
      <c r="AG826" s="24"/>
    </row>
    <row r="827" customFormat="false" ht="14.25" hidden="false" customHeight="true" outlineLevel="0" collapsed="false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  <c r="AE827" s="24"/>
      <c r="AF827" s="24"/>
      <c r="AG827" s="24"/>
    </row>
    <row r="828" customFormat="false" ht="14.25" hidden="false" customHeight="true" outlineLevel="0" collapsed="false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  <c r="AE828" s="24"/>
      <c r="AF828" s="24"/>
      <c r="AG828" s="24"/>
    </row>
    <row r="829" customFormat="false" ht="14.25" hidden="false" customHeight="true" outlineLevel="0" collapsed="false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  <c r="AE829" s="24"/>
      <c r="AF829" s="24"/>
      <c r="AG829" s="24"/>
    </row>
    <row r="830" customFormat="false" ht="14.25" hidden="false" customHeight="true" outlineLevel="0" collapsed="false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  <c r="AE830" s="24"/>
      <c r="AF830" s="24"/>
      <c r="AG830" s="24"/>
    </row>
    <row r="831" customFormat="false" ht="14.25" hidden="false" customHeight="true" outlineLevel="0" collapsed="false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  <c r="AE831" s="24"/>
      <c r="AF831" s="24"/>
      <c r="AG831" s="24"/>
    </row>
    <row r="832" customFormat="false" ht="14.25" hidden="false" customHeight="true" outlineLevel="0" collapsed="false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  <c r="AE832" s="24"/>
      <c r="AF832" s="24"/>
      <c r="AG832" s="24"/>
    </row>
    <row r="833" customFormat="false" ht="14.25" hidden="false" customHeight="true" outlineLevel="0" collapsed="false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  <c r="AE833" s="24"/>
      <c r="AF833" s="24"/>
      <c r="AG833" s="24"/>
    </row>
    <row r="834" customFormat="false" ht="14.25" hidden="false" customHeight="true" outlineLevel="0" collapsed="false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  <c r="AE834" s="24"/>
      <c r="AF834" s="24"/>
      <c r="AG834" s="24"/>
    </row>
    <row r="835" customFormat="false" ht="14.25" hidden="false" customHeight="true" outlineLevel="0" collapsed="false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  <c r="AE835" s="24"/>
      <c r="AF835" s="24"/>
      <c r="AG835" s="24"/>
    </row>
    <row r="836" customFormat="false" ht="14.25" hidden="false" customHeight="true" outlineLevel="0" collapsed="false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  <c r="AE836" s="24"/>
      <c r="AF836" s="24"/>
      <c r="AG836" s="24"/>
    </row>
    <row r="837" customFormat="false" ht="14.25" hidden="false" customHeight="true" outlineLevel="0" collapsed="false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  <c r="AE837" s="24"/>
      <c r="AF837" s="24"/>
      <c r="AG837" s="24"/>
    </row>
    <row r="838" customFormat="false" ht="14.25" hidden="false" customHeight="true" outlineLevel="0" collapsed="false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  <c r="AE838" s="24"/>
      <c r="AF838" s="24"/>
      <c r="AG838" s="24"/>
    </row>
    <row r="839" customFormat="false" ht="14.25" hidden="false" customHeight="true" outlineLevel="0" collapsed="false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  <c r="AE839" s="24"/>
      <c r="AF839" s="24"/>
      <c r="AG839" s="24"/>
    </row>
    <row r="840" customFormat="false" ht="14.25" hidden="false" customHeight="true" outlineLevel="0" collapsed="false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  <c r="AE840" s="24"/>
      <c r="AF840" s="24"/>
      <c r="AG840" s="24"/>
    </row>
    <row r="841" customFormat="false" ht="14.25" hidden="false" customHeight="true" outlineLevel="0" collapsed="false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  <c r="AE841" s="24"/>
      <c r="AF841" s="24"/>
      <c r="AG841" s="24"/>
    </row>
    <row r="842" customFormat="false" ht="14.25" hidden="false" customHeight="true" outlineLevel="0" collapsed="false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  <c r="AE842" s="24"/>
      <c r="AF842" s="24"/>
      <c r="AG842" s="24"/>
    </row>
    <row r="843" customFormat="false" ht="14.25" hidden="false" customHeight="true" outlineLevel="0" collapsed="false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  <c r="AE843" s="24"/>
      <c r="AF843" s="24"/>
      <c r="AG843" s="24"/>
    </row>
    <row r="844" customFormat="false" ht="14.25" hidden="false" customHeight="true" outlineLevel="0" collapsed="false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  <c r="AE844" s="24"/>
      <c r="AF844" s="24"/>
      <c r="AG844" s="24"/>
    </row>
    <row r="845" customFormat="false" ht="14.25" hidden="false" customHeight="true" outlineLevel="0" collapsed="false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  <c r="AE845" s="24"/>
      <c r="AF845" s="24"/>
      <c r="AG845" s="24"/>
    </row>
    <row r="846" customFormat="false" ht="14.25" hidden="false" customHeight="true" outlineLevel="0" collapsed="false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  <c r="AE846" s="24"/>
      <c r="AF846" s="24"/>
      <c r="AG846" s="24"/>
    </row>
    <row r="847" customFormat="false" ht="14.25" hidden="false" customHeight="true" outlineLevel="0" collapsed="false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  <c r="AE847" s="24"/>
      <c r="AF847" s="24"/>
      <c r="AG847" s="24"/>
    </row>
    <row r="848" customFormat="false" ht="14.25" hidden="false" customHeight="true" outlineLevel="0" collapsed="false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  <c r="AE848" s="24"/>
      <c r="AF848" s="24"/>
      <c r="AG848" s="24"/>
    </row>
    <row r="849" customFormat="false" ht="14.25" hidden="false" customHeight="true" outlineLevel="0" collapsed="false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  <c r="AE849" s="24"/>
      <c r="AF849" s="24"/>
      <c r="AG849" s="24"/>
    </row>
    <row r="850" customFormat="false" ht="14.25" hidden="false" customHeight="true" outlineLevel="0" collapsed="false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  <c r="AE850" s="24"/>
      <c r="AF850" s="24"/>
      <c r="AG850" s="24"/>
    </row>
    <row r="851" customFormat="false" ht="14.25" hidden="false" customHeight="true" outlineLevel="0" collapsed="false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  <c r="AE851" s="24"/>
      <c r="AF851" s="24"/>
      <c r="AG851" s="24"/>
    </row>
    <row r="852" customFormat="false" ht="14.25" hidden="false" customHeight="true" outlineLevel="0" collapsed="false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  <c r="AE852" s="24"/>
      <c r="AF852" s="24"/>
      <c r="AG852" s="24"/>
    </row>
    <row r="853" customFormat="false" ht="14.25" hidden="false" customHeight="true" outlineLevel="0" collapsed="false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  <c r="AE853" s="24"/>
      <c r="AF853" s="24"/>
      <c r="AG853" s="24"/>
    </row>
    <row r="854" customFormat="false" ht="14.25" hidden="false" customHeight="true" outlineLevel="0" collapsed="false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  <c r="AE854" s="24"/>
      <c r="AF854" s="24"/>
      <c r="AG854" s="24"/>
    </row>
    <row r="855" customFormat="false" ht="14.25" hidden="false" customHeight="true" outlineLevel="0" collapsed="false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  <c r="AE855" s="24"/>
      <c r="AF855" s="24"/>
      <c r="AG855" s="24"/>
    </row>
    <row r="856" customFormat="false" ht="14.25" hidden="false" customHeight="true" outlineLevel="0" collapsed="false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  <c r="AE856" s="24"/>
      <c r="AF856" s="24"/>
      <c r="AG856" s="24"/>
    </row>
    <row r="857" customFormat="false" ht="14.25" hidden="false" customHeight="true" outlineLevel="0" collapsed="false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  <c r="AE857" s="24"/>
      <c r="AF857" s="24"/>
      <c r="AG857" s="24"/>
    </row>
    <row r="858" customFormat="false" ht="14.25" hidden="false" customHeight="true" outlineLevel="0" collapsed="false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  <c r="AE858" s="24"/>
      <c r="AF858" s="24"/>
      <c r="AG858" s="24"/>
    </row>
    <row r="859" customFormat="false" ht="14.25" hidden="false" customHeight="true" outlineLevel="0" collapsed="false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  <c r="AE859" s="24"/>
      <c r="AF859" s="24"/>
      <c r="AG859" s="24"/>
    </row>
    <row r="860" customFormat="false" ht="14.25" hidden="false" customHeight="true" outlineLevel="0" collapsed="false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  <c r="AE860" s="24"/>
      <c r="AF860" s="24"/>
      <c r="AG860" s="24"/>
    </row>
    <row r="861" customFormat="false" ht="14.25" hidden="false" customHeight="true" outlineLevel="0" collapsed="false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  <c r="AE861" s="24"/>
      <c r="AF861" s="24"/>
      <c r="AG861" s="24"/>
    </row>
    <row r="862" customFormat="false" ht="14.25" hidden="false" customHeight="true" outlineLevel="0" collapsed="false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  <c r="AE862" s="24"/>
      <c r="AF862" s="24"/>
      <c r="AG862" s="24"/>
    </row>
    <row r="863" customFormat="false" ht="14.25" hidden="false" customHeight="true" outlineLevel="0" collapsed="false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  <c r="AE863" s="24"/>
      <c r="AF863" s="24"/>
      <c r="AG863" s="24"/>
    </row>
    <row r="864" customFormat="false" ht="14.25" hidden="false" customHeight="true" outlineLevel="0" collapsed="false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  <c r="AE864" s="24"/>
      <c r="AF864" s="24"/>
      <c r="AG864" s="24"/>
    </row>
    <row r="865" customFormat="false" ht="14.25" hidden="false" customHeight="true" outlineLevel="0" collapsed="false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  <c r="AE865" s="24"/>
      <c r="AF865" s="24"/>
      <c r="AG865" s="24"/>
    </row>
    <row r="866" customFormat="false" ht="14.25" hidden="false" customHeight="true" outlineLevel="0" collapsed="false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  <c r="AE866" s="24"/>
      <c r="AF866" s="24"/>
      <c r="AG866" s="24"/>
    </row>
    <row r="867" customFormat="false" ht="14.25" hidden="false" customHeight="true" outlineLevel="0" collapsed="false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  <c r="AE867" s="24"/>
      <c r="AF867" s="24"/>
      <c r="AG867" s="24"/>
    </row>
    <row r="868" customFormat="false" ht="14.25" hidden="false" customHeight="true" outlineLevel="0" collapsed="false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  <c r="AE868" s="24"/>
      <c r="AF868" s="24"/>
      <c r="AG868" s="24"/>
    </row>
    <row r="869" customFormat="false" ht="14.25" hidden="false" customHeight="true" outlineLevel="0" collapsed="false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  <c r="AE869" s="24"/>
      <c r="AF869" s="24"/>
      <c r="AG869" s="24"/>
    </row>
    <row r="870" customFormat="false" ht="14.25" hidden="false" customHeight="true" outlineLevel="0" collapsed="false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  <c r="AE870" s="24"/>
      <c r="AF870" s="24"/>
      <c r="AG870" s="24"/>
    </row>
    <row r="871" customFormat="false" ht="14.25" hidden="false" customHeight="true" outlineLevel="0" collapsed="false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  <c r="AE871" s="24"/>
      <c r="AF871" s="24"/>
      <c r="AG871" s="24"/>
    </row>
    <row r="872" customFormat="false" ht="14.25" hidden="false" customHeight="true" outlineLevel="0" collapsed="false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  <c r="AE872" s="24"/>
      <c r="AF872" s="24"/>
      <c r="AG872" s="24"/>
    </row>
    <row r="873" customFormat="false" ht="14.25" hidden="false" customHeight="true" outlineLevel="0" collapsed="false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  <c r="AE873" s="24"/>
      <c r="AF873" s="24"/>
      <c r="AG873" s="24"/>
    </row>
    <row r="874" customFormat="false" ht="14.25" hidden="false" customHeight="true" outlineLevel="0" collapsed="false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  <c r="AE874" s="24"/>
      <c r="AF874" s="24"/>
      <c r="AG874" s="24"/>
    </row>
    <row r="875" customFormat="false" ht="14.25" hidden="false" customHeight="true" outlineLevel="0" collapsed="false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  <c r="AE875" s="24"/>
      <c r="AF875" s="24"/>
      <c r="AG875" s="24"/>
    </row>
    <row r="876" customFormat="false" ht="14.25" hidden="false" customHeight="true" outlineLevel="0" collapsed="false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  <c r="AE876" s="24"/>
      <c r="AF876" s="24"/>
      <c r="AG876" s="24"/>
    </row>
    <row r="877" customFormat="false" ht="14.25" hidden="false" customHeight="true" outlineLevel="0" collapsed="false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  <c r="AE877" s="24"/>
      <c r="AF877" s="24"/>
      <c r="AG877" s="24"/>
    </row>
    <row r="878" customFormat="false" ht="14.25" hidden="false" customHeight="true" outlineLevel="0" collapsed="false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  <c r="AE878" s="24"/>
      <c r="AF878" s="24"/>
      <c r="AG878" s="24"/>
    </row>
    <row r="879" customFormat="false" ht="14.25" hidden="false" customHeight="true" outlineLevel="0" collapsed="false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  <c r="AE879" s="24"/>
      <c r="AF879" s="24"/>
      <c r="AG879" s="24"/>
    </row>
    <row r="880" customFormat="false" ht="14.25" hidden="false" customHeight="true" outlineLevel="0" collapsed="false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  <c r="AE880" s="24"/>
      <c r="AF880" s="24"/>
      <c r="AG880" s="24"/>
    </row>
    <row r="881" customFormat="false" ht="14.25" hidden="false" customHeight="true" outlineLevel="0" collapsed="false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  <c r="AE881" s="24"/>
      <c r="AF881" s="24"/>
      <c r="AG881" s="24"/>
    </row>
    <row r="882" customFormat="false" ht="14.25" hidden="false" customHeight="true" outlineLevel="0" collapsed="false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  <c r="AE882" s="24"/>
      <c r="AF882" s="24"/>
      <c r="AG882" s="24"/>
    </row>
    <row r="883" customFormat="false" ht="14.25" hidden="false" customHeight="true" outlineLevel="0" collapsed="false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  <c r="AE883" s="24"/>
      <c r="AF883" s="24"/>
      <c r="AG883" s="24"/>
    </row>
    <row r="884" customFormat="false" ht="14.25" hidden="false" customHeight="true" outlineLevel="0" collapsed="false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  <c r="AE884" s="24"/>
      <c r="AF884" s="24"/>
      <c r="AG884" s="24"/>
    </row>
    <row r="885" customFormat="false" ht="14.25" hidden="false" customHeight="true" outlineLevel="0" collapsed="false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  <c r="AE885" s="24"/>
      <c r="AF885" s="24"/>
      <c r="AG885" s="24"/>
    </row>
    <row r="886" customFormat="false" ht="14.25" hidden="false" customHeight="true" outlineLevel="0" collapsed="false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  <c r="AE886" s="24"/>
      <c r="AF886" s="24"/>
      <c r="AG886" s="24"/>
    </row>
    <row r="887" customFormat="false" ht="14.25" hidden="false" customHeight="true" outlineLevel="0" collapsed="false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  <c r="AE887" s="24"/>
      <c r="AF887" s="24"/>
      <c r="AG887" s="24"/>
    </row>
    <row r="888" customFormat="false" ht="14.25" hidden="false" customHeight="true" outlineLevel="0" collapsed="false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  <c r="AE888" s="24"/>
      <c r="AF888" s="24"/>
      <c r="AG888" s="24"/>
    </row>
    <row r="889" customFormat="false" ht="14.25" hidden="false" customHeight="true" outlineLevel="0" collapsed="false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  <c r="AE889" s="24"/>
      <c r="AF889" s="24"/>
      <c r="AG889" s="24"/>
    </row>
    <row r="890" customFormat="false" ht="14.25" hidden="false" customHeight="true" outlineLevel="0" collapsed="false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  <c r="AE890" s="24"/>
      <c r="AF890" s="24"/>
      <c r="AG890" s="24"/>
    </row>
    <row r="891" customFormat="false" ht="14.25" hidden="false" customHeight="true" outlineLevel="0" collapsed="false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  <c r="AE891" s="24"/>
      <c r="AF891" s="24"/>
      <c r="AG891" s="24"/>
    </row>
    <row r="892" customFormat="false" ht="14.25" hidden="false" customHeight="true" outlineLevel="0" collapsed="false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  <c r="AE892" s="24"/>
      <c r="AF892" s="24"/>
      <c r="AG892" s="24"/>
    </row>
    <row r="893" customFormat="false" ht="14.25" hidden="false" customHeight="true" outlineLevel="0" collapsed="false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  <c r="AE893" s="24"/>
      <c r="AF893" s="24"/>
      <c r="AG893" s="24"/>
    </row>
    <row r="894" customFormat="false" ht="14.25" hidden="false" customHeight="true" outlineLevel="0" collapsed="false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  <c r="AE894" s="24"/>
      <c r="AF894" s="24"/>
      <c r="AG894" s="24"/>
    </row>
    <row r="895" customFormat="false" ht="14.25" hidden="false" customHeight="true" outlineLevel="0" collapsed="false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  <c r="AE895" s="24"/>
      <c r="AF895" s="24"/>
      <c r="AG895" s="24"/>
    </row>
    <row r="896" customFormat="false" ht="14.25" hidden="false" customHeight="true" outlineLevel="0" collapsed="false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  <c r="AE896" s="24"/>
      <c r="AF896" s="24"/>
      <c r="AG896" s="24"/>
    </row>
    <row r="897" customFormat="false" ht="14.25" hidden="false" customHeight="true" outlineLevel="0" collapsed="false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  <c r="AE897" s="24"/>
      <c r="AF897" s="24"/>
      <c r="AG897" s="24"/>
    </row>
    <row r="898" customFormat="false" ht="14.25" hidden="false" customHeight="true" outlineLevel="0" collapsed="false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  <c r="AE898" s="24"/>
      <c r="AF898" s="24"/>
      <c r="AG898" s="24"/>
    </row>
    <row r="899" customFormat="false" ht="14.25" hidden="false" customHeight="true" outlineLevel="0" collapsed="false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  <c r="AE899" s="24"/>
      <c r="AF899" s="24"/>
      <c r="AG899" s="24"/>
    </row>
    <row r="900" customFormat="false" ht="14.25" hidden="false" customHeight="true" outlineLevel="0" collapsed="false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  <c r="AE900" s="24"/>
      <c r="AF900" s="24"/>
      <c r="AG900" s="24"/>
    </row>
    <row r="901" customFormat="false" ht="14.25" hidden="false" customHeight="true" outlineLevel="0" collapsed="false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  <c r="AE901" s="24"/>
      <c r="AF901" s="24"/>
      <c r="AG901" s="24"/>
    </row>
    <row r="902" customFormat="false" ht="14.25" hidden="false" customHeight="true" outlineLevel="0" collapsed="false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  <c r="AE902" s="24"/>
      <c r="AF902" s="24"/>
      <c r="AG902" s="24"/>
    </row>
    <row r="903" customFormat="false" ht="14.25" hidden="false" customHeight="true" outlineLevel="0" collapsed="false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  <c r="AE903" s="24"/>
      <c r="AF903" s="24"/>
      <c r="AG903" s="24"/>
    </row>
    <row r="904" customFormat="false" ht="14.25" hidden="false" customHeight="true" outlineLevel="0" collapsed="false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  <c r="AE904" s="24"/>
      <c r="AF904" s="24"/>
      <c r="AG904" s="24"/>
    </row>
    <row r="905" customFormat="false" ht="14.25" hidden="false" customHeight="true" outlineLevel="0" collapsed="false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  <c r="AE905" s="24"/>
      <c r="AF905" s="24"/>
      <c r="AG905" s="24"/>
    </row>
    <row r="906" customFormat="false" ht="14.25" hidden="false" customHeight="true" outlineLevel="0" collapsed="false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  <c r="AE906" s="24"/>
      <c r="AF906" s="24"/>
      <c r="AG906" s="24"/>
    </row>
    <row r="907" customFormat="false" ht="14.25" hidden="false" customHeight="true" outlineLevel="0" collapsed="false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  <c r="AE907" s="24"/>
      <c r="AF907" s="24"/>
      <c r="AG907" s="24"/>
    </row>
    <row r="908" customFormat="false" ht="14.25" hidden="false" customHeight="true" outlineLevel="0" collapsed="false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  <c r="AE908" s="24"/>
      <c r="AF908" s="24"/>
      <c r="AG908" s="24"/>
    </row>
    <row r="909" customFormat="false" ht="14.25" hidden="false" customHeight="true" outlineLevel="0" collapsed="false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  <c r="AE909" s="24"/>
      <c r="AF909" s="24"/>
      <c r="AG909" s="24"/>
    </row>
    <row r="910" customFormat="false" ht="14.25" hidden="false" customHeight="true" outlineLevel="0" collapsed="false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  <c r="AE910" s="24"/>
      <c r="AF910" s="24"/>
      <c r="AG910" s="24"/>
    </row>
    <row r="911" customFormat="false" ht="14.25" hidden="false" customHeight="true" outlineLevel="0" collapsed="false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  <c r="AE911" s="24"/>
      <c r="AF911" s="24"/>
      <c r="AG911" s="24"/>
    </row>
    <row r="912" customFormat="false" ht="14.25" hidden="false" customHeight="true" outlineLevel="0" collapsed="false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  <c r="AE912" s="24"/>
      <c r="AF912" s="24"/>
      <c r="AG912" s="24"/>
    </row>
    <row r="913" customFormat="false" ht="14.25" hidden="false" customHeight="true" outlineLevel="0" collapsed="false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  <c r="AE913" s="24"/>
      <c r="AF913" s="24"/>
      <c r="AG913" s="24"/>
    </row>
    <row r="914" customFormat="false" ht="14.25" hidden="false" customHeight="true" outlineLevel="0" collapsed="false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  <c r="AE914" s="24"/>
      <c r="AF914" s="24"/>
      <c r="AG914" s="24"/>
    </row>
    <row r="915" customFormat="false" ht="14.25" hidden="false" customHeight="true" outlineLevel="0" collapsed="false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  <c r="AE915" s="24"/>
      <c r="AF915" s="24"/>
      <c r="AG915" s="24"/>
    </row>
    <row r="916" customFormat="false" ht="14.25" hidden="false" customHeight="true" outlineLevel="0" collapsed="false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  <c r="AE916" s="24"/>
      <c r="AF916" s="24"/>
      <c r="AG916" s="24"/>
    </row>
    <row r="917" customFormat="false" ht="14.25" hidden="false" customHeight="true" outlineLevel="0" collapsed="false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  <c r="AE917" s="24"/>
      <c r="AF917" s="24"/>
      <c r="AG917" s="24"/>
    </row>
    <row r="918" customFormat="false" ht="14.25" hidden="false" customHeight="true" outlineLevel="0" collapsed="false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  <c r="AE918" s="24"/>
      <c r="AF918" s="24"/>
      <c r="AG918" s="24"/>
    </row>
    <row r="919" customFormat="false" ht="14.25" hidden="false" customHeight="true" outlineLevel="0" collapsed="false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  <c r="AE919" s="24"/>
      <c r="AF919" s="24"/>
      <c r="AG919" s="24"/>
    </row>
    <row r="920" customFormat="false" ht="14.25" hidden="false" customHeight="true" outlineLevel="0" collapsed="false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  <c r="AE920" s="24"/>
      <c r="AF920" s="24"/>
      <c r="AG920" s="24"/>
    </row>
    <row r="921" customFormat="false" ht="14.25" hidden="false" customHeight="true" outlineLevel="0" collapsed="false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  <c r="AE921" s="24"/>
      <c r="AF921" s="24"/>
      <c r="AG921" s="24"/>
    </row>
    <row r="922" customFormat="false" ht="14.25" hidden="false" customHeight="true" outlineLevel="0" collapsed="false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  <c r="AE922" s="24"/>
      <c r="AF922" s="24"/>
      <c r="AG922" s="24"/>
    </row>
    <row r="923" customFormat="false" ht="14.25" hidden="false" customHeight="true" outlineLevel="0" collapsed="false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  <c r="AE923" s="24"/>
      <c r="AF923" s="24"/>
      <c r="AG923" s="24"/>
    </row>
    <row r="924" customFormat="false" ht="14.25" hidden="false" customHeight="true" outlineLevel="0" collapsed="false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  <c r="AE924" s="24"/>
      <c r="AF924" s="24"/>
      <c r="AG924" s="24"/>
    </row>
    <row r="925" customFormat="false" ht="14.25" hidden="false" customHeight="true" outlineLevel="0" collapsed="false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  <c r="AE925" s="24"/>
      <c r="AF925" s="24"/>
      <c r="AG925" s="24"/>
    </row>
    <row r="926" customFormat="false" ht="14.25" hidden="false" customHeight="true" outlineLevel="0" collapsed="false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  <c r="AE926" s="24"/>
      <c r="AF926" s="24"/>
      <c r="AG926" s="24"/>
    </row>
    <row r="927" customFormat="false" ht="14.25" hidden="false" customHeight="true" outlineLevel="0" collapsed="false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  <c r="AE927" s="24"/>
      <c r="AF927" s="24"/>
      <c r="AG927" s="24"/>
    </row>
    <row r="928" customFormat="false" ht="14.25" hidden="false" customHeight="true" outlineLevel="0" collapsed="false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  <c r="AE928" s="24"/>
      <c r="AF928" s="24"/>
      <c r="AG928" s="24"/>
    </row>
    <row r="929" customFormat="false" ht="14.25" hidden="false" customHeight="true" outlineLevel="0" collapsed="false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  <c r="AE929" s="24"/>
      <c r="AF929" s="24"/>
      <c r="AG929" s="24"/>
    </row>
    <row r="930" customFormat="false" ht="14.25" hidden="false" customHeight="true" outlineLevel="0" collapsed="false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  <c r="AE930" s="24"/>
      <c r="AF930" s="24"/>
      <c r="AG930" s="24"/>
    </row>
    <row r="931" customFormat="false" ht="14.25" hidden="false" customHeight="true" outlineLevel="0" collapsed="false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  <c r="AE931" s="24"/>
      <c r="AF931" s="24"/>
      <c r="AG931" s="24"/>
    </row>
    <row r="932" customFormat="false" ht="14.25" hidden="false" customHeight="true" outlineLevel="0" collapsed="false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  <c r="AE932" s="24"/>
      <c r="AF932" s="24"/>
      <c r="AG932" s="24"/>
    </row>
    <row r="933" customFormat="false" ht="14.25" hidden="false" customHeight="true" outlineLevel="0" collapsed="false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  <c r="AE933" s="24"/>
      <c r="AF933" s="24"/>
      <c r="AG933" s="24"/>
    </row>
    <row r="934" customFormat="false" ht="14.25" hidden="false" customHeight="true" outlineLevel="0" collapsed="false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  <c r="AE934" s="24"/>
      <c r="AF934" s="24"/>
      <c r="AG934" s="24"/>
    </row>
    <row r="935" customFormat="false" ht="14.25" hidden="false" customHeight="true" outlineLevel="0" collapsed="false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  <c r="AE935" s="24"/>
      <c r="AF935" s="24"/>
      <c r="AG935" s="24"/>
    </row>
    <row r="936" customFormat="false" ht="14.25" hidden="false" customHeight="true" outlineLevel="0" collapsed="false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  <c r="AE936" s="24"/>
      <c r="AF936" s="24"/>
      <c r="AG936" s="24"/>
    </row>
    <row r="937" customFormat="false" ht="14.25" hidden="false" customHeight="true" outlineLevel="0" collapsed="false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  <c r="AE937" s="24"/>
      <c r="AF937" s="24"/>
      <c r="AG937" s="24"/>
    </row>
    <row r="938" customFormat="false" ht="14.25" hidden="false" customHeight="true" outlineLevel="0" collapsed="false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  <c r="AE938" s="24"/>
      <c r="AF938" s="24"/>
      <c r="AG938" s="24"/>
    </row>
    <row r="939" customFormat="false" ht="14.25" hidden="false" customHeight="true" outlineLevel="0" collapsed="false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  <c r="AE939" s="24"/>
      <c r="AF939" s="24"/>
      <c r="AG939" s="24"/>
    </row>
    <row r="940" customFormat="false" ht="14.25" hidden="false" customHeight="true" outlineLevel="0" collapsed="false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  <c r="AE940" s="24"/>
      <c r="AF940" s="24"/>
      <c r="AG940" s="24"/>
    </row>
    <row r="941" customFormat="false" ht="14.25" hidden="false" customHeight="true" outlineLevel="0" collapsed="false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  <c r="AE941" s="24"/>
      <c r="AF941" s="24"/>
      <c r="AG941" s="24"/>
    </row>
    <row r="942" customFormat="false" ht="14.25" hidden="false" customHeight="true" outlineLevel="0" collapsed="false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  <c r="AE942" s="24"/>
      <c r="AF942" s="24"/>
      <c r="AG942" s="24"/>
    </row>
    <row r="943" customFormat="false" ht="14.25" hidden="false" customHeight="true" outlineLevel="0" collapsed="false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  <c r="AE943" s="24"/>
      <c r="AF943" s="24"/>
      <c r="AG943" s="24"/>
    </row>
    <row r="944" customFormat="false" ht="14.25" hidden="false" customHeight="true" outlineLevel="0" collapsed="false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  <c r="AE944" s="24"/>
      <c r="AF944" s="24"/>
      <c r="AG944" s="24"/>
    </row>
    <row r="945" customFormat="false" ht="14.25" hidden="false" customHeight="true" outlineLevel="0" collapsed="false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  <c r="AE945" s="24"/>
      <c r="AF945" s="24"/>
      <c r="AG945" s="24"/>
    </row>
    <row r="946" customFormat="false" ht="14.25" hidden="false" customHeight="true" outlineLevel="0" collapsed="false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  <c r="AE946" s="24"/>
      <c r="AF946" s="24"/>
      <c r="AG946" s="24"/>
    </row>
    <row r="947" customFormat="false" ht="14.25" hidden="false" customHeight="true" outlineLevel="0" collapsed="false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  <c r="AE947" s="24"/>
      <c r="AF947" s="24"/>
      <c r="AG947" s="24"/>
    </row>
    <row r="948" customFormat="false" ht="14.25" hidden="false" customHeight="true" outlineLevel="0" collapsed="false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  <c r="AE948" s="24"/>
      <c r="AF948" s="24"/>
      <c r="AG948" s="24"/>
    </row>
    <row r="949" customFormat="false" ht="14.25" hidden="false" customHeight="true" outlineLevel="0" collapsed="false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  <c r="AE949" s="24"/>
      <c r="AF949" s="24"/>
      <c r="AG949" s="24"/>
    </row>
    <row r="950" customFormat="false" ht="14.25" hidden="false" customHeight="true" outlineLevel="0" collapsed="false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  <c r="AD950" s="24"/>
      <c r="AE950" s="24"/>
      <c r="AF950" s="24"/>
      <c r="AG950" s="24"/>
    </row>
    <row r="951" customFormat="false" ht="14.25" hidden="false" customHeight="true" outlineLevel="0" collapsed="false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  <c r="AD951" s="24"/>
      <c r="AE951" s="24"/>
      <c r="AF951" s="24"/>
      <c r="AG951" s="24"/>
    </row>
    <row r="952" customFormat="false" ht="14.25" hidden="false" customHeight="true" outlineLevel="0" collapsed="false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  <c r="AD952" s="24"/>
      <c r="AE952" s="24"/>
      <c r="AF952" s="24"/>
      <c r="AG952" s="24"/>
    </row>
    <row r="953" customFormat="false" ht="14.25" hidden="false" customHeight="true" outlineLevel="0" collapsed="false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  <c r="AE953" s="24"/>
      <c r="AF953" s="24"/>
      <c r="AG953" s="24"/>
    </row>
    <row r="954" customFormat="false" ht="14.25" hidden="false" customHeight="true" outlineLevel="0" collapsed="false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  <c r="AD954" s="24"/>
      <c r="AE954" s="24"/>
      <c r="AF954" s="24"/>
      <c r="AG954" s="24"/>
    </row>
    <row r="955" customFormat="false" ht="14.25" hidden="false" customHeight="true" outlineLevel="0" collapsed="false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  <c r="AE955" s="24"/>
      <c r="AF955" s="24"/>
      <c r="AG955" s="24"/>
    </row>
    <row r="956" customFormat="false" ht="14.25" hidden="false" customHeight="true" outlineLevel="0" collapsed="false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  <c r="AD956" s="24"/>
      <c r="AE956" s="24"/>
      <c r="AF956" s="24"/>
      <c r="AG956" s="24"/>
    </row>
    <row r="957" customFormat="false" ht="14.25" hidden="false" customHeight="true" outlineLevel="0" collapsed="false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  <c r="AD957" s="24"/>
      <c r="AE957" s="24"/>
      <c r="AF957" s="24"/>
      <c r="AG957" s="24"/>
    </row>
    <row r="958" customFormat="false" ht="14.25" hidden="false" customHeight="true" outlineLevel="0" collapsed="false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  <c r="AD958" s="24"/>
      <c r="AE958" s="24"/>
      <c r="AF958" s="24"/>
      <c r="AG958" s="24"/>
    </row>
    <row r="959" customFormat="false" ht="14.25" hidden="false" customHeight="true" outlineLevel="0" collapsed="false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  <c r="AD959" s="24"/>
      <c r="AE959" s="24"/>
      <c r="AF959" s="24"/>
      <c r="AG959" s="24"/>
    </row>
    <row r="960" customFormat="false" ht="14.25" hidden="false" customHeight="true" outlineLevel="0" collapsed="false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  <c r="AD960" s="24"/>
      <c r="AE960" s="24"/>
      <c r="AF960" s="24"/>
      <c r="AG960" s="24"/>
    </row>
    <row r="961" customFormat="false" ht="14.25" hidden="false" customHeight="true" outlineLevel="0" collapsed="false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  <c r="AD961" s="24"/>
      <c r="AE961" s="24"/>
      <c r="AF961" s="24"/>
      <c r="AG961" s="24"/>
    </row>
    <row r="962" customFormat="false" ht="14.25" hidden="false" customHeight="true" outlineLevel="0" collapsed="false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  <c r="AD962" s="24"/>
      <c r="AE962" s="24"/>
      <c r="AF962" s="24"/>
      <c r="AG962" s="24"/>
    </row>
    <row r="963" customFormat="false" ht="14.25" hidden="false" customHeight="true" outlineLevel="0" collapsed="false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  <c r="AD963" s="24"/>
      <c r="AE963" s="24"/>
      <c r="AF963" s="24"/>
      <c r="AG963" s="24"/>
    </row>
    <row r="964" customFormat="false" ht="14.25" hidden="false" customHeight="true" outlineLevel="0" collapsed="false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  <c r="AD964" s="24"/>
      <c r="AE964" s="24"/>
      <c r="AF964" s="24"/>
      <c r="AG964" s="24"/>
    </row>
    <row r="965" customFormat="false" ht="14.25" hidden="false" customHeight="true" outlineLevel="0" collapsed="false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  <c r="AD965" s="24"/>
      <c r="AE965" s="24"/>
      <c r="AF965" s="24"/>
      <c r="AG965" s="24"/>
    </row>
    <row r="966" customFormat="false" ht="14.25" hidden="false" customHeight="true" outlineLevel="0" collapsed="false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  <c r="AD966" s="24"/>
      <c r="AE966" s="24"/>
      <c r="AF966" s="24"/>
      <c r="AG966" s="24"/>
    </row>
    <row r="967" customFormat="false" ht="14.25" hidden="false" customHeight="true" outlineLevel="0" collapsed="false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  <c r="AD967" s="24"/>
      <c r="AE967" s="24"/>
      <c r="AF967" s="24"/>
      <c r="AG967" s="24"/>
    </row>
    <row r="968" customFormat="false" ht="14.25" hidden="false" customHeight="true" outlineLevel="0" collapsed="false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  <c r="AD968" s="24"/>
      <c r="AE968" s="24"/>
      <c r="AF968" s="24"/>
      <c r="AG968" s="24"/>
    </row>
    <row r="969" customFormat="false" ht="14.25" hidden="false" customHeight="true" outlineLevel="0" collapsed="false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  <c r="AD969" s="24"/>
      <c r="AE969" s="24"/>
      <c r="AF969" s="24"/>
      <c r="AG969" s="24"/>
    </row>
    <row r="970" customFormat="false" ht="14.25" hidden="false" customHeight="true" outlineLevel="0" collapsed="false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  <c r="AD970" s="24"/>
      <c r="AE970" s="24"/>
      <c r="AF970" s="24"/>
      <c r="AG970" s="24"/>
    </row>
    <row r="971" customFormat="false" ht="14.25" hidden="false" customHeight="true" outlineLevel="0" collapsed="false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  <c r="AD971" s="24"/>
      <c r="AE971" s="24"/>
      <c r="AF971" s="24"/>
      <c r="AG971" s="24"/>
    </row>
    <row r="972" customFormat="false" ht="14.25" hidden="false" customHeight="true" outlineLevel="0" collapsed="false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  <c r="AD972" s="24"/>
      <c r="AE972" s="24"/>
      <c r="AF972" s="24"/>
      <c r="AG972" s="24"/>
    </row>
    <row r="973" customFormat="false" ht="14.25" hidden="false" customHeight="true" outlineLevel="0" collapsed="false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  <c r="AD973" s="24"/>
      <c r="AE973" s="24"/>
      <c r="AF973" s="24"/>
      <c r="AG973" s="24"/>
    </row>
    <row r="974" customFormat="false" ht="14.25" hidden="false" customHeight="true" outlineLevel="0" collapsed="false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  <c r="AC974" s="24"/>
      <c r="AD974" s="24"/>
      <c r="AE974" s="24"/>
      <c r="AF974" s="24"/>
      <c r="AG974" s="24"/>
    </row>
    <row r="975" customFormat="false" ht="14.25" hidden="false" customHeight="true" outlineLevel="0" collapsed="false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  <c r="AD975" s="24"/>
      <c r="AE975" s="24"/>
      <c r="AF975" s="24"/>
      <c r="AG975" s="24"/>
    </row>
    <row r="976" customFormat="false" ht="14.25" hidden="false" customHeight="true" outlineLevel="0" collapsed="false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  <c r="AD976" s="24"/>
      <c r="AE976" s="24"/>
      <c r="AF976" s="24"/>
      <c r="AG976" s="24"/>
    </row>
    <row r="977" customFormat="false" ht="14.25" hidden="false" customHeight="true" outlineLevel="0" collapsed="false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  <c r="AD977" s="24"/>
      <c r="AE977" s="24"/>
      <c r="AF977" s="24"/>
      <c r="AG977" s="24"/>
    </row>
    <row r="978" customFormat="false" ht="14.25" hidden="false" customHeight="true" outlineLevel="0" collapsed="false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  <c r="AD978" s="24"/>
      <c r="AE978" s="24"/>
      <c r="AF978" s="24"/>
      <c r="AG978" s="24"/>
    </row>
    <row r="979" customFormat="false" ht="14.25" hidden="false" customHeight="true" outlineLevel="0" collapsed="false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  <c r="AC979" s="24"/>
      <c r="AD979" s="24"/>
      <c r="AE979" s="24"/>
      <c r="AF979" s="24"/>
      <c r="AG979" s="24"/>
    </row>
    <row r="980" customFormat="false" ht="14.25" hidden="false" customHeight="true" outlineLevel="0" collapsed="false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  <c r="AC980" s="24"/>
      <c r="AD980" s="24"/>
      <c r="AE980" s="24"/>
      <c r="AF980" s="24"/>
      <c r="AG980" s="24"/>
    </row>
    <row r="981" customFormat="false" ht="14.25" hidden="false" customHeight="true" outlineLevel="0" collapsed="false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  <c r="AC981" s="24"/>
      <c r="AD981" s="24"/>
      <c r="AE981" s="24"/>
      <c r="AF981" s="24"/>
      <c r="AG981" s="24"/>
    </row>
    <row r="982" customFormat="false" ht="14.25" hidden="false" customHeight="true" outlineLevel="0" collapsed="false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  <c r="AB982" s="24"/>
      <c r="AC982" s="24"/>
      <c r="AD982" s="24"/>
      <c r="AE982" s="24"/>
      <c r="AF982" s="24"/>
      <c r="AG982" s="24"/>
    </row>
    <row r="983" customFormat="false" ht="14.25" hidden="false" customHeight="true" outlineLevel="0" collapsed="false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  <c r="AC983" s="24"/>
      <c r="AD983" s="24"/>
      <c r="AE983" s="24"/>
      <c r="AF983" s="24"/>
      <c r="AG983" s="24"/>
    </row>
    <row r="984" customFormat="false" ht="14.25" hidden="false" customHeight="true" outlineLevel="0" collapsed="false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  <c r="AB984" s="24"/>
      <c r="AC984" s="24"/>
      <c r="AD984" s="24"/>
      <c r="AE984" s="24"/>
      <c r="AF984" s="24"/>
      <c r="AG984" s="24"/>
    </row>
    <row r="985" customFormat="false" ht="14.25" hidden="false" customHeight="true" outlineLevel="0" collapsed="false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  <c r="AC985" s="24"/>
      <c r="AD985" s="24"/>
      <c r="AE985" s="24"/>
      <c r="AF985" s="24"/>
      <c r="AG985" s="24"/>
    </row>
    <row r="986" customFormat="false" ht="14.25" hidden="false" customHeight="true" outlineLevel="0" collapsed="false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  <c r="AB986" s="24"/>
      <c r="AC986" s="24"/>
      <c r="AD986" s="24"/>
      <c r="AE986" s="24"/>
      <c r="AF986" s="24"/>
      <c r="AG986" s="24"/>
    </row>
    <row r="987" customFormat="false" ht="14.25" hidden="false" customHeight="true" outlineLevel="0" collapsed="false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  <c r="AC987" s="24"/>
      <c r="AD987" s="24"/>
      <c r="AE987" s="24"/>
      <c r="AF987" s="24"/>
      <c r="AG987" s="24"/>
    </row>
    <row r="988" customFormat="false" ht="14.25" hidden="false" customHeight="true" outlineLevel="0" collapsed="false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  <c r="AB988" s="24"/>
      <c r="AC988" s="24"/>
      <c r="AD988" s="24"/>
      <c r="AE988" s="24"/>
      <c r="AF988" s="24"/>
      <c r="AG988" s="24"/>
    </row>
    <row r="989" customFormat="false" ht="14.25" hidden="false" customHeight="true" outlineLevel="0" collapsed="false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  <c r="AC989" s="24"/>
      <c r="AD989" s="24"/>
      <c r="AE989" s="24"/>
      <c r="AF989" s="24"/>
      <c r="AG989" s="24"/>
    </row>
    <row r="990" customFormat="false" ht="14.25" hidden="false" customHeight="true" outlineLevel="0" collapsed="false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  <c r="AB990" s="24"/>
      <c r="AC990" s="24"/>
      <c r="AD990" s="24"/>
      <c r="AE990" s="24"/>
      <c r="AF990" s="24"/>
      <c r="AG990" s="24"/>
    </row>
    <row r="991" customFormat="false" ht="14.25" hidden="false" customHeight="true" outlineLevel="0" collapsed="false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  <c r="AB991" s="24"/>
      <c r="AC991" s="24"/>
      <c r="AD991" s="24"/>
      <c r="AE991" s="24"/>
      <c r="AF991" s="24"/>
      <c r="AG991" s="24"/>
    </row>
    <row r="992" customFormat="false" ht="14.25" hidden="false" customHeight="true" outlineLevel="0" collapsed="false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  <c r="AB992" s="24"/>
      <c r="AC992" s="24"/>
      <c r="AD992" s="24"/>
      <c r="AE992" s="24"/>
      <c r="AF992" s="24"/>
      <c r="AG992" s="24"/>
    </row>
    <row r="993" customFormat="false" ht="14.25" hidden="false" customHeight="true" outlineLevel="0" collapsed="false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  <c r="AC993" s="24"/>
      <c r="AD993" s="24"/>
      <c r="AE993" s="24"/>
      <c r="AF993" s="24"/>
      <c r="AG993" s="24"/>
    </row>
    <row r="994" customFormat="false" ht="14.25" hidden="false" customHeight="true" outlineLevel="0" collapsed="false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4"/>
      <c r="AB994" s="24"/>
      <c r="AC994" s="24"/>
      <c r="AD994" s="24"/>
      <c r="AE994" s="24"/>
      <c r="AF994" s="24"/>
      <c r="AG994" s="24"/>
    </row>
    <row r="995" customFormat="false" ht="14.25" hidden="false" customHeight="true" outlineLevel="0" collapsed="false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  <c r="AB995" s="24"/>
      <c r="AC995" s="24"/>
      <c r="AD995" s="24"/>
      <c r="AE995" s="24"/>
      <c r="AF995" s="24"/>
      <c r="AG995" s="24"/>
    </row>
    <row r="996" customFormat="false" ht="14.25" hidden="false" customHeight="true" outlineLevel="0" collapsed="false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  <c r="AA996" s="24"/>
      <c r="AB996" s="24"/>
      <c r="AC996" s="24"/>
      <c r="AD996" s="24"/>
      <c r="AE996" s="24"/>
      <c r="AF996" s="24"/>
      <c r="AG996" s="24"/>
    </row>
    <row r="997" customFormat="false" ht="14.25" hidden="false" customHeight="true" outlineLevel="0" collapsed="false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  <c r="AA997" s="24"/>
      <c r="AB997" s="24"/>
      <c r="AC997" s="24"/>
      <c r="AD997" s="24"/>
      <c r="AE997" s="24"/>
      <c r="AF997" s="24"/>
      <c r="AG997" s="24"/>
    </row>
    <row r="998" customFormat="false" ht="14.25" hidden="false" customHeight="true" outlineLevel="0" collapsed="false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  <c r="AA998" s="24"/>
      <c r="AB998" s="24"/>
      <c r="AC998" s="24"/>
      <c r="AD998" s="24"/>
      <c r="AE998" s="24"/>
      <c r="AF998" s="24"/>
      <c r="AG998" s="24"/>
    </row>
    <row r="999" customFormat="false" ht="14.25" hidden="false" customHeight="true" outlineLevel="0" collapsed="false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  <c r="AA999" s="24"/>
      <c r="AB999" s="24"/>
      <c r="AC999" s="24"/>
      <c r="AD999" s="24"/>
      <c r="AE999" s="24"/>
      <c r="AF999" s="24"/>
      <c r="AG999" s="24"/>
    </row>
    <row r="1000" customFormat="false" ht="14.25" hidden="false" customHeight="true" outlineLevel="0" collapsed="false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  <c r="AA1000" s="24"/>
      <c r="AB1000" s="24"/>
      <c r="AC1000" s="24"/>
      <c r="AD1000" s="24"/>
      <c r="AE1000" s="24"/>
      <c r="AF1000" s="24"/>
      <c r="AG1000" s="24"/>
    </row>
    <row r="1001" customFormat="false" ht="14.25" hidden="false" customHeight="true" outlineLevel="0" collapsed="false">
      <c r="A1001" s="24"/>
      <c r="B1001" s="24"/>
      <c r="C1001" s="24"/>
      <c r="D1001" s="24"/>
      <c r="E1001" s="24"/>
      <c r="F1001" s="24"/>
      <c r="G1001" s="24"/>
      <c r="H1001" s="24"/>
      <c r="I1001" s="24"/>
      <c r="J1001" s="24"/>
      <c r="K1001" s="24"/>
      <c r="L1001" s="24"/>
      <c r="M1001" s="24"/>
      <c r="N1001" s="24"/>
      <c r="O1001" s="24"/>
      <c r="P1001" s="24"/>
      <c r="Q1001" s="24"/>
      <c r="R1001" s="24"/>
      <c r="S1001" s="24"/>
      <c r="T1001" s="24"/>
      <c r="U1001" s="24"/>
      <c r="V1001" s="24"/>
      <c r="W1001" s="24"/>
      <c r="X1001" s="24"/>
      <c r="Y1001" s="24"/>
      <c r="Z1001" s="24"/>
      <c r="AA1001" s="24"/>
      <c r="AB1001" s="24"/>
      <c r="AC1001" s="24"/>
      <c r="AD1001" s="24"/>
      <c r="AE1001" s="24"/>
      <c r="AF1001" s="24"/>
      <c r="AG1001" s="24"/>
    </row>
    <row r="1002" customFormat="false" ht="14.25" hidden="false" customHeight="true" outlineLevel="0" collapsed="false">
      <c r="A1002" s="24"/>
      <c r="B1002" s="24"/>
      <c r="C1002" s="24"/>
      <c r="D1002" s="24"/>
      <c r="E1002" s="24"/>
      <c r="F1002" s="24"/>
      <c r="G1002" s="24"/>
      <c r="H1002" s="24"/>
      <c r="I1002" s="24"/>
      <c r="J1002" s="24"/>
      <c r="K1002" s="24"/>
      <c r="L1002" s="24"/>
      <c r="M1002" s="24"/>
      <c r="N1002" s="24"/>
      <c r="O1002" s="24"/>
      <c r="P1002" s="24"/>
      <c r="Q1002" s="24"/>
      <c r="R1002" s="24"/>
      <c r="S1002" s="24"/>
      <c r="T1002" s="24"/>
      <c r="U1002" s="24"/>
      <c r="V1002" s="24"/>
      <c r="W1002" s="24"/>
      <c r="X1002" s="24"/>
      <c r="Y1002" s="24"/>
      <c r="Z1002" s="24"/>
      <c r="AA1002" s="24"/>
      <c r="AB1002" s="24"/>
      <c r="AC1002" s="24"/>
      <c r="AD1002" s="24"/>
      <c r="AE1002" s="24"/>
      <c r="AF1002" s="24"/>
      <c r="AG1002" s="24"/>
    </row>
  </sheetData>
  <mergeCells count="7">
    <mergeCell ref="C5:F5"/>
    <mergeCell ref="C18:F18"/>
    <mergeCell ref="B60:D60"/>
    <mergeCell ref="E60:H60"/>
    <mergeCell ref="J60:M60"/>
    <mergeCell ref="A64:C64"/>
    <mergeCell ref="D64:F6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2026-08-04T11:26:31Z</dcterms:created>
  <dc:creator>user</dc:creator>
  <dc:description/>
  <dc:language>en-US</dc:language>
  <cp:lastModifiedBy>user</cp:lastModifiedBy>
  <cp:lastPrinted>2026-07-29T06:01:40Z</cp:lastPrinted>
  <dcterms:modified xsi:type="dcterms:W3CDTF">2026-08-05T17:07:52Z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