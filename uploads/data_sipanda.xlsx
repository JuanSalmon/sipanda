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"/>
    </mc:Choice>
  </mc:AlternateContent>
  <xr:revisionPtr revIDLastSave="0" documentId="13_ncr:1_{9E3CD7F2-BB4D-41B7-B33E-601A56D403F3}" xr6:coauthVersionLast="43" xr6:coauthVersionMax="43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Capaian Skrining PTM Per Bulan" sheetId="1" r:id="rId1"/>
    <sheet name="TW 2 SPM" sheetId="2" r:id="rId2"/>
    <sheet name="Semester 1 (PTM)" sheetId="3" r:id="rId3"/>
    <sheet name="HPV DNA" sheetId="4" r:id="rId4"/>
    <sheet name="HPV DNA 2" sheetId="5" r:id="rId5"/>
    <sheet name="Sheet3" sheetId="6" r:id="rId6"/>
    <sheet name="Sheet1" sheetId="7" r:id="rId7"/>
    <sheet name="Tarikan ASIK" sheetId="8" r:id="rId8"/>
    <sheet name="DATABASE SIPANDA" sheetId="9" r:id="rId9"/>
    <sheet name="PETUNJUK DATABAS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89" i="9" l="1"/>
  <c r="K288" i="9"/>
  <c r="J288" i="9"/>
  <c r="H288" i="9"/>
  <c r="H287" i="9"/>
  <c r="K286" i="9"/>
  <c r="J286" i="9"/>
  <c r="H286" i="9"/>
  <c r="K285" i="9"/>
  <c r="H285" i="9"/>
  <c r="J285" i="9" s="1"/>
  <c r="H284" i="9"/>
  <c r="K283" i="9"/>
  <c r="H283" i="9"/>
  <c r="J283" i="9" s="1"/>
  <c r="H282" i="9"/>
  <c r="K282" i="9" s="1"/>
  <c r="K281" i="9"/>
  <c r="J281" i="9"/>
  <c r="H281" i="9"/>
  <c r="K280" i="9"/>
  <c r="J280" i="9"/>
  <c r="H280" i="9"/>
  <c r="J279" i="9"/>
  <c r="H279" i="9"/>
  <c r="K279" i="9" s="1"/>
  <c r="K278" i="9"/>
  <c r="J278" i="9"/>
  <c r="H278" i="9"/>
  <c r="K277" i="9"/>
  <c r="H277" i="9"/>
  <c r="J277" i="9" s="1"/>
  <c r="K276" i="9"/>
  <c r="J276" i="9"/>
  <c r="H276" i="9"/>
  <c r="H275" i="9"/>
  <c r="H274" i="9"/>
  <c r="H273" i="9"/>
  <c r="K273" i="9" s="1"/>
  <c r="K272" i="9"/>
  <c r="J272" i="9"/>
  <c r="H272" i="9"/>
  <c r="J271" i="9"/>
  <c r="H271" i="9"/>
  <c r="K271" i="9" s="1"/>
  <c r="K270" i="9"/>
  <c r="J270" i="9"/>
  <c r="H270" i="9"/>
  <c r="K269" i="9"/>
  <c r="H269" i="9"/>
  <c r="J269" i="9" s="1"/>
  <c r="K268" i="9"/>
  <c r="J268" i="9"/>
  <c r="H268" i="9"/>
  <c r="H267" i="9"/>
  <c r="H266" i="9"/>
  <c r="K265" i="9"/>
  <c r="H265" i="9"/>
  <c r="J265" i="9" s="1"/>
  <c r="K264" i="9"/>
  <c r="J264" i="9"/>
  <c r="H264" i="9"/>
  <c r="J263" i="9"/>
  <c r="H263" i="9"/>
  <c r="K263" i="9" s="1"/>
  <c r="K262" i="9"/>
  <c r="J262" i="9"/>
  <c r="H262" i="9"/>
  <c r="K261" i="9"/>
  <c r="H261" i="9"/>
  <c r="J261" i="9" s="1"/>
  <c r="H260" i="9"/>
  <c r="K260" i="9" s="1"/>
  <c r="K259" i="9"/>
  <c r="H259" i="9"/>
  <c r="J259" i="9" s="1"/>
  <c r="H258" i="9"/>
  <c r="K257" i="9"/>
  <c r="H257" i="9"/>
  <c r="J257" i="9" s="1"/>
  <c r="K256" i="9"/>
  <c r="J256" i="9"/>
  <c r="H256" i="9"/>
  <c r="H255" i="9"/>
  <c r="K255" i="9" s="1"/>
  <c r="K254" i="9"/>
  <c r="J254" i="9"/>
  <c r="H254" i="9"/>
  <c r="K253" i="9"/>
  <c r="H253" i="9"/>
  <c r="J253" i="9" s="1"/>
  <c r="K252" i="9"/>
  <c r="H252" i="9"/>
  <c r="J252" i="9" s="1"/>
  <c r="K251" i="9"/>
  <c r="H251" i="9"/>
  <c r="J251" i="9" s="1"/>
  <c r="H250" i="9"/>
  <c r="K249" i="9"/>
  <c r="J249" i="9"/>
  <c r="H249" i="9"/>
  <c r="K248" i="9"/>
  <c r="J248" i="9"/>
  <c r="H248" i="9"/>
  <c r="H247" i="9"/>
  <c r="K247" i="9" s="1"/>
  <c r="K246" i="9"/>
  <c r="J246" i="9"/>
  <c r="H246" i="9"/>
  <c r="K245" i="9"/>
  <c r="H245" i="9"/>
  <c r="J245" i="9" s="1"/>
  <c r="K244" i="9"/>
  <c r="H244" i="9"/>
  <c r="J244" i="9" s="1"/>
  <c r="H243" i="9"/>
  <c r="J243" i="9" s="1"/>
  <c r="H242" i="9"/>
  <c r="H241" i="9"/>
  <c r="K240" i="9"/>
  <c r="J240" i="9"/>
  <c r="H240" i="9"/>
  <c r="J239" i="9"/>
  <c r="H239" i="9"/>
  <c r="K239" i="9" s="1"/>
  <c r="K238" i="9"/>
  <c r="J238" i="9"/>
  <c r="H238" i="9"/>
  <c r="K237" i="9"/>
  <c r="H237" i="9"/>
  <c r="J237" i="9" s="1"/>
  <c r="K236" i="9"/>
  <c r="J236" i="9"/>
  <c r="H236" i="9"/>
  <c r="H235" i="9"/>
  <c r="J235" i="9" s="1"/>
  <c r="H234" i="9"/>
  <c r="H233" i="9"/>
  <c r="K232" i="9"/>
  <c r="J232" i="9"/>
  <c r="H232" i="9"/>
  <c r="H231" i="9"/>
  <c r="K230" i="9"/>
  <c r="J230" i="9"/>
  <c r="H230" i="9"/>
  <c r="K229" i="9"/>
  <c r="H229" i="9"/>
  <c r="J229" i="9" s="1"/>
  <c r="H228" i="9"/>
  <c r="H227" i="9"/>
  <c r="J227" i="9" s="1"/>
  <c r="H226" i="9"/>
  <c r="K225" i="9"/>
  <c r="J225" i="9"/>
  <c r="H225" i="9"/>
  <c r="K224" i="9"/>
  <c r="J224" i="9"/>
  <c r="H224" i="9"/>
  <c r="H223" i="9"/>
  <c r="K222" i="9"/>
  <c r="J222" i="9"/>
  <c r="H222" i="9"/>
  <c r="K221" i="9"/>
  <c r="H221" i="9"/>
  <c r="J221" i="9" s="1"/>
  <c r="H220" i="9"/>
  <c r="K219" i="9"/>
  <c r="H219" i="9"/>
  <c r="J219" i="9" s="1"/>
  <c r="H218" i="9"/>
  <c r="K217" i="9"/>
  <c r="J217" i="9"/>
  <c r="H217" i="9"/>
  <c r="K216" i="9"/>
  <c r="J216" i="9"/>
  <c r="H216" i="9"/>
  <c r="J215" i="9"/>
  <c r="H215" i="9"/>
  <c r="K215" i="9" s="1"/>
  <c r="K214" i="9"/>
  <c r="J214" i="9"/>
  <c r="H214" i="9"/>
  <c r="K213" i="9"/>
  <c r="H213" i="9"/>
  <c r="J213" i="9" s="1"/>
  <c r="K212" i="9"/>
  <c r="J212" i="9"/>
  <c r="H212" i="9"/>
  <c r="H211" i="9"/>
  <c r="H210" i="9"/>
  <c r="J209" i="9"/>
  <c r="H209" i="9"/>
  <c r="K209" i="9" s="1"/>
  <c r="K208" i="9"/>
  <c r="J208" i="9"/>
  <c r="H208" i="9"/>
  <c r="J207" i="9"/>
  <c r="H207" i="9"/>
  <c r="K207" i="9" s="1"/>
  <c r="K206" i="9"/>
  <c r="J206" i="9"/>
  <c r="H206" i="9"/>
  <c r="K205" i="9"/>
  <c r="H205" i="9"/>
  <c r="J205" i="9" s="1"/>
  <c r="K204" i="9"/>
  <c r="J204" i="9"/>
  <c r="H204" i="9"/>
  <c r="H203" i="9"/>
  <c r="K203" i="9" s="1"/>
  <c r="H202" i="9"/>
  <c r="H201" i="9"/>
  <c r="K200" i="9"/>
  <c r="J200" i="9"/>
  <c r="H200" i="9"/>
  <c r="H199" i="9"/>
  <c r="K199" i="9" s="1"/>
  <c r="H198" i="9"/>
  <c r="K197" i="9"/>
  <c r="H197" i="9"/>
  <c r="J197" i="9" s="1"/>
  <c r="K196" i="9"/>
  <c r="J196" i="9"/>
  <c r="H196" i="9"/>
  <c r="H195" i="9"/>
  <c r="H194" i="9"/>
  <c r="J193" i="9"/>
  <c r="H193" i="9"/>
  <c r="K193" i="9" s="1"/>
  <c r="K192" i="9"/>
  <c r="J192" i="9"/>
  <c r="H192" i="9"/>
  <c r="J191" i="9"/>
  <c r="H191" i="9"/>
  <c r="K191" i="9" s="1"/>
  <c r="H190" i="9"/>
  <c r="K190" i="9" s="1"/>
  <c r="K189" i="9"/>
  <c r="H189" i="9"/>
  <c r="J189" i="9" s="1"/>
  <c r="K188" i="9"/>
  <c r="J188" i="9"/>
  <c r="H188" i="9"/>
  <c r="H187" i="9"/>
  <c r="K187" i="9" s="1"/>
  <c r="H186" i="9"/>
  <c r="H185" i="9"/>
  <c r="K184" i="9"/>
  <c r="J184" i="9"/>
  <c r="H184" i="9"/>
  <c r="K183" i="9"/>
  <c r="J183" i="9"/>
  <c r="H183" i="9"/>
  <c r="K182" i="9"/>
  <c r="J182" i="9"/>
  <c r="H182" i="9"/>
  <c r="H181" i="9"/>
  <c r="K180" i="9"/>
  <c r="J180" i="9"/>
  <c r="H180" i="9"/>
  <c r="K179" i="9"/>
  <c r="J179" i="9"/>
  <c r="H179" i="9"/>
  <c r="H178" i="9"/>
  <c r="K177" i="9"/>
  <c r="J177" i="9"/>
  <c r="H177" i="9"/>
  <c r="K176" i="9"/>
  <c r="J176" i="9"/>
  <c r="H176" i="9"/>
  <c r="H175" i="9"/>
  <c r="K175" i="9" s="1"/>
  <c r="K174" i="9"/>
  <c r="H174" i="9"/>
  <c r="J174" i="9" s="1"/>
  <c r="K173" i="9"/>
  <c r="H173" i="9"/>
  <c r="J173" i="9" s="1"/>
  <c r="H172" i="9"/>
  <c r="K172" i="9" s="1"/>
  <c r="K171" i="9"/>
  <c r="H171" i="9"/>
  <c r="J171" i="9" s="1"/>
  <c r="J170" i="9"/>
  <c r="H170" i="9"/>
  <c r="K170" i="9" s="1"/>
  <c r="J169" i="9"/>
  <c r="H169" i="9"/>
  <c r="K169" i="9" s="1"/>
  <c r="K168" i="9"/>
  <c r="J168" i="9"/>
  <c r="H168" i="9"/>
  <c r="K167" i="9"/>
  <c r="H167" i="9"/>
  <c r="J167" i="9" s="1"/>
  <c r="K166" i="9"/>
  <c r="J166" i="9"/>
  <c r="H166" i="9"/>
  <c r="H165" i="9"/>
  <c r="J165" i="9" s="1"/>
  <c r="K164" i="9"/>
  <c r="H164" i="9"/>
  <c r="J164" i="9" s="1"/>
  <c r="H163" i="9"/>
  <c r="J163" i="9" s="1"/>
  <c r="H162" i="9"/>
  <c r="K162" i="9" s="1"/>
  <c r="K161" i="9"/>
  <c r="H161" i="9"/>
  <c r="J161" i="9" s="1"/>
  <c r="K160" i="9"/>
  <c r="J160" i="9"/>
  <c r="H160" i="9"/>
  <c r="H159" i="9"/>
  <c r="H158" i="9"/>
  <c r="K157" i="9"/>
  <c r="H157" i="9"/>
  <c r="J157" i="9" s="1"/>
  <c r="H156" i="9"/>
  <c r="H155" i="9"/>
  <c r="H154" i="9"/>
  <c r="K154" i="9" s="1"/>
  <c r="H153" i="9"/>
  <c r="K152" i="9"/>
  <c r="J152" i="9"/>
  <c r="H152" i="9"/>
  <c r="K151" i="9"/>
  <c r="J151" i="9"/>
  <c r="H151" i="9"/>
  <c r="K150" i="9"/>
  <c r="J150" i="9"/>
  <c r="H150" i="9"/>
  <c r="H149" i="9"/>
  <c r="K148" i="9"/>
  <c r="J148" i="9"/>
  <c r="H148" i="9"/>
  <c r="K147" i="9"/>
  <c r="J147" i="9"/>
  <c r="H147" i="9"/>
  <c r="H146" i="9"/>
  <c r="K145" i="9"/>
  <c r="J145" i="9"/>
  <c r="H145" i="9"/>
  <c r="K144" i="9"/>
  <c r="J144" i="9"/>
  <c r="H144" i="9"/>
  <c r="H143" i="9"/>
  <c r="K143" i="9" s="1"/>
  <c r="K142" i="9"/>
  <c r="H142" i="9"/>
  <c r="J142" i="9" s="1"/>
  <c r="K141" i="9"/>
  <c r="H141" i="9"/>
  <c r="J141" i="9" s="1"/>
  <c r="H140" i="9"/>
  <c r="K140" i="9" s="1"/>
  <c r="K139" i="9"/>
  <c r="H139" i="9"/>
  <c r="J139" i="9" s="1"/>
  <c r="J138" i="9"/>
  <c r="H138" i="9"/>
  <c r="K138" i="9" s="1"/>
  <c r="H137" i="9"/>
  <c r="K137" i="9" s="1"/>
  <c r="K136" i="9"/>
  <c r="J136" i="9"/>
  <c r="H136" i="9"/>
  <c r="K135" i="9"/>
  <c r="H135" i="9"/>
  <c r="J135" i="9" s="1"/>
  <c r="H134" i="9"/>
  <c r="K134" i="9" s="1"/>
  <c r="H133" i="9"/>
  <c r="J133" i="9" s="1"/>
  <c r="K132" i="9"/>
  <c r="H132" i="9"/>
  <c r="J132" i="9" s="1"/>
  <c r="K131" i="9"/>
  <c r="J131" i="9"/>
  <c r="H131" i="9"/>
  <c r="H130" i="9"/>
  <c r="K130" i="9" s="1"/>
  <c r="K129" i="9"/>
  <c r="H129" i="9"/>
  <c r="J129" i="9" s="1"/>
  <c r="K128" i="9"/>
  <c r="J128" i="9"/>
  <c r="H128" i="9"/>
  <c r="H127" i="9"/>
  <c r="H126" i="9"/>
  <c r="H125" i="9"/>
  <c r="J125" i="9" s="1"/>
  <c r="H124" i="9"/>
  <c r="H123" i="9"/>
  <c r="H122" i="9"/>
  <c r="K122" i="9" s="1"/>
  <c r="H121" i="9"/>
  <c r="K120" i="9"/>
  <c r="J120" i="9"/>
  <c r="H120" i="9"/>
  <c r="K119" i="9"/>
  <c r="J119" i="9"/>
  <c r="H119" i="9"/>
  <c r="K118" i="9"/>
  <c r="J118" i="9"/>
  <c r="H118" i="9"/>
  <c r="H117" i="9"/>
  <c r="K116" i="9"/>
  <c r="J116" i="9"/>
  <c r="H116" i="9"/>
  <c r="K115" i="9"/>
  <c r="J115" i="9"/>
  <c r="H115" i="9"/>
  <c r="H114" i="9"/>
  <c r="K113" i="9"/>
  <c r="J113" i="9"/>
  <c r="H113" i="9"/>
  <c r="K112" i="9"/>
  <c r="J112" i="9"/>
  <c r="H112" i="9"/>
  <c r="J111" i="9"/>
  <c r="H111" i="9"/>
  <c r="K111" i="9" s="1"/>
  <c r="K110" i="9"/>
  <c r="H110" i="9"/>
  <c r="J110" i="9" s="1"/>
  <c r="K109" i="9"/>
  <c r="H109" i="9"/>
  <c r="J109" i="9" s="1"/>
  <c r="H108" i="9"/>
  <c r="K108" i="9" s="1"/>
  <c r="K107" i="9"/>
  <c r="H107" i="9"/>
  <c r="J107" i="9" s="1"/>
  <c r="J106" i="9"/>
  <c r="H106" i="9"/>
  <c r="K106" i="9" s="1"/>
  <c r="H105" i="9"/>
  <c r="K105" i="9" s="1"/>
  <c r="K104" i="9"/>
  <c r="J104" i="9"/>
  <c r="H104" i="9"/>
  <c r="K103" i="9"/>
  <c r="H103" i="9"/>
  <c r="J103" i="9" s="1"/>
  <c r="K102" i="9"/>
  <c r="H102" i="9"/>
  <c r="J102" i="9" s="1"/>
  <c r="H101" i="9"/>
  <c r="J101" i="9" s="1"/>
  <c r="K100" i="9"/>
  <c r="H100" i="9"/>
  <c r="J100" i="9" s="1"/>
  <c r="H99" i="9"/>
  <c r="K99" i="9" s="1"/>
  <c r="H98" i="9"/>
  <c r="K98" i="9" s="1"/>
  <c r="K97" i="9"/>
  <c r="H97" i="9"/>
  <c r="J97" i="9" s="1"/>
  <c r="K96" i="9"/>
  <c r="J96" i="9"/>
  <c r="H96" i="9"/>
  <c r="H95" i="9"/>
  <c r="H94" i="9"/>
  <c r="H93" i="9"/>
  <c r="J93" i="9" s="1"/>
  <c r="H92" i="9"/>
  <c r="H91" i="9"/>
  <c r="J90" i="9"/>
  <c r="H90" i="9"/>
  <c r="K90" i="9" s="1"/>
  <c r="H89" i="9"/>
  <c r="K88" i="9"/>
  <c r="J88" i="9"/>
  <c r="H88" i="9"/>
  <c r="K87" i="9"/>
  <c r="J87" i="9"/>
  <c r="H87" i="9"/>
  <c r="K86" i="9"/>
  <c r="J86" i="9"/>
  <c r="H86" i="9"/>
  <c r="H85" i="9"/>
  <c r="K84" i="9"/>
  <c r="J84" i="9"/>
  <c r="H84" i="9"/>
  <c r="K83" i="9"/>
  <c r="J83" i="9"/>
  <c r="H83" i="9"/>
  <c r="H82" i="9"/>
  <c r="K81" i="9"/>
  <c r="J81" i="9"/>
  <c r="H81" i="9"/>
  <c r="K80" i="9"/>
  <c r="J80" i="9"/>
  <c r="H80" i="9"/>
  <c r="H79" i="9"/>
  <c r="K79" i="9" s="1"/>
  <c r="K78" i="9"/>
  <c r="H78" i="9"/>
  <c r="J78" i="9" s="1"/>
  <c r="K77" i="9"/>
  <c r="H77" i="9"/>
  <c r="J77" i="9" s="1"/>
  <c r="J76" i="9"/>
  <c r="H76" i="9"/>
  <c r="K76" i="9" s="1"/>
  <c r="K75" i="9"/>
  <c r="H75" i="9"/>
  <c r="J75" i="9" s="1"/>
  <c r="J74" i="9"/>
  <c r="H74" i="9"/>
  <c r="K74" i="9" s="1"/>
  <c r="H73" i="9"/>
  <c r="K73" i="9" s="1"/>
  <c r="K72" i="9"/>
  <c r="J72" i="9"/>
  <c r="H72" i="9"/>
  <c r="K71" i="9"/>
  <c r="H71" i="9"/>
  <c r="J71" i="9" s="1"/>
  <c r="H70" i="9"/>
  <c r="K70" i="9" s="1"/>
  <c r="H69" i="9"/>
  <c r="J69" i="9" s="1"/>
  <c r="K68" i="9"/>
  <c r="H68" i="9"/>
  <c r="J68" i="9" s="1"/>
  <c r="K67" i="9"/>
  <c r="H67" i="9"/>
  <c r="J67" i="9" s="1"/>
  <c r="H66" i="9"/>
  <c r="K66" i="9" s="1"/>
  <c r="K65" i="9"/>
  <c r="H65" i="9"/>
  <c r="J65" i="9" s="1"/>
  <c r="K64" i="9"/>
  <c r="J64" i="9"/>
  <c r="H64" i="9"/>
  <c r="H63" i="9"/>
  <c r="H62" i="9"/>
  <c r="H61" i="9"/>
  <c r="J61" i="9" s="1"/>
  <c r="H60" i="9"/>
  <c r="H59" i="9"/>
  <c r="H58" i="9"/>
  <c r="K58" i="9" s="1"/>
  <c r="H57" i="9"/>
  <c r="K56" i="9"/>
  <c r="J56" i="9"/>
  <c r="H56" i="9"/>
  <c r="K55" i="9"/>
  <c r="J55" i="9"/>
  <c r="H55" i="9"/>
  <c r="K54" i="9"/>
  <c r="J54" i="9"/>
  <c r="H54" i="9"/>
  <c r="H53" i="9"/>
  <c r="K52" i="9"/>
  <c r="J52" i="9"/>
  <c r="H52" i="9"/>
  <c r="K51" i="9"/>
  <c r="J51" i="9"/>
  <c r="H51" i="9"/>
  <c r="H50" i="9"/>
  <c r="K49" i="9"/>
  <c r="J49" i="9"/>
  <c r="H49" i="9"/>
  <c r="K48" i="9"/>
  <c r="J48" i="9"/>
  <c r="H48" i="9"/>
  <c r="H47" i="9"/>
  <c r="K47" i="9" s="1"/>
  <c r="K46" i="9"/>
  <c r="H46" i="9"/>
  <c r="J46" i="9" s="1"/>
  <c r="K45" i="9"/>
  <c r="H45" i="9"/>
  <c r="J45" i="9" s="1"/>
  <c r="H44" i="9"/>
  <c r="K44" i="9" s="1"/>
  <c r="K43" i="9"/>
  <c r="H43" i="9"/>
  <c r="J43" i="9" s="1"/>
  <c r="J42" i="9"/>
  <c r="H42" i="9"/>
  <c r="K42" i="9" s="1"/>
  <c r="J41" i="9"/>
  <c r="H41" i="9"/>
  <c r="K41" i="9" s="1"/>
  <c r="K40" i="9"/>
  <c r="J40" i="9"/>
  <c r="H40" i="9"/>
  <c r="K39" i="9"/>
  <c r="H39" i="9"/>
  <c r="J39" i="9" s="1"/>
  <c r="K38" i="9"/>
  <c r="J38" i="9"/>
  <c r="H38" i="9"/>
  <c r="H37" i="9"/>
  <c r="J37" i="9" s="1"/>
  <c r="K36" i="9"/>
  <c r="H36" i="9"/>
  <c r="J36" i="9" s="1"/>
  <c r="H35" i="9"/>
  <c r="K35" i="9" s="1"/>
  <c r="H34" i="9"/>
  <c r="K34" i="9" s="1"/>
  <c r="K33" i="9"/>
  <c r="H33" i="9"/>
  <c r="J33" i="9" s="1"/>
  <c r="K32" i="9"/>
  <c r="J32" i="9"/>
  <c r="H32" i="9"/>
  <c r="H31" i="9"/>
  <c r="H30" i="9"/>
  <c r="K29" i="9"/>
  <c r="H29" i="9"/>
  <c r="J29" i="9" s="1"/>
  <c r="H28" i="9"/>
  <c r="H27" i="9"/>
  <c r="H26" i="9"/>
  <c r="K26" i="9" s="1"/>
  <c r="H25" i="9"/>
  <c r="K24" i="9"/>
  <c r="J24" i="9"/>
  <c r="H24" i="9"/>
  <c r="K23" i="9"/>
  <c r="J23" i="9"/>
  <c r="H23" i="9"/>
  <c r="K22" i="9"/>
  <c r="J22" i="9"/>
  <c r="H22" i="9"/>
  <c r="H21" i="9"/>
  <c r="K20" i="9"/>
  <c r="J20" i="9"/>
  <c r="H20" i="9"/>
  <c r="K19" i="9"/>
  <c r="J19" i="9"/>
  <c r="H19" i="9"/>
  <c r="H18" i="9"/>
  <c r="K17" i="9"/>
  <c r="J17" i="9"/>
  <c r="H17" i="9"/>
  <c r="K16" i="9"/>
  <c r="J16" i="9"/>
  <c r="H16" i="9"/>
  <c r="K15" i="9"/>
  <c r="J15" i="9"/>
  <c r="H15" i="9"/>
  <c r="K14" i="9"/>
  <c r="H14" i="9"/>
  <c r="J14" i="9" s="1"/>
  <c r="K13" i="9"/>
  <c r="H13" i="9"/>
  <c r="J13" i="9" s="1"/>
  <c r="H12" i="9"/>
  <c r="K12" i="9" s="1"/>
  <c r="K11" i="9"/>
  <c r="H11" i="9"/>
  <c r="J11" i="9" s="1"/>
  <c r="J10" i="9"/>
  <c r="H10" i="9"/>
  <c r="K10" i="9" s="1"/>
  <c r="H9" i="9"/>
  <c r="K9" i="9" s="1"/>
  <c r="K8" i="9"/>
  <c r="J8" i="9"/>
  <c r="H8" i="9"/>
  <c r="H7" i="9"/>
  <c r="J7" i="9" s="1"/>
  <c r="H6" i="9"/>
  <c r="K6" i="9" s="1"/>
  <c r="H5" i="9"/>
  <c r="K4" i="9"/>
  <c r="H4" i="9"/>
  <c r="J4" i="9" s="1"/>
  <c r="J3" i="9"/>
  <c r="H3" i="9"/>
  <c r="K3" i="9" s="1"/>
  <c r="H2" i="9"/>
  <c r="C104" i="8"/>
  <c r="I62" i="8"/>
  <c r="E62" i="8"/>
  <c r="A62" i="8"/>
  <c r="D57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H48" i="8"/>
  <c r="G48" i="8"/>
  <c r="F48" i="8"/>
  <c r="D48" i="8"/>
  <c r="E24" i="8"/>
  <c r="E16" i="8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N22" i="5"/>
  <c r="M22" i="5"/>
  <c r="L22" i="5"/>
  <c r="J22" i="5"/>
  <c r="H22" i="5"/>
  <c r="F22" i="5"/>
  <c r="E22" i="5"/>
  <c r="K22" i="5" s="1"/>
  <c r="D22" i="5"/>
  <c r="G22" i="5" s="1"/>
  <c r="K21" i="5"/>
  <c r="I21" i="5"/>
  <c r="G21" i="5"/>
  <c r="K20" i="5"/>
  <c r="I20" i="5"/>
  <c r="G20" i="5"/>
  <c r="K19" i="5"/>
  <c r="I19" i="5"/>
  <c r="G19" i="5"/>
  <c r="K18" i="5"/>
  <c r="I18" i="5"/>
  <c r="G18" i="5"/>
  <c r="K17" i="5"/>
  <c r="I17" i="5"/>
  <c r="G17" i="5"/>
  <c r="K16" i="5"/>
  <c r="I16" i="5"/>
  <c r="G16" i="5"/>
  <c r="K15" i="5"/>
  <c r="I15" i="5"/>
  <c r="G15" i="5"/>
  <c r="K14" i="5"/>
  <c r="I14" i="5"/>
  <c r="G14" i="5"/>
  <c r="K13" i="5"/>
  <c r="I13" i="5"/>
  <c r="G13" i="5"/>
  <c r="K12" i="5"/>
  <c r="I12" i="5"/>
  <c r="G12" i="5"/>
  <c r="K11" i="5"/>
  <c r="I11" i="5"/>
  <c r="G11" i="5"/>
  <c r="K10" i="5"/>
  <c r="I10" i="5"/>
  <c r="G10" i="5"/>
  <c r="E53" i="3"/>
  <c r="D53" i="3"/>
  <c r="F53" i="3" s="1"/>
  <c r="F52" i="3"/>
  <c r="F51" i="3"/>
  <c r="F50" i="3"/>
  <c r="F49" i="3"/>
  <c r="F48" i="3"/>
  <c r="F47" i="3"/>
  <c r="F46" i="3"/>
  <c r="F45" i="3"/>
  <c r="F44" i="3"/>
  <c r="F43" i="3"/>
  <c r="F42" i="3"/>
  <c r="F41" i="3"/>
  <c r="E36" i="3"/>
  <c r="F36" i="3" s="1"/>
  <c r="D36" i="3"/>
  <c r="F35" i="3"/>
  <c r="F34" i="3"/>
  <c r="F33" i="3"/>
  <c r="F32" i="3"/>
  <c r="F31" i="3"/>
  <c r="F30" i="3"/>
  <c r="F29" i="3"/>
  <c r="F28" i="3"/>
  <c r="F27" i="3"/>
  <c r="F26" i="3"/>
  <c r="F25" i="3"/>
  <c r="F24" i="3"/>
  <c r="E19" i="3"/>
  <c r="F19" i="3" s="1"/>
  <c r="D19" i="3"/>
  <c r="F18" i="3"/>
  <c r="F17" i="3"/>
  <c r="F16" i="3"/>
  <c r="F15" i="3"/>
  <c r="F14" i="3"/>
  <c r="F13" i="3"/>
  <c r="F12" i="3"/>
  <c r="F11" i="3"/>
  <c r="F10" i="3"/>
  <c r="F9" i="3"/>
  <c r="F8" i="3"/>
  <c r="F7" i="3"/>
  <c r="I53" i="2"/>
  <c r="J53" i="2" s="1"/>
  <c r="H53" i="2"/>
  <c r="F53" i="2"/>
  <c r="E53" i="2"/>
  <c r="D53" i="2"/>
  <c r="I52" i="2"/>
  <c r="J52" i="2" s="1"/>
  <c r="H52" i="2"/>
  <c r="F52" i="2"/>
  <c r="I51" i="2"/>
  <c r="J51" i="2" s="1"/>
  <c r="H51" i="2"/>
  <c r="F51" i="2"/>
  <c r="I50" i="2"/>
  <c r="J50" i="2" s="1"/>
  <c r="H50" i="2"/>
  <c r="F50" i="2"/>
  <c r="I49" i="2"/>
  <c r="J49" i="2" s="1"/>
  <c r="H49" i="2"/>
  <c r="F49" i="2"/>
  <c r="I48" i="2"/>
  <c r="J48" i="2" s="1"/>
  <c r="H48" i="2"/>
  <c r="F48" i="2"/>
  <c r="I47" i="2"/>
  <c r="J47" i="2" s="1"/>
  <c r="H47" i="2"/>
  <c r="F47" i="2"/>
  <c r="J46" i="2"/>
  <c r="I46" i="2"/>
  <c r="H46" i="2"/>
  <c r="F46" i="2"/>
  <c r="I45" i="2"/>
  <c r="J45" i="2" s="1"/>
  <c r="H45" i="2"/>
  <c r="F45" i="2"/>
  <c r="I44" i="2"/>
  <c r="J44" i="2" s="1"/>
  <c r="H44" i="2"/>
  <c r="F44" i="2"/>
  <c r="I43" i="2"/>
  <c r="J43" i="2" s="1"/>
  <c r="H43" i="2"/>
  <c r="F43" i="2"/>
  <c r="J42" i="2"/>
  <c r="I42" i="2"/>
  <c r="H42" i="2"/>
  <c r="F42" i="2"/>
  <c r="I41" i="2"/>
  <c r="J41" i="2" s="1"/>
  <c r="H41" i="2"/>
  <c r="F41" i="2"/>
  <c r="J36" i="2"/>
  <c r="I36" i="2"/>
  <c r="G36" i="2"/>
  <c r="E36" i="2"/>
  <c r="D36" i="2"/>
  <c r="F36" i="2" s="1"/>
  <c r="J35" i="2"/>
  <c r="I35" i="2"/>
  <c r="H35" i="2"/>
  <c r="F35" i="2"/>
  <c r="I34" i="2"/>
  <c r="J34" i="2" s="1"/>
  <c r="H34" i="2"/>
  <c r="F34" i="2"/>
  <c r="J33" i="2"/>
  <c r="I33" i="2"/>
  <c r="H33" i="2"/>
  <c r="F33" i="2"/>
  <c r="I32" i="2"/>
  <c r="J32" i="2" s="1"/>
  <c r="H32" i="2"/>
  <c r="F32" i="2"/>
  <c r="J31" i="2"/>
  <c r="I31" i="2"/>
  <c r="H31" i="2"/>
  <c r="F31" i="2"/>
  <c r="I30" i="2"/>
  <c r="J30" i="2" s="1"/>
  <c r="H30" i="2"/>
  <c r="F30" i="2"/>
  <c r="J29" i="2"/>
  <c r="I29" i="2"/>
  <c r="H29" i="2"/>
  <c r="F29" i="2"/>
  <c r="I28" i="2"/>
  <c r="J28" i="2" s="1"/>
  <c r="H28" i="2"/>
  <c r="F28" i="2"/>
  <c r="J27" i="2"/>
  <c r="I27" i="2"/>
  <c r="H27" i="2"/>
  <c r="F27" i="2"/>
  <c r="I26" i="2"/>
  <c r="J26" i="2" s="1"/>
  <c r="H26" i="2"/>
  <c r="F26" i="2"/>
  <c r="J25" i="2"/>
  <c r="I25" i="2"/>
  <c r="H25" i="2"/>
  <c r="F25" i="2"/>
  <c r="I24" i="2"/>
  <c r="J24" i="2" s="1"/>
  <c r="H24" i="2"/>
  <c r="F24" i="2"/>
  <c r="J19" i="2"/>
  <c r="H19" i="2"/>
  <c r="G19" i="2"/>
  <c r="F19" i="2"/>
  <c r="E19" i="2"/>
  <c r="I19" i="2" s="1"/>
  <c r="D19" i="2"/>
  <c r="I18" i="2"/>
  <c r="J18" i="2" s="1"/>
  <c r="H18" i="2"/>
  <c r="F18" i="2"/>
  <c r="I17" i="2"/>
  <c r="J17" i="2" s="1"/>
  <c r="H17" i="2"/>
  <c r="F17" i="2"/>
  <c r="I16" i="2"/>
  <c r="J16" i="2" s="1"/>
  <c r="H16" i="2"/>
  <c r="F16" i="2"/>
  <c r="I15" i="2"/>
  <c r="J15" i="2" s="1"/>
  <c r="H15" i="2"/>
  <c r="F15" i="2"/>
  <c r="J14" i="2"/>
  <c r="I14" i="2"/>
  <c r="H14" i="2"/>
  <c r="F14" i="2"/>
  <c r="I13" i="2"/>
  <c r="J13" i="2" s="1"/>
  <c r="H13" i="2"/>
  <c r="F13" i="2"/>
  <c r="J12" i="2"/>
  <c r="I12" i="2"/>
  <c r="H12" i="2"/>
  <c r="F12" i="2"/>
  <c r="I11" i="2"/>
  <c r="J11" i="2" s="1"/>
  <c r="H11" i="2"/>
  <c r="F11" i="2"/>
  <c r="J10" i="2"/>
  <c r="I10" i="2"/>
  <c r="H10" i="2"/>
  <c r="F10" i="2"/>
  <c r="I9" i="2"/>
  <c r="J9" i="2" s="1"/>
  <c r="H9" i="2"/>
  <c r="F9" i="2"/>
  <c r="I8" i="2"/>
  <c r="J8" i="2" s="1"/>
  <c r="H8" i="2"/>
  <c r="F8" i="2"/>
  <c r="I7" i="2"/>
  <c r="J7" i="2" s="1"/>
  <c r="H7" i="2"/>
  <c r="F7" i="2"/>
  <c r="H37" i="1"/>
  <c r="G37" i="1"/>
  <c r="F37" i="1"/>
  <c r="E37" i="1"/>
  <c r="D37" i="1"/>
  <c r="C37" i="1"/>
  <c r="W18" i="1"/>
  <c r="V18" i="1"/>
  <c r="Y18" i="1" s="1"/>
  <c r="U18" i="1"/>
  <c r="T18" i="1"/>
  <c r="S18" i="1"/>
  <c r="R18" i="1"/>
  <c r="Q18" i="1"/>
  <c r="Z18" i="1" s="1"/>
  <c r="P18" i="1"/>
  <c r="O18" i="1"/>
  <c r="M18" i="1"/>
  <c r="K18" i="1"/>
  <c r="N18" i="1" s="1"/>
  <c r="J18" i="1"/>
  <c r="I18" i="1"/>
  <c r="H18" i="1"/>
  <c r="G18" i="1"/>
  <c r="F18" i="1"/>
  <c r="E18" i="1"/>
  <c r="D18" i="1"/>
  <c r="C18" i="1"/>
  <c r="L18" i="1" s="1"/>
  <c r="Z17" i="1"/>
  <c r="Y17" i="1"/>
  <c r="X17" i="1"/>
  <c r="N17" i="1"/>
  <c r="M17" i="1"/>
  <c r="L17" i="1"/>
  <c r="Z16" i="1"/>
  <c r="Y16" i="1"/>
  <c r="X16" i="1"/>
  <c r="N16" i="1"/>
  <c r="M16" i="1"/>
  <c r="L16" i="1"/>
  <c r="Z15" i="1"/>
  <c r="Y15" i="1"/>
  <c r="X15" i="1"/>
  <c r="N15" i="1"/>
  <c r="M15" i="1"/>
  <c r="L15" i="1"/>
  <c r="Z14" i="1"/>
  <c r="Y14" i="1"/>
  <c r="X14" i="1"/>
  <c r="N14" i="1"/>
  <c r="M14" i="1"/>
  <c r="L14" i="1"/>
  <c r="Z13" i="1"/>
  <c r="Y13" i="1"/>
  <c r="X13" i="1"/>
  <c r="N13" i="1"/>
  <c r="M13" i="1"/>
  <c r="L13" i="1"/>
  <c r="Z12" i="1"/>
  <c r="Y12" i="1"/>
  <c r="X12" i="1"/>
  <c r="N12" i="1"/>
  <c r="M12" i="1"/>
  <c r="L12" i="1"/>
  <c r="Z11" i="1"/>
  <c r="Y11" i="1"/>
  <c r="X11" i="1"/>
  <c r="N11" i="1"/>
  <c r="M11" i="1"/>
  <c r="L11" i="1"/>
  <c r="Z10" i="1"/>
  <c r="Y10" i="1"/>
  <c r="X10" i="1"/>
  <c r="N10" i="1"/>
  <c r="M10" i="1"/>
  <c r="L10" i="1"/>
  <c r="Z9" i="1"/>
  <c r="Y9" i="1"/>
  <c r="X9" i="1"/>
  <c r="N9" i="1"/>
  <c r="M9" i="1"/>
  <c r="L9" i="1"/>
  <c r="Z8" i="1"/>
  <c r="Y8" i="1"/>
  <c r="X8" i="1"/>
  <c r="N8" i="1"/>
  <c r="M8" i="1"/>
  <c r="L8" i="1"/>
  <c r="Z7" i="1"/>
  <c r="Y7" i="1"/>
  <c r="X7" i="1"/>
  <c r="N7" i="1"/>
  <c r="M7" i="1"/>
  <c r="L7" i="1"/>
  <c r="Z6" i="1"/>
  <c r="Y6" i="1"/>
  <c r="X6" i="1"/>
  <c r="N6" i="1"/>
  <c r="M6" i="1"/>
  <c r="L6" i="1"/>
  <c r="J21" i="9" l="1"/>
  <c r="K21" i="9"/>
  <c r="K60" i="9"/>
  <c r="J60" i="9"/>
  <c r="K121" i="9"/>
  <c r="J121" i="9"/>
  <c r="K127" i="9"/>
  <c r="J127" i="9"/>
  <c r="J149" i="9"/>
  <c r="K149" i="9"/>
  <c r="K226" i="9"/>
  <c r="J226" i="9"/>
  <c r="K231" i="9"/>
  <c r="J231" i="9"/>
  <c r="J267" i="9"/>
  <c r="K267" i="9"/>
  <c r="J275" i="9"/>
  <c r="K275" i="9"/>
  <c r="J12" i="9"/>
  <c r="J35" i="9"/>
  <c r="J70" i="9"/>
  <c r="K2" i="9"/>
  <c r="J2" i="9"/>
  <c r="K62" i="9"/>
  <c r="J62" i="9"/>
  <c r="K163" i="9"/>
  <c r="K178" i="9"/>
  <c r="J178" i="9"/>
  <c r="K201" i="9"/>
  <c r="J201" i="9"/>
  <c r="K220" i="9"/>
  <c r="J220" i="9"/>
  <c r="K287" i="9"/>
  <c r="J287" i="9"/>
  <c r="J5" i="9"/>
  <c r="K5" i="9"/>
  <c r="K18" i="9"/>
  <c r="J18" i="9"/>
  <c r="K158" i="9"/>
  <c r="J158" i="9"/>
  <c r="K31" i="9"/>
  <c r="J31" i="9"/>
  <c r="K61" i="9"/>
  <c r="J73" i="9"/>
  <c r="J122" i="9"/>
  <c r="K159" i="9"/>
  <c r="J159" i="9"/>
  <c r="J260" i="9"/>
  <c r="X18" i="1"/>
  <c r="J6" i="9"/>
  <c r="J9" i="9"/>
  <c r="K50" i="9"/>
  <c r="J50" i="9"/>
  <c r="K123" i="9"/>
  <c r="J123" i="9"/>
  <c r="I22" i="5"/>
  <c r="J26" i="9"/>
  <c r="J47" i="9"/>
  <c r="K57" i="9"/>
  <c r="J57" i="9"/>
  <c r="K63" i="9"/>
  <c r="J63" i="9"/>
  <c r="J85" i="9"/>
  <c r="K85" i="9"/>
  <c r="K93" i="9"/>
  <c r="J105" i="9"/>
  <c r="K124" i="9"/>
  <c r="J124" i="9"/>
  <c r="J140" i="9"/>
  <c r="J154" i="9"/>
  <c r="J175" i="9"/>
  <c r="K185" i="9"/>
  <c r="J185" i="9"/>
  <c r="K202" i="9"/>
  <c r="J202" i="9"/>
  <c r="K233" i="9"/>
  <c r="J233" i="9"/>
  <c r="K241" i="9"/>
  <c r="J241" i="9"/>
  <c r="K30" i="9"/>
  <c r="J30" i="9"/>
  <c r="K223" i="9"/>
  <c r="J223" i="9"/>
  <c r="K25" i="9"/>
  <c r="J25" i="9"/>
  <c r="J108" i="9"/>
  <c r="J143" i="9"/>
  <c r="K228" i="9"/>
  <c r="J228" i="9"/>
  <c r="K27" i="9"/>
  <c r="J27" i="9"/>
  <c r="K82" i="9"/>
  <c r="J82" i="9"/>
  <c r="K155" i="9"/>
  <c r="J155" i="9"/>
  <c r="K234" i="9"/>
  <c r="J234" i="9"/>
  <c r="H36" i="2"/>
  <c r="K7" i="9"/>
  <c r="K28" i="9"/>
  <c r="J28" i="9"/>
  <c r="J44" i="9"/>
  <c r="J58" i="9"/>
  <c r="J79" i="9"/>
  <c r="K89" i="9"/>
  <c r="J89" i="9"/>
  <c r="K95" i="9"/>
  <c r="J95" i="9"/>
  <c r="J99" i="9"/>
  <c r="J117" i="9"/>
  <c r="K117" i="9"/>
  <c r="K125" i="9"/>
  <c r="J134" i="9"/>
  <c r="J137" i="9"/>
  <c r="K156" i="9"/>
  <c r="J156" i="9"/>
  <c r="J172" i="9"/>
  <c r="J190" i="9"/>
  <c r="J203" i="9"/>
  <c r="K91" i="9"/>
  <c r="J91" i="9"/>
  <c r="K146" i="9"/>
  <c r="J146" i="9"/>
  <c r="J53" i="9"/>
  <c r="K53" i="9"/>
  <c r="K92" i="9"/>
  <c r="J92" i="9"/>
  <c r="K153" i="9"/>
  <c r="J153" i="9"/>
  <c r="J181" i="9"/>
  <c r="K181" i="9"/>
  <c r="K94" i="9"/>
  <c r="J94" i="9"/>
  <c r="K186" i="9"/>
  <c r="J186" i="9"/>
  <c r="K198" i="9"/>
  <c r="J198" i="9"/>
  <c r="K284" i="9"/>
  <c r="J284" i="9"/>
  <c r="K59" i="9"/>
  <c r="J59" i="9"/>
  <c r="K114" i="9"/>
  <c r="J114" i="9"/>
  <c r="K126" i="9"/>
  <c r="J126" i="9"/>
  <c r="J187" i="9"/>
  <c r="K195" i="9"/>
  <c r="J195" i="9"/>
  <c r="J199" i="9"/>
  <c r="J211" i="9"/>
  <c r="K211" i="9"/>
  <c r="K243" i="9"/>
  <c r="K266" i="9"/>
  <c r="J266" i="9"/>
  <c r="J273" i="9"/>
  <c r="K289" i="9"/>
  <c r="J289" i="9"/>
  <c r="K242" i="9"/>
  <c r="J242" i="9"/>
  <c r="K250" i="9"/>
  <c r="J250" i="9"/>
  <c r="K194" i="9"/>
  <c r="J194" i="9"/>
  <c r="K210" i="9"/>
  <c r="J210" i="9"/>
  <c r="K227" i="9"/>
  <c r="J247" i="9"/>
  <c r="K274" i="9"/>
  <c r="J274" i="9"/>
  <c r="K258" i="9"/>
  <c r="J258" i="9"/>
  <c r="J34" i="9"/>
  <c r="K37" i="9"/>
  <c r="J66" i="9"/>
  <c r="K69" i="9"/>
  <c r="J98" i="9"/>
  <c r="K101" i="9"/>
  <c r="J130" i="9"/>
  <c r="K133" i="9"/>
  <c r="J162" i="9"/>
  <c r="K165" i="9"/>
  <c r="K218" i="9"/>
  <c r="J218" i="9"/>
  <c r="K235" i="9"/>
  <c r="J255" i="9"/>
  <c r="J282" i="9"/>
</calcChain>
</file>

<file path=xl/sharedStrings.xml><?xml version="1.0" encoding="utf-8"?>
<sst xmlns="http://schemas.openxmlformats.org/spreadsheetml/2006/main" count="1792" uniqueCount="317">
  <si>
    <t>Puskemas</t>
  </si>
  <si>
    <t>Januari</t>
  </si>
  <si>
    <t>Februari</t>
  </si>
  <si>
    <t>Maret</t>
  </si>
  <si>
    <t>TW I</t>
  </si>
  <si>
    <t>April</t>
  </si>
  <si>
    <t>Mei</t>
  </si>
  <si>
    <t>Juni</t>
  </si>
  <si>
    <t>TW II</t>
  </si>
  <si>
    <t>Uspro</t>
  </si>
  <si>
    <t>HT</t>
  </si>
  <si>
    <t>DM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</si>
  <si>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</si>
  <si>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</si>
  <si>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</si>
  <si>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</si>
  <si>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</si>
  <si>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</si>
  <si>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</si>
  <si>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</si>
  <si>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</si>
  <si>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</si>
  <si>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</si>
  <si>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</si>
  <si>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Jumlah</t>
  </si>
  <si>
    <t>Rekapan Capaian Skrining PTM tahun 2026</t>
  </si>
  <si>
    <t>USPRO</t>
  </si>
  <si>
    <t>ASIK DAN RME (JIKA HANYA ADA DARI RME MAKA BISA DITERIMA)</t>
  </si>
  <si>
    <t>HT DAN DM</t>
  </si>
  <si>
    <t>HANYA AMBIL DARI RME</t>
  </si>
  <si>
    <t>SOP e-SPM</t>
  </si>
  <si>
    <t>PMK No. 6 Tahun 2024</t>
  </si>
  <si>
    <t>KMK No HK.01.07/MENKES/4634/2021 ttg PNPK Tatalaksana HT Dewasa</t>
  </si>
  <si>
    <t>PNPK 2021 Tatalaksana HT pada Anak</t>
  </si>
  <si>
    <t>Keputusan Menteri Kesehatan RI Nomor HK.01.07/MENKES/603/2020 tentang Pedoman Nasional Tata Laksana Diabetes Mellitus Tipe 2 Dewasa</t>
  </si>
  <si>
    <t>Keputusan Menteri Kesehatan Nomor HK.01.07/MENKES/2009/2024 tentang Pedoman Nasional Pelayanan Klinis Tata Laksana Diabetes Mellitus pada Anak</t>
  </si>
  <si>
    <t>CAPAIAN SKRINING PTM TW II</t>
  </si>
  <si>
    <t>TAHUN 2026</t>
  </si>
  <si>
    <t>NO</t>
  </si>
  <si>
    <t>PUSKESMAS</t>
  </si>
  <si>
    <t>USIA PRODUKTIF</t>
  </si>
  <si>
    <t>TARGET TAHUNAN</t>
  </si>
  <si>
    <t>CAPAIAN TW I</t>
  </si>
  <si>
    <t xml:space="preserve">% </t>
  </si>
  <si>
    <t>CAPAIAN TW II</t>
  </si>
  <si>
    <t>Total Capaian s/d TW II</t>
  </si>
  <si>
    <t>% s.d TW II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</si>
  <si>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</si>
  <si>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</si>
  <si>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</si>
  <si>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</si>
  <si>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</si>
  <si>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</si>
  <si>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</si>
  <si>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</si>
  <si>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</si>
  <si>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</si>
  <si>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</si>
  <si>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</si>
  <si>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JUMLAH</t>
  </si>
  <si>
    <t>HIPERTENSI</t>
  </si>
  <si>
    <t>%</t>
  </si>
  <si>
    <t>DIABETES MELLITUS</t>
  </si>
  <si>
    <t>Total Capaian  s/d TW II</t>
  </si>
  <si>
    <t>CAPAIAN SKRINING PTM SEMESTER 1</t>
  </si>
  <si>
    <t>PELAYANAN KESEHATAN USIA PRODUKTIF</t>
  </si>
  <si>
    <t>TARGET</t>
  </si>
  <si>
    <t>CAPAIAN SEMESTER 1</t>
  </si>
  <si>
    <t>PERSENTASE</t>
  </si>
  <si>
    <t>PELAYANAN KESEHATAN PENDERITA HIPERTENSI</t>
  </si>
  <si>
    <t>PELAYANAN KESEHATAN PENDERITA DIABETES MELLITUS</t>
  </si>
  <si>
    <t>Jlh spesimen  HPV DNA</t>
  </si>
  <si>
    <t>Jan</t>
  </si>
  <si>
    <t>Feb</t>
  </si>
  <si>
    <t>Apr</t>
  </si>
  <si>
    <t>Juli</t>
  </si>
  <si>
    <t>Agt</t>
  </si>
  <si>
    <t>Sep</t>
  </si>
  <si>
    <t>Okt</t>
  </si>
  <si>
    <t>Nov</t>
  </si>
  <si>
    <t>Des</t>
  </si>
  <si>
    <t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</si>
  <si>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</si>
  <si>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</si>
  <si>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>TARGET IVA/SADANIS</t>
  </si>
  <si>
    <t>TARGET PEMERIKSAAN HPV DNA</t>
  </si>
  <si>
    <t>CAPAIAN PEMERIKSAAN</t>
  </si>
  <si>
    <t>HASIL PEMERIKSAAN</t>
  </si>
  <si>
    <t>WUS (30-50 TAHUN)</t>
  </si>
  <si>
    <t>WUS (30-69 TAHUN)</t>
  </si>
  <si>
    <t>IVA</t>
  </si>
  <si>
    <t>SADANIS</t>
  </si>
  <si>
    <t>HPV DNA</t>
  </si>
  <si>
    <t>POSITIF IVA</t>
  </si>
  <si>
    <t>ADA TUMOR/ BENJOLAN</t>
  </si>
  <si>
    <t>POSITIF HPV DNA</t>
  </si>
  <si>
    <t>KETERANGAN</t>
  </si>
  <si>
    <t>Hasil Lab belum keluar</t>
  </si>
  <si>
    <t>REKAPAN DETEKSI DINI KANKER SERVIKS DENGAN METODE HPV DNA &amp; IVA TES</t>
  </si>
  <si>
    <t>KABUPATEN ROTE NDAO TAHUN 2026</t>
  </si>
  <si>
    <t>update data per 23 Juli 2026</t>
  </si>
  <si>
    <t>JUMLAH SPESIMEN</t>
  </si>
  <si>
    <t>HASIL LABORATORIUM BELUM KELUAR</t>
  </si>
  <si>
    <t>HASIL PEMERIKSAAN HPV DNA</t>
  </si>
  <si>
    <t>HASIL IVA</t>
  </si>
  <si>
    <t>IVA + DAN DNA HPV +</t>
  </si>
  <si>
    <t>IVA - DAN DNA HPV +</t>
  </si>
  <si>
    <t>IVA + DAN DNA HPV -</t>
  </si>
  <si>
    <t>IVA - DAN DNA HPV -</t>
  </si>
  <si>
    <t>NEGATIF</t>
  </si>
  <si>
    <t>SUB TIPE 16</t>
  </si>
  <si>
    <t>SUB TIPE 18</t>
  </si>
  <si>
    <t>SUB TIPE 52</t>
  </si>
  <si>
    <t>SUB TIPE LAINNYA</t>
  </si>
  <si>
    <t>POSITIF</t>
  </si>
  <si>
    <t>CURIGA KANKER</t>
  </si>
  <si>
    <t>Tahun</t>
  </si>
  <si>
    <t>Bulan</t>
  </si>
  <si>
    <t>Puskesmas</t>
  </si>
  <si>
    <t>Indikator</t>
  </si>
  <si>
    <t>Target</t>
  </si>
  <si>
    <t>Capaian</t>
  </si>
  <si>
    <t>Presentase</t>
  </si>
  <si>
    <t>Status</t>
  </si>
  <si>
    <t>Tarikan data ASIK CKG</t>
  </si>
  <si>
    <t>Tanggal 1 Januari s/d 16 Juni 2026</t>
  </si>
  <si>
    <t xml:space="preserve">Pendaftar berdasarkan Klaster Usia </t>
  </si>
  <si>
    <t>No</t>
  </si>
  <si>
    <t>Klaster Usia</t>
  </si>
  <si>
    <t>Jumlah Pendaftar (Orang)</t>
  </si>
  <si>
    <t xml:space="preserve">Bayi Baru Lahir &lt; 1 tahun </t>
  </si>
  <si>
    <t xml:space="preserve">Anak 1 - 6 tahun </t>
  </si>
  <si>
    <t xml:space="preserve">Usia sekolah 7 - 12 tahun </t>
  </si>
  <si>
    <t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</si>
  <si>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</si>
  <si>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</si>
  <si>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</si>
  <si>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</si>
  <si>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</si>
  <si>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>Total</t>
  </si>
  <si>
    <t>Total Pemeriksaan Khusus</t>
  </si>
  <si>
    <t>Jenis Skrining</t>
  </si>
  <si>
    <t>Jumlah Pendaftar</t>
  </si>
  <si>
    <t>Skrining Talasemia dan GDS</t>
  </si>
  <si>
    <t xml:space="preserve">Skrining Anemia </t>
  </si>
  <si>
    <t>Skrining HPV DNA dan Kanker Payudara</t>
  </si>
  <si>
    <t>Skrining Kanker Kolorektar dan Kanker Paru</t>
  </si>
  <si>
    <t>Tabel Agregat</t>
  </si>
  <si>
    <t>Kecamatan</t>
  </si>
  <si>
    <t>Total Pendaftar</t>
  </si>
  <si>
    <t>Total Bayi</t>
  </si>
  <si>
    <t>Bayi Perempuan</t>
  </si>
  <si>
    <t>Bayi Laki - Laki</t>
  </si>
  <si>
    <t>Total Anak</t>
  </si>
  <si>
    <t>Anak Perempuan</t>
  </si>
  <si>
    <t>Anak Laki2</t>
  </si>
  <si>
    <t>Total SD</t>
  </si>
  <si>
    <t>SD Perempuan</t>
  </si>
  <si>
    <t>SD Laki - Laki</t>
  </si>
  <si>
    <t>Total SMP</t>
  </si>
  <si>
    <t>SMP Perempuan</t>
  </si>
  <si>
    <t>SMP Laki - Laki</t>
  </si>
  <si>
    <t>Total SMA</t>
  </si>
  <si>
    <t>SMA Perempuan</t>
  </si>
  <si>
    <t>SMA Laki - Laki</t>
  </si>
  <si>
    <t>Total Dewasa I</t>
  </si>
  <si>
    <t>Dewasa I Perempuan</t>
  </si>
  <si>
    <t>Dewasa I Laki - Laki</t>
  </si>
  <si>
    <t>Total Dewasa II</t>
  </si>
  <si>
    <t>Dewasa II Perempuan</t>
  </si>
  <si>
    <t>Dewasa II Laki - Laki</t>
  </si>
  <si>
    <t>Total Dewasa III</t>
  </si>
  <si>
    <t>Dewasa III Perempuan</t>
  </si>
  <si>
    <t>Dewasa III Laki - Laki</t>
  </si>
  <si>
    <t>Total Lansia</t>
  </si>
  <si>
    <t>Lansia Perempuan</t>
  </si>
  <si>
    <t>Lansia Laki - Laki</t>
  </si>
  <si>
    <t>Lobalain</t>
  </si>
  <si>
    <t>Pantai Baru</t>
  </si>
  <si>
    <t>Rote Barat</t>
  </si>
  <si>
    <t>Ndao Nuse</t>
  </si>
  <si>
    <t>Rote Barat Daya</t>
  </si>
  <si>
    <t>Loaholu</t>
  </si>
  <si>
    <t>Rote Barat Laut</t>
  </si>
  <si>
    <t>Rote Selatan</t>
  </si>
  <si>
    <t>Rote Tengah</t>
  </si>
  <si>
    <t>Landu Leko</t>
  </si>
  <si>
    <t>Rote Timur</t>
  </si>
  <si>
    <t xml:space="preserve">Total </t>
  </si>
  <si>
    <t xml:space="preserve">Tarikan data ASIK PTM Klaster 3 </t>
  </si>
  <si>
    <t>Dashboard Peserta</t>
  </si>
  <si>
    <t>Menu : Deteksi Dini Overview</t>
  </si>
  <si>
    <t>L</t>
  </si>
  <si>
    <t>P</t>
  </si>
  <si>
    <t>Diagnosis</t>
  </si>
  <si>
    <t>Tekanan Darah</t>
  </si>
  <si>
    <t>Gula Darah</t>
  </si>
  <si>
    <t>IMT</t>
  </si>
  <si>
    <t>Jumlah Peserta</t>
  </si>
  <si>
    <t>Normal</t>
  </si>
  <si>
    <t>Pre-Hipertensi</t>
  </si>
  <si>
    <t>Hipertensi</t>
  </si>
  <si>
    <t>Jlh peserta</t>
  </si>
  <si>
    <t>Pre-Diabetes</t>
  </si>
  <si>
    <t>Diabetes</t>
  </si>
  <si>
    <t>Underweight</t>
  </si>
  <si>
    <t>Overweight</t>
  </si>
  <si>
    <t>Obesitas</t>
  </si>
  <si>
    <t>Lingkar Perut</t>
  </si>
  <si>
    <t>EKG</t>
  </si>
  <si>
    <t>Jlh Peserta</t>
  </si>
  <si>
    <t xml:space="preserve">Obesitas Sentral </t>
  </si>
  <si>
    <t>Abnormal</t>
  </si>
  <si>
    <t>Jlh peserta -Penyandang DM/HT</t>
  </si>
  <si>
    <t>Abnormal - Penyandang DM/HT</t>
  </si>
  <si>
    <t>Normal - Penyandang DM/HT</t>
  </si>
  <si>
    <t>Jlh peserta - Penyandang DM</t>
  </si>
  <si>
    <t>Abnormal - Penyandang DM</t>
  </si>
  <si>
    <t>Normal - Penyandang DM</t>
  </si>
  <si>
    <t>Jlh Peserta - Penyandang HT</t>
  </si>
  <si>
    <t>Abnormal - Penyandang HT</t>
  </si>
  <si>
    <t>Normal - Penyandang HT</t>
  </si>
  <si>
    <t>Lemak Darah</t>
  </si>
  <si>
    <t>Tidak Normal</t>
  </si>
  <si>
    <t>Jlh peserta - Penyandang HT/DM</t>
  </si>
  <si>
    <t>Normal-Penyandang HT/DM</t>
  </si>
  <si>
    <t>Tidak Normal-Penyandang HT/DM</t>
  </si>
  <si>
    <t>Jlh peserta -Penyandang HT</t>
  </si>
  <si>
    <t>Tidak Normal-Penyandang HT</t>
  </si>
  <si>
    <t>Jlh Peserta - Penyandang DM</t>
  </si>
  <si>
    <t>Tidak normal - penyandang DM</t>
  </si>
  <si>
    <t>Ca Mamae - Sadanis</t>
  </si>
  <si>
    <t>Ca Mamae  USG</t>
  </si>
  <si>
    <t xml:space="preserve">Normal </t>
  </si>
  <si>
    <t>Curiga Kanker</t>
  </si>
  <si>
    <t>Benjolan</t>
  </si>
  <si>
    <t>Simple Cyst</t>
  </si>
  <si>
    <t>Non Simple cyst</t>
  </si>
  <si>
    <t>Ca Kolorektal - Kuesioner</t>
  </si>
  <si>
    <t>Ca Kolorektal - Risiko Tinggi</t>
  </si>
  <si>
    <t>Risiko rendah</t>
  </si>
  <si>
    <t>Risiko Sedang</t>
  </si>
  <si>
    <t>Risiko Tinggi</t>
  </si>
  <si>
    <t>Tidak curiga Kanker</t>
  </si>
  <si>
    <t>Curiga tumor jinak</t>
  </si>
  <si>
    <t>Curiga kanker kolorektal</t>
  </si>
  <si>
    <t>Curiga kanker</t>
  </si>
  <si>
    <t>Ca Paru - Kuesioner</t>
  </si>
  <si>
    <t>Ca Paru - Kuesioner (Umur 45 - 70 thn)</t>
  </si>
  <si>
    <t>Risiko sedang</t>
  </si>
  <si>
    <t>Risiko tinggi</t>
  </si>
  <si>
    <t>Thalassemia</t>
  </si>
  <si>
    <t>Tidak curiga</t>
  </si>
  <si>
    <t>Curiga</t>
  </si>
  <si>
    <t>Tajam penglihatan</t>
  </si>
  <si>
    <t>Katarak</t>
  </si>
  <si>
    <t>Gangguan ringan</t>
  </si>
  <si>
    <t>Gangguan sedang</t>
  </si>
  <si>
    <t>Gangguan berat</t>
  </si>
  <si>
    <t>Bukan katarak</t>
  </si>
  <si>
    <t>Curiga katarak</t>
  </si>
  <si>
    <t>Tajam pendengaran</t>
  </si>
  <si>
    <t>Congek OMSK</t>
  </si>
  <si>
    <t xml:space="preserve">Gangguan </t>
  </si>
  <si>
    <t>Gangguan</t>
  </si>
  <si>
    <t>PPOK</t>
  </si>
  <si>
    <t>Menu : Diagnosis Overview</t>
  </si>
  <si>
    <t>Penyandang Penyakit Jantung</t>
  </si>
  <si>
    <t>Umum</t>
  </si>
  <si>
    <t>Jtg koroner</t>
  </si>
  <si>
    <t>Gagal jtg</t>
  </si>
  <si>
    <t>Kongenital</t>
  </si>
  <si>
    <t>lainnya</t>
  </si>
  <si>
    <t>Penyandang HT</t>
  </si>
  <si>
    <t>Penyandang DM</t>
  </si>
  <si>
    <t>Penyandang Obes</t>
  </si>
  <si>
    <t>Penderita Stroke</t>
  </si>
  <si>
    <t>Penyandang Ca Mamae</t>
  </si>
  <si>
    <t>Penyandang Ca Serviks</t>
  </si>
  <si>
    <t>Penyandang Thalassemia</t>
  </si>
  <si>
    <t>Penyandang Gangguan Pendengaran</t>
  </si>
  <si>
    <t>Serumen Prop</t>
  </si>
  <si>
    <t>Otitis (OMSK)</t>
  </si>
  <si>
    <t>Presbikusis</t>
  </si>
  <si>
    <t>Penyandang Gangguan Penglihatan</t>
  </si>
  <si>
    <t>Refraksi</t>
  </si>
  <si>
    <t>Miopia</t>
  </si>
  <si>
    <t>umum</t>
  </si>
  <si>
    <t>stabil</t>
  </si>
  <si>
    <t>Akserbasi</t>
  </si>
  <si>
    <t>TAHUN</t>
  </si>
  <si>
    <t>NO BULAN</t>
  </si>
  <si>
    <t>BULAN</t>
  </si>
  <si>
    <t>INDIKATOR</t>
  </si>
  <si>
    <t>SASARAN</t>
  </si>
  <si>
    <t>TARGET BULANAN</t>
  </si>
  <si>
    <t>CAPAIAN</t>
  </si>
  <si>
    <t>STATUS</t>
  </si>
  <si>
    <t>CATATAN</t>
  </si>
  <si>
    <t>Usia Produktif</t>
  </si>
  <si>
    <t>Target: Semester 1 (PTM); capaian: Capaian Skrining PTM Per Bulan</t>
  </si>
  <si>
    <t>Target: TW 2 SPM; capaian: Capaian Skrining PTM Per Bulan</t>
  </si>
  <si>
    <t>Diabetes Mellitus</t>
  </si>
  <si>
    <t>Target: HPV DNA 2; capaian: HPV DNA</t>
  </si>
  <si>
    <t>PENJELASAN</t>
  </si>
  <si>
    <t>Jumlah baris</t>
  </si>
  <si>
    <t>288 baris = 12 Puskesmas × 4 indikator × 6 bulan</t>
  </si>
  <si>
    <t>Sasaran</t>
  </si>
  <si>
    <t>Mengikuti angka target resmi karena sumber belum menyediakan sasaran terpisah.</t>
  </si>
  <si>
    <t>Target Tahunan</t>
  </si>
  <si>
    <t>Diambil langsung dari sheet sumber sesuai indikator dan Puskesmas.</t>
  </si>
  <si>
    <t>Target Bulanan</t>
  </si>
  <si>
    <t>Dibagi ke 12 bulan dalam angka bulat. Sisa pembagian dialokasikan mulai Januari agar total 12 bulan sama dengan target tahunan.</t>
  </si>
  <si>
    <t>Diambil dari data bulanan Januari–Juni pada sheet sumber.</t>
  </si>
  <si>
    <t>Persentase</t>
  </si>
  <si>
    <t>Capaian bulanan ÷ target bulanan.</t>
  </si>
  <si>
    <t>Tercapai jika persentase ≥100%; selain itu Belum Tercapai.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</si>
</sst>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FFFF00"/>
      </patternFill>
    </fill>
    <fill>
      <patternFill patternType="solid">
        <fgColor rgb="FFC9DAF8"/>
      </patternFill>
    </fill>
    <fill>
      <patternFill patternType="solid">
        <fgColor rgb="FFB6D7A8"/>
      </patternFill>
    </fill>
    <fill>
      <patternFill patternType="solid">
        <fgColor rgb="FFB4C6E7"/>
      </patternFill>
    </fill>
    <fill>
      <patternFill patternType="solid">
        <fgColor rgb="FFC5E0B3"/>
      </patternFill>
    </fill>
    <fill>
      <patternFill patternType="solid">
        <fgColor rgb="FFFFE598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91">
    <xf numFmtId="0" fontId="0" fillId="0" borderId="0" xfId="0" applyFont="1" applyAlignment="1"/>
    <xf numFmtId="0" fontId="1" fillId="0" borderId="0" xfId="0" applyFont="1"/>
    <xf numFmtId="0" fontId="9" fillId="5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7" fillId="0" borderId="0" xfId="0" applyFont="1"/>
    <xf numFmtId="0" fontId="9" fillId="8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1" fillId="0" borderId="0" xfId="0" applyFont="1" applyAlignment="1"/>
    <xf numFmtId="0" fontId="7" fillId="0" borderId="0" xfId="0" applyFont="1" applyAlignment="1"/>
    <xf numFmtId="0" fontId="1" fillId="5" borderId="6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" fillId="0" borderId="0" xfId="0" applyFont="1" applyAlignment="1"/>
    <xf numFmtId="0" fontId="3" fillId="0" borderId="0" xfId="0" applyFont="1" applyAlignment="1"/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1" fillId="0" borderId="0" xfId="0" applyFont="1"/>
    <xf numFmtId="0" fontId="1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wrapText="1"/>
    </xf>
    <xf numFmtId="3" fontId="1" fillId="0" borderId="6" xfId="0" applyNumberFormat="1" applyFont="1" applyBorder="1" applyAlignment="1">
      <alignment horizontal="center"/>
    </xf>
    <xf numFmtId="0" fontId="1" fillId="4" borderId="6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0" fillId="0" borderId="0" xfId="0" applyFont="1" applyAlignment="1"/>
    <xf numFmtId="0" fontId="12" fillId="5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164" fontId="14" fillId="5" borderId="6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164" fontId="14" fillId="6" borderId="6" xfId="0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164" fontId="14" fillId="10" borderId="3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164" fontId="12" fillId="5" borderId="6" xfId="0" applyNumberFormat="1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164" fontId="12" fillId="6" borderId="6" xfId="0" applyNumberFormat="1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/>
    </xf>
    <xf numFmtId="164" fontId="12" fillId="10" borderId="1" xfId="0" applyNumberFormat="1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 vertical="center" wrapText="1"/>
    </xf>
    <xf numFmtId="164" fontId="12" fillId="10" borderId="3" xfId="0" applyNumberFormat="1" applyFont="1" applyFill="1" applyBorder="1" applyAlignment="1">
      <alignment horizontal="center"/>
    </xf>
    <xf numFmtId="1" fontId="14" fillId="5" borderId="6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2" fillId="5" borderId="8" xfId="0" applyFont="1" applyFill="1" applyBorder="1" applyAlignment="1">
      <alignment horizontal="center" vertical="center" wrapText="1"/>
    </xf>
    <xf numFmtId="1" fontId="12" fillId="5" borderId="6" xfId="0" applyNumberFormat="1" applyFont="1" applyFill="1" applyBorder="1" applyAlignment="1">
      <alignment horizontal="center" vertical="center"/>
    </xf>
    <xf numFmtId="164" fontId="12" fillId="5" borderId="6" xfId="0" applyNumberFormat="1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 wrapText="1"/>
    </xf>
    <xf numFmtId="164" fontId="14" fillId="12" borderId="6" xfId="0" applyNumberFormat="1" applyFont="1" applyFill="1" applyBorder="1" applyAlignment="1">
      <alignment horizontal="center" vertical="center"/>
    </xf>
    <xf numFmtId="164" fontId="12" fillId="12" borderId="6" xfId="0" applyNumberFormat="1" applyFont="1" applyFill="1" applyBorder="1" applyAlignment="1">
      <alignment horizontal="center"/>
    </xf>
    <xf numFmtId="1" fontId="14" fillId="6" borderId="6" xfId="0" applyNumberFormat="1" applyFont="1" applyFill="1" applyBorder="1" applyAlignment="1">
      <alignment horizontal="center" vertical="center"/>
    </xf>
    <xf numFmtId="1" fontId="12" fillId="6" borderId="6" xfId="0" applyNumberFormat="1" applyFont="1" applyFill="1" applyBorder="1" applyAlignment="1">
      <alignment horizontal="center"/>
    </xf>
    <xf numFmtId="1" fontId="14" fillId="12" borderId="6" xfId="0" applyNumberFormat="1" applyFont="1" applyFill="1" applyBorder="1" applyAlignment="1">
      <alignment horizontal="center" vertical="center"/>
    </xf>
    <xf numFmtId="1" fontId="12" fillId="12" borderId="6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12" fillId="0" borderId="5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1" fontId="14" fillId="0" borderId="6" xfId="0" applyNumberFormat="1" applyFont="1" applyFill="1" applyBorder="1" applyAlignment="1">
      <alignment horizontal="center" vertical="center"/>
    </xf>
    <xf numFmtId="164" fontId="14" fillId="0" borderId="6" xfId="0" applyNumberFormat="1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1" fontId="12" fillId="0" borderId="6" xfId="0" applyNumberFormat="1" applyFont="1" applyFill="1" applyBorder="1" applyAlignment="1">
      <alignment horizontal="center" vertical="center"/>
    </xf>
    <xf numFmtId="164" fontId="12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1" fontId="12" fillId="0" borderId="6" xfId="0" applyNumberFormat="1" applyFont="1" applyFill="1" applyBorder="1" applyAlignment="1">
      <alignment horizontal="center"/>
    </xf>
    <xf numFmtId="1" fontId="14" fillId="0" borderId="3" xfId="0" applyNumberFormat="1" applyFont="1" applyFill="1" applyBorder="1" applyAlignment="1">
      <alignment horizontal="center"/>
    </xf>
    <xf numFmtId="1" fontId="12" fillId="0" borderId="3" xfId="0" applyNumberFormat="1" applyFont="1" applyFill="1" applyBorder="1" applyAlignment="1">
      <alignment horizontal="center"/>
    </xf>
    <xf numFmtId="164" fontId="14" fillId="13" borderId="6" xfId="0" applyNumberFormat="1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1" fontId="14" fillId="13" borderId="6" xfId="0" applyNumberFormat="1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1" fontId="14" fillId="14" borderId="6" xfId="0" applyNumberFormat="1" applyFont="1" applyFill="1" applyBorder="1" applyAlignment="1">
      <alignment horizontal="center" vertical="center"/>
    </xf>
    <xf numFmtId="164" fontId="14" fillId="14" borderId="6" xfId="0" applyNumberFormat="1" applyFont="1" applyFill="1" applyBorder="1" applyAlignment="1">
      <alignment horizontal="center" vertical="center"/>
    </xf>
    <xf numFmtId="1" fontId="14" fillId="13" borderId="3" xfId="0" applyNumberFormat="1" applyFont="1" applyFill="1" applyBorder="1" applyAlignment="1">
      <alignment horizontal="center"/>
    </xf>
    <xf numFmtId="1" fontId="14" fillId="14" borderId="3" xfId="0" applyNumberFormat="1" applyFont="1" applyFill="1" applyBorder="1" applyAlignment="1">
      <alignment horizontal="center"/>
    </xf>
    <xf numFmtId="0" fontId="0" fillId="0" borderId="0" xfId="0"/>
    <xf numFmtId="0" fontId="16" fillId="15" borderId="7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" fontId="0" fillId="0" borderId="7" xfId="0" applyNumberFormat="1" applyBorder="1"/>
    <xf numFmtId="0" fontId="0" fillId="14" borderId="7" xfId="0" applyFill="1" applyBorder="1" applyAlignment="1">
      <alignment horizontal="center"/>
    </xf>
    <xf numFmtId="0" fontId="0" fillId="14" borderId="7" xfId="0" applyFill="1" applyBorder="1"/>
    <xf numFmtId="164" fontId="0" fillId="14" borderId="7" xfId="0" applyNumberFormat="1" applyFill="1" applyBorder="1"/>
    <xf numFmtId="1" fontId="0" fillId="14" borderId="7" xfId="0" applyNumberFormat="1" applyFill="1" applyBorder="1"/>
    <xf numFmtId="0" fontId="16" fillId="0" borderId="7" xfId="0" applyFont="1" applyBorder="1"/>
    <xf numFmtId="164" fontId="16" fillId="0" borderId="7" xfId="0" applyNumberFormat="1" applyFont="1" applyBorder="1"/>
    <xf numFmtId="0" fontId="16" fillId="15" borderId="7" xfId="0" applyFont="1" applyFill="1" applyBorder="1" applyAlignment="1">
      <alignment vertical="center" wrapText="1"/>
    </xf>
    <xf numFmtId="0" fontId="0" fillId="13" borderId="7" xfId="0" applyFill="1" applyBorder="1" applyAlignment="1">
      <alignment horizontal="center"/>
    </xf>
    <xf numFmtId="0" fontId="0" fillId="13" borderId="7" xfId="0" applyFill="1" applyBorder="1"/>
    <xf numFmtId="0" fontId="0" fillId="0" borderId="0" xfId="0" applyFont="1" applyAlignment="1"/>
    <xf numFmtId="0" fontId="0" fillId="0" borderId="0" xfId="0" applyFont="1" applyAlignment="1"/>
    <xf numFmtId="0" fontId="18" fillId="16" borderId="0" xfId="0" applyNumberFormat="1" applyFont="1" applyFill="1" applyBorder="1" applyAlignment="1">
      <alignment wrapText="1"/>
    </xf>
    <xf numFmtId="0" fontId="18" fillId="16" borderId="18" xfId="0" applyNumberFormat="1" applyFont="1" applyFill="1" applyBorder="1" applyAlignment="1">
      <alignment horizontal="center" vertical="center" wrapText="1"/>
    </xf>
    <xf numFmtId="0" fontId="18" fillId="16" borderId="19" xfId="0" applyNumberFormat="1" applyFont="1" applyFill="1" applyBorder="1" applyAlignment="1">
      <alignment horizontal="center" vertical="center" wrapText="1"/>
    </xf>
    <xf numFmtId="0" fontId="18" fillId="16" borderId="2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0" fillId="0" borderId="24" xfId="0" applyNumberFormat="1" applyFont="1" applyFill="1" applyBorder="1"/>
    <xf numFmtId="0" fontId="0" fillId="0" borderId="21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23" xfId="0" applyNumberFormat="1" applyFont="1" applyFill="1" applyBorder="1" applyAlignment="1">
      <alignment horizontal="center"/>
    </xf>
    <xf numFmtId="0" fontId="0" fillId="0" borderId="24" xfId="0" applyNumberFormat="1" applyFont="1" applyFill="1" applyBorder="1" applyAlignment="1">
      <alignment horizontal="center"/>
    </xf>
    <xf numFmtId="3" fontId="0" fillId="0" borderId="0" xfId="0" applyNumberFormat="1" applyFont="1" applyFill="1" applyBorder="1"/>
    <xf numFmtId="3" fontId="0" fillId="0" borderId="24" xfId="0" applyNumberFormat="1" applyFont="1" applyFill="1" applyBorder="1"/>
    <xf numFmtId="10" fontId="0" fillId="0" borderId="0" xfId="0" applyNumberFormat="1" applyFont="1" applyFill="1" applyBorder="1"/>
    <xf numFmtId="10" fontId="0" fillId="0" borderId="24" xfId="0" applyNumberFormat="1" applyFont="1" applyFill="1" applyBorder="1"/>
    <xf numFmtId="0" fontId="0" fillId="0" borderId="22" xfId="0" applyNumberFormat="1" applyFont="1" applyFill="1" applyBorder="1" applyAlignment="1">
      <alignment wrapText="1"/>
    </xf>
    <xf numFmtId="0" fontId="0" fillId="0" borderId="25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/>
    <xf numFmtId="0" fontId="9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0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3" fillId="0" borderId="5" xfId="0" applyFont="1" applyBorder="1"/>
    <xf numFmtId="0" fontId="12" fillId="5" borderId="9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3" fillId="0" borderId="5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5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15" borderId="7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 wrapText="1"/>
    </xf>
    <xf numFmtId="0" fontId="16" fillId="15" borderId="13" xfId="0" applyFont="1" applyFill="1" applyBorder="1" applyAlignment="1">
      <alignment horizontal="center" vertical="center" wrapText="1"/>
    </xf>
    <xf numFmtId="0" fontId="16" fillId="15" borderId="14" xfId="0" applyFont="1" applyFill="1" applyBorder="1" applyAlignment="1">
      <alignment horizontal="center" vertical="center" wrapText="1"/>
    </xf>
    <xf numFmtId="0" fontId="16" fillId="15" borderId="15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15" borderId="16" xfId="0" applyFont="1" applyFill="1" applyBorder="1" applyAlignment="1">
      <alignment horizontal="center" vertical="center"/>
    </xf>
    <xf numFmtId="0" fontId="16" fillId="15" borderId="17" xfId="0" applyFont="1" applyFill="1" applyBorder="1" applyAlignment="1">
      <alignment horizontal="center" vertical="center"/>
    </xf>
    <xf numFmtId="0" fontId="16" fillId="15" borderId="16" xfId="0" applyFont="1" applyFill="1" applyBorder="1" applyAlignment="1">
      <alignment horizontal="center" vertical="center" wrapText="1"/>
    </xf>
    <xf numFmtId="0" fontId="16" fillId="15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552450</xdr:colOff>
      <xdr:row>0</xdr:row>
      <xdr:rowOff>0</xdr:rowOff>
    </xdr:from>
    <xdr:ext cx="4762500" cy="204787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76200</xdr:colOff>
      <xdr:row>10</xdr:row>
      <xdr:rowOff>104775</xdr:rowOff>
    </xdr:from>
    <xdr:ext cx="4876800" cy="187642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866775</xdr:colOff>
      <xdr:row>21</xdr:row>
      <xdr:rowOff>85725</xdr:rowOff>
    </xdr:from>
    <xdr:ext cx="2143125" cy="226695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647700</xdr:colOff>
      <xdr:row>21</xdr:row>
      <xdr:rowOff>85725</xdr:rowOff>
    </xdr:from>
    <xdr:ext cx="1819275" cy="2266950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790575</xdr:colOff>
      <xdr:row>0</xdr:row>
      <xdr:rowOff>0</xdr:rowOff>
    </xdr:from>
    <xdr:ext cx="4371975" cy="1876425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SIPANDATable" displayName="DatabaseSIPANDATable" ref="A1:L289">
  <tableColumns count="12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PUSKESMAS"/>
    <tableColumn id="5" xr3:uid="{00000000-0010-0000-0000-000005000000}" name="INDIKATOR"/>
    <tableColumn id="6" xr3:uid="{00000000-0010-0000-0000-000006000000}" name="SASARAN"/>
    <tableColumn id="7" xr3:uid="{00000000-0010-0000-0000-000007000000}" name="TARGET TAHUNAN"/>
    <tableColumn id="8" xr3:uid="{00000000-0010-0000-0000-000008000000}" name="TARGET BULANAN"/>
    <tableColumn id="9" xr3:uid="{00000000-0010-0000-0000-000009000000}" name="CAPAIAN"/>
    <tableColumn id="10" xr3:uid="{00000000-0010-0000-0000-00000A000000}" name="PERSENTASE"/>
    <tableColumn id="11" xr3:uid="{00000000-0010-0000-0000-00000B000000}" name="STATUS"/>
    <tableColumn id="12" xr3:uid="{00000000-0010-0000-0000-00000C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2:Z1000"/>
  <sheetViews>
    <sheetView workbookViewId="0"/>
  </sheetViews>
  <sheetFormatPr defaultColWidth="14.453125" defaultRowHeight="14.5" x14ac:dyDescent="0.35"/>
  <cols>
    <col min="1" max="1" width="8.7265625" customWidth="1"/>
    <col min="2" max="2" width="14.08984375" customWidth="1"/>
    <col min="3" max="14" width="8.7265625" customWidth="1"/>
    <col min="15" max="26" width="12" customWidth="1"/>
    <col min="27" max="32" width="8.7265625" customWidth="1"/>
  </cols>
  <sheetData>
    <row r="2" spans="2:26" x14ac:dyDescent="0.35">
      <c r="B2" s="148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4" spans="2:26" ht="13" customHeight="1" x14ac:dyDescent="0.35">
      <c r="B4" s="149" t="s">
        <v>0</v>
      </c>
      <c r="C4" s="151" t="s">
        <v>1</v>
      </c>
      <c r="D4" s="152"/>
      <c r="E4" s="153"/>
      <c r="F4" s="151" t="s">
        <v>2</v>
      </c>
      <c r="G4" s="152"/>
      <c r="H4" s="153"/>
      <c r="I4" s="151" t="s">
        <v>3</v>
      </c>
      <c r="J4" s="152"/>
      <c r="K4" s="153"/>
      <c r="L4" s="154" t="s">
        <v>4</v>
      </c>
      <c r="M4" s="152"/>
      <c r="N4" s="153"/>
      <c r="O4" s="155" t="s">
        <v>5</v>
      </c>
      <c r="P4" s="152"/>
      <c r="Q4" s="153"/>
      <c r="R4" s="155" t="s">
        <v>6</v>
      </c>
      <c r="S4" s="152"/>
      <c r="T4" s="153"/>
      <c r="U4" s="155" t="s">
        <v>7</v>
      </c>
      <c r="V4" s="152"/>
      <c r="W4" s="153"/>
      <c r="X4" s="156" t="s">
        <v>8</v>
      </c>
      <c r="Y4" s="152"/>
      <c r="Z4" s="153"/>
    </row>
    <row r="5" spans="2:26" ht="13" customHeight="1" x14ac:dyDescent="0.35">
      <c r="B5" s="150"/>
      <c r="C5" s="5" t="s">
        <v>9</v>
      </c>
      <c r="D5" s="7" t="s">
        <v>10</v>
      </c>
      <c r="E5" s="8" t="s">
        <v>11</v>
      </c>
      <c r="F5" s="5" t="s">
        <v>9</v>
      </c>
      <c r="G5" s="7" t="s">
        <v>10</v>
      </c>
      <c r="H5" s="8" t="s">
        <v>11</v>
      </c>
      <c r="I5" s="5" t="s">
        <v>9</v>
      </c>
      <c r="J5" s="7" t="s">
        <v>10</v>
      </c>
      <c r="K5" s="8" t="s">
        <v>11</v>
      </c>
      <c r="L5" s="5" t="s">
        <v>9</v>
      </c>
      <c r="M5" s="7" t="s">
        <v>10</v>
      </c>
      <c r="N5" s="8" t="s">
        <v>11</v>
      </c>
      <c r="O5" s="5" t="s">
        <v>9</v>
      </c>
      <c r="P5" s="7" t="s">
        <v>10</v>
      </c>
      <c r="Q5" s="8" t="s">
        <v>11</v>
      </c>
      <c r="R5" s="5" t="s">
        <v>9</v>
      </c>
      <c r="S5" s="7" t="s">
        <v>10</v>
      </c>
      <c r="T5" s="8" t="s">
        <v>11</v>
      </c>
      <c r="U5" s="5" t="s">
        <v>9</v>
      </c>
      <c r="V5" s="7" t="s">
        <v>10</v>
      </c>
      <c r="W5" s="8" t="s">
        <v>11</v>
      </c>
      <c r="X5" s="5" t="s">
        <v>9</v>
      </c>
      <c r="Y5" s="7" t="s">
        <v>10</v>
      </c>
      <c r="Z5" s="8" t="s">
        <v>11</v>
      </c>
    </row>
    <row r="6" spans="2:26" ht="11" customHeight="1" x14ac:dyDescent="0.35">
      <c r="B6" s="9" t="s">
        <v>12</v>
      </c>
      <c r="C6" s="4">
        <v>15</v>
      </c>
      <c r="D6" s="10">
        <v>0</v>
      </c>
      <c r="E6" s="11">
        <v>1</v>
      </c>
      <c r="F6" s="4">
        <v>58</v>
      </c>
      <c r="G6" s="10">
        <v>0</v>
      </c>
      <c r="H6" s="11">
        <v>0</v>
      </c>
      <c r="I6" s="4">
        <v>46</v>
      </c>
      <c r="J6" s="10">
        <v>1</v>
      </c>
      <c r="K6" s="11">
        <v>0</v>
      </c>
      <c r="L6" s="4">
        <f t="shared" ref="L6:N6" si="0">C6+F6+I6</f>
        <v>119</v>
      </c>
      <c r="M6" s="10">
        <f t="shared" si="0"/>
        <v>1</v>
      </c>
      <c r="N6" s="11">
        <f t="shared" si="0"/>
        <v>1</v>
      </c>
      <c r="O6" s="3">
        <v>222</v>
      </c>
      <c r="P6" s="12">
        <v>21</v>
      </c>
      <c r="Q6" s="13">
        <v>6</v>
      </c>
      <c r="R6" s="3">
        <v>295</v>
      </c>
      <c r="S6" s="12">
        <v>7</v>
      </c>
      <c r="T6" s="13">
        <v>9</v>
      </c>
      <c r="U6" s="3">
        <v>481</v>
      </c>
      <c r="V6" s="12">
        <v>12</v>
      </c>
      <c r="W6" s="13">
        <v>4</v>
      </c>
      <c r="X6" s="4">
        <f t="shared" ref="X6:Z6" si="1">O6+R6+U6</f>
        <v>998</v>
      </c>
      <c r="Y6" s="10">
        <f t="shared" si="1"/>
        <v>40</v>
      </c>
      <c r="Z6" s="11">
        <f t="shared" si="1"/>
        <v>19</v>
      </c>
    </row>
    <row r="7" spans="2:26" ht="11" customHeight="1" x14ac:dyDescent="0.35">
      <c r="B7" s="9" t="s">
        <v>13</v>
      </c>
      <c r="C7" s="4">
        <v>112</v>
      </c>
      <c r="D7" s="10">
        <v>26</v>
      </c>
      <c r="E7" s="11">
        <v>6</v>
      </c>
      <c r="F7" s="4">
        <v>244</v>
      </c>
      <c r="G7" s="10">
        <v>16</v>
      </c>
      <c r="H7" s="11">
        <v>8</v>
      </c>
      <c r="I7" s="4">
        <v>120</v>
      </c>
      <c r="J7" s="10">
        <v>36</v>
      </c>
      <c r="K7" s="11">
        <v>2</v>
      </c>
      <c r="L7" s="4">
        <f t="shared" ref="L7:N7" si="2">C7+F7+I7</f>
        <v>476</v>
      </c>
      <c r="M7" s="10">
        <f t="shared" si="2"/>
        <v>78</v>
      </c>
      <c r="N7" s="11">
        <f t="shared" si="2"/>
        <v>16</v>
      </c>
      <c r="O7" s="3">
        <v>133</v>
      </c>
      <c r="P7" s="12">
        <v>13</v>
      </c>
      <c r="Q7" s="13">
        <v>7</v>
      </c>
      <c r="R7" s="3">
        <v>117</v>
      </c>
      <c r="S7" s="12">
        <v>7</v>
      </c>
      <c r="T7" s="13">
        <v>5</v>
      </c>
      <c r="U7" s="3">
        <v>214</v>
      </c>
      <c r="V7" s="12">
        <v>105</v>
      </c>
      <c r="W7" s="13">
        <v>6</v>
      </c>
      <c r="X7" s="4">
        <f t="shared" ref="X7:Z7" si="3">O7+R7+U7</f>
        <v>464</v>
      </c>
      <c r="Y7" s="10">
        <f t="shared" si="3"/>
        <v>125</v>
      </c>
      <c r="Z7" s="11">
        <f t="shared" si="3"/>
        <v>18</v>
      </c>
    </row>
    <row r="8" spans="2:26" ht="11" customHeight="1" x14ac:dyDescent="0.35">
      <c r="B8" s="9" t="s">
        <v>14</v>
      </c>
      <c r="C8" s="4">
        <v>107</v>
      </c>
      <c r="D8" s="10">
        <v>0</v>
      </c>
      <c r="E8" s="11">
        <v>1</v>
      </c>
      <c r="F8" s="4">
        <v>105</v>
      </c>
      <c r="G8" s="10">
        <v>0</v>
      </c>
      <c r="H8" s="11">
        <v>0</v>
      </c>
      <c r="I8" s="4">
        <v>86</v>
      </c>
      <c r="J8" s="10">
        <v>6</v>
      </c>
      <c r="K8" s="11">
        <v>0</v>
      </c>
      <c r="L8" s="4">
        <f t="shared" ref="L8:N8" si="4">C8+F8+I8</f>
        <v>298</v>
      </c>
      <c r="M8" s="10">
        <f t="shared" si="4"/>
        <v>6</v>
      </c>
      <c r="N8" s="11">
        <f t="shared" si="4"/>
        <v>1</v>
      </c>
      <c r="O8" s="3">
        <v>129</v>
      </c>
      <c r="P8" s="12">
        <v>6</v>
      </c>
      <c r="Q8" s="13">
        <v>2</v>
      </c>
      <c r="R8" s="3">
        <v>90</v>
      </c>
      <c r="S8" s="12">
        <v>1</v>
      </c>
      <c r="T8" s="13">
        <v>0</v>
      </c>
      <c r="U8" s="3">
        <v>117</v>
      </c>
      <c r="V8" s="12">
        <v>2</v>
      </c>
      <c r="W8" s="13">
        <v>0</v>
      </c>
      <c r="X8" s="4">
        <f t="shared" ref="X8:Z8" si="5">O8+R8+U8</f>
        <v>336</v>
      </c>
      <c r="Y8" s="10">
        <f t="shared" si="5"/>
        <v>9</v>
      </c>
      <c r="Z8" s="11">
        <f t="shared" si="5"/>
        <v>2</v>
      </c>
    </row>
    <row r="9" spans="2:26" ht="11" customHeight="1" x14ac:dyDescent="0.35">
      <c r="B9" s="9" t="s">
        <v>15</v>
      </c>
      <c r="C9" s="4">
        <v>14</v>
      </c>
      <c r="D9" s="10">
        <v>1</v>
      </c>
      <c r="E9" s="11">
        <v>0</v>
      </c>
      <c r="F9" s="4">
        <v>42</v>
      </c>
      <c r="G9" s="10">
        <v>0</v>
      </c>
      <c r="H9" s="11">
        <v>1</v>
      </c>
      <c r="I9" s="4">
        <v>16</v>
      </c>
      <c r="J9" s="10">
        <v>1</v>
      </c>
      <c r="K9" s="11">
        <v>2</v>
      </c>
      <c r="L9" s="4">
        <f t="shared" ref="L9:N9" si="6">C9+F9+I9</f>
        <v>72</v>
      </c>
      <c r="M9" s="10">
        <f t="shared" si="6"/>
        <v>2</v>
      </c>
      <c r="N9" s="11">
        <f t="shared" si="6"/>
        <v>3</v>
      </c>
      <c r="O9" s="3">
        <v>148</v>
      </c>
      <c r="P9" s="12">
        <v>2</v>
      </c>
      <c r="Q9" s="13">
        <v>0</v>
      </c>
      <c r="R9" s="3">
        <v>231</v>
      </c>
      <c r="S9" s="12">
        <v>9</v>
      </c>
      <c r="T9" s="13">
        <v>2</v>
      </c>
      <c r="U9" s="3">
        <v>618</v>
      </c>
      <c r="V9" s="12">
        <v>10</v>
      </c>
      <c r="W9" s="13">
        <v>4</v>
      </c>
      <c r="X9" s="4">
        <f t="shared" ref="X9:Z9" si="7">O9+R9+U9</f>
        <v>997</v>
      </c>
      <c r="Y9" s="10">
        <f t="shared" si="7"/>
        <v>21</v>
      </c>
      <c r="Z9" s="11">
        <f t="shared" si="7"/>
        <v>6</v>
      </c>
    </row>
    <row r="10" spans="2:26" ht="11" customHeight="1" x14ac:dyDescent="0.35">
      <c r="B10" s="9" t="s">
        <v>16</v>
      </c>
      <c r="C10" s="4">
        <v>475</v>
      </c>
      <c r="D10" s="10">
        <v>21</v>
      </c>
      <c r="E10" s="11">
        <v>8</v>
      </c>
      <c r="F10" s="4">
        <v>198</v>
      </c>
      <c r="G10" s="10">
        <v>23</v>
      </c>
      <c r="H10" s="11">
        <v>10</v>
      </c>
      <c r="I10" s="4">
        <v>139</v>
      </c>
      <c r="J10" s="10">
        <v>8</v>
      </c>
      <c r="K10" s="11">
        <v>7</v>
      </c>
      <c r="L10" s="4">
        <f t="shared" ref="L10:N10" si="8">C10+F10+I10</f>
        <v>812</v>
      </c>
      <c r="M10" s="10">
        <f t="shared" si="8"/>
        <v>52</v>
      </c>
      <c r="N10" s="11">
        <f t="shared" si="8"/>
        <v>25</v>
      </c>
      <c r="O10" s="3">
        <v>228</v>
      </c>
      <c r="P10" s="12">
        <v>29</v>
      </c>
      <c r="Q10" s="13">
        <v>9</v>
      </c>
      <c r="R10" s="3">
        <v>204</v>
      </c>
      <c r="S10" s="12">
        <v>24</v>
      </c>
      <c r="T10" s="13">
        <v>11</v>
      </c>
      <c r="U10" s="3">
        <v>113</v>
      </c>
      <c r="V10" s="12">
        <v>12</v>
      </c>
      <c r="W10" s="13">
        <v>6</v>
      </c>
      <c r="X10" s="4">
        <f t="shared" ref="X10:Z10" si="9">O10+R10+U10</f>
        <v>545</v>
      </c>
      <c r="Y10" s="10">
        <f t="shared" si="9"/>
        <v>65</v>
      </c>
      <c r="Z10" s="11">
        <f t="shared" si="9"/>
        <v>26</v>
      </c>
    </row>
    <row r="11" spans="2:26" ht="11" customHeight="1" x14ac:dyDescent="0.35">
      <c r="B11" s="9" t="s">
        <v>17</v>
      </c>
      <c r="C11" s="4">
        <v>1120</v>
      </c>
      <c r="D11" s="10">
        <v>152</v>
      </c>
      <c r="E11" s="11">
        <v>61</v>
      </c>
      <c r="F11" s="4">
        <v>778</v>
      </c>
      <c r="G11" s="10">
        <v>76</v>
      </c>
      <c r="H11" s="11">
        <v>16</v>
      </c>
      <c r="I11" s="4">
        <v>843</v>
      </c>
      <c r="J11" s="10">
        <v>118</v>
      </c>
      <c r="K11" s="11">
        <v>35</v>
      </c>
      <c r="L11" s="4">
        <f t="shared" ref="L11:N11" si="10">C11+F11+I11</f>
        <v>2741</v>
      </c>
      <c r="M11" s="10">
        <f t="shared" si="10"/>
        <v>346</v>
      </c>
      <c r="N11" s="11">
        <f t="shared" si="10"/>
        <v>112</v>
      </c>
      <c r="O11" s="3">
        <v>770</v>
      </c>
      <c r="P11" s="12">
        <v>79</v>
      </c>
      <c r="Q11" s="13">
        <v>23</v>
      </c>
      <c r="R11" s="3">
        <v>535</v>
      </c>
      <c r="S11" s="12">
        <v>70</v>
      </c>
      <c r="T11" s="13">
        <v>14</v>
      </c>
      <c r="U11" s="3">
        <v>943</v>
      </c>
      <c r="V11" s="12">
        <v>100</v>
      </c>
      <c r="W11" s="13">
        <v>21</v>
      </c>
      <c r="X11" s="4">
        <f t="shared" ref="X11:Z11" si="11">O11+R11+U11</f>
        <v>2248</v>
      </c>
      <c r="Y11" s="10">
        <f t="shared" si="11"/>
        <v>249</v>
      </c>
      <c r="Z11" s="11">
        <f t="shared" si="11"/>
        <v>58</v>
      </c>
    </row>
    <row r="12" spans="2:26" ht="11" customHeight="1" x14ac:dyDescent="0.35">
      <c r="B12" s="9" t="s">
        <v>18</v>
      </c>
      <c r="C12" s="4">
        <v>48</v>
      </c>
      <c r="D12" s="10">
        <v>22</v>
      </c>
      <c r="E12" s="11">
        <v>0</v>
      </c>
      <c r="F12" s="4">
        <v>70</v>
      </c>
      <c r="G12" s="10">
        <v>23</v>
      </c>
      <c r="H12" s="11">
        <v>0</v>
      </c>
      <c r="I12" s="4">
        <v>231</v>
      </c>
      <c r="J12" s="10">
        <v>11</v>
      </c>
      <c r="K12" s="11">
        <v>8</v>
      </c>
      <c r="L12" s="4">
        <f t="shared" ref="L12:N12" si="12">C12+F12+I12</f>
        <v>349</v>
      </c>
      <c r="M12" s="10">
        <f t="shared" si="12"/>
        <v>56</v>
      </c>
      <c r="N12" s="11">
        <f t="shared" si="12"/>
        <v>8</v>
      </c>
      <c r="O12" s="3">
        <v>257</v>
      </c>
      <c r="P12" s="12">
        <v>1</v>
      </c>
      <c r="Q12" s="13">
        <v>0</v>
      </c>
      <c r="R12" s="3">
        <v>311</v>
      </c>
      <c r="S12" s="12">
        <v>4</v>
      </c>
      <c r="T12" s="13">
        <v>1</v>
      </c>
      <c r="U12" s="3">
        <v>55</v>
      </c>
      <c r="V12" s="12">
        <v>22</v>
      </c>
      <c r="W12" s="13">
        <v>10</v>
      </c>
      <c r="X12" s="4">
        <f t="shared" ref="X12:Z12" si="13">O12+R12+U12</f>
        <v>623</v>
      </c>
      <c r="Y12" s="10">
        <f t="shared" si="13"/>
        <v>27</v>
      </c>
      <c r="Z12" s="11">
        <f t="shared" si="13"/>
        <v>11</v>
      </c>
    </row>
    <row r="13" spans="2:26" ht="11" customHeight="1" x14ac:dyDescent="0.35">
      <c r="B13" s="9" t="s">
        <v>19</v>
      </c>
      <c r="C13" s="4">
        <v>114</v>
      </c>
      <c r="D13" s="10">
        <v>8</v>
      </c>
      <c r="E13" s="11">
        <v>1</v>
      </c>
      <c r="F13" s="4">
        <v>106</v>
      </c>
      <c r="G13" s="10">
        <v>11</v>
      </c>
      <c r="H13" s="11">
        <v>1</v>
      </c>
      <c r="I13" s="4">
        <v>148</v>
      </c>
      <c r="J13" s="10">
        <v>23</v>
      </c>
      <c r="K13" s="11">
        <v>0</v>
      </c>
      <c r="L13" s="4">
        <f t="shared" ref="L13:N13" si="14">C13+F13+I13</f>
        <v>368</v>
      </c>
      <c r="M13" s="10">
        <f t="shared" si="14"/>
        <v>42</v>
      </c>
      <c r="N13" s="11">
        <f t="shared" si="14"/>
        <v>2</v>
      </c>
      <c r="O13" s="3">
        <v>941</v>
      </c>
      <c r="P13" s="12">
        <v>6</v>
      </c>
      <c r="Q13" s="13">
        <v>0</v>
      </c>
      <c r="R13" s="3">
        <v>122</v>
      </c>
      <c r="S13" s="12">
        <v>29</v>
      </c>
      <c r="T13" s="13">
        <v>4</v>
      </c>
      <c r="U13" s="3">
        <v>122</v>
      </c>
      <c r="V13" s="12">
        <v>42</v>
      </c>
      <c r="W13" s="13">
        <v>4</v>
      </c>
      <c r="X13" s="4">
        <f t="shared" ref="X13:Z13" si="15">O13+R13+U13</f>
        <v>1185</v>
      </c>
      <c r="Y13" s="10">
        <f t="shared" si="15"/>
        <v>77</v>
      </c>
      <c r="Z13" s="11">
        <f t="shared" si="15"/>
        <v>8</v>
      </c>
    </row>
    <row r="14" spans="2:26" ht="11" customHeight="1" x14ac:dyDescent="0.35">
      <c r="B14" s="9" t="s">
        <v>20</v>
      </c>
      <c r="C14" s="4">
        <v>0</v>
      </c>
      <c r="D14" s="10">
        <v>1</v>
      </c>
      <c r="E14" s="11">
        <v>5</v>
      </c>
      <c r="F14" s="4">
        <v>1493</v>
      </c>
      <c r="G14" s="10">
        <v>0</v>
      </c>
      <c r="H14" s="11">
        <v>0</v>
      </c>
      <c r="I14" s="4">
        <v>15</v>
      </c>
      <c r="J14" s="10">
        <v>7</v>
      </c>
      <c r="K14" s="11">
        <v>2</v>
      </c>
      <c r="L14" s="4">
        <f t="shared" ref="L14:N14" si="16">C14+F14+I14</f>
        <v>1508</v>
      </c>
      <c r="M14" s="10">
        <f t="shared" si="16"/>
        <v>8</v>
      </c>
      <c r="N14" s="11">
        <f t="shared" si="16"/>
        <v>7</v>
      </c>
      <c r="O14" s="3">
        <v>1082</v>
      </c>
      <c r="P14" s="12">
        <v>16</v>
      </c>
      <c r="Q14" s="13">
        <v>3</v>
      </c>
      <c r="R14" s="3">
        <v>980</v>
      </c>
      <c r="S14" s="12">
        <v>28</v>
      </c>
      <c r="T14" s="13">
        <v>5</v>
      </c>
      <c r="U14" s="3">
        <v>587</v>
      </c>
      <c r="V14" s="12">
        <v>33</v>
      </c>
      <c r="W14" s="13">
        <v>4</v>
      </c>
      <c r="X14" s="4">
        <f t="shared" ref="X14:Z14" si="17">O14+R14+U14</f>
        <v>2649</v>
      </c>
      <c r="Y14" s="10">
        <f t="shared" si="17"/>
        <v>77</v>
      </c>
      <c r="Z14" s="11">
        <f t="shared" si="17"/>
        <v>12</v>
      </c>
    </row>
    <row r="15" spans="2:26" ht="11" customHeight="1" x14ac:dyDescent="0.35">
      <c r="B15" s="9" t="s">
        <v>21</v>
      </c>
      <c r="C15" s="4">
        <v>138</v>
      </c>
      <c r="D15" s="10">
        <v>9</v>
      </c>
      <c r="E15" s="11">
        <v>2</v>
      </c>
      <c r="F15" s="4">
        <v>108</v>
      </c>
      <c r="G15" s="10">
        <v>1</v>
      </c>
      <c r="H15" s="11">
        <v>2</v>
      </c>
      <c r="I15" s="4">
        <v>121</v>
      </c>
      <c r="J15" s="10">
        <v>2</v>
      </c>
      <c r="K15" s="11">
        <v>0</v>
      </c>
      <c r="L15" s="4">
        <f t="shared" ref="L15:N15" si="18">C15+F15+I15</f>
        <v>367</v>
      </c>
      <c r="M15" s="10">
        <f t="shared" si="18"/>
        <v>12</v>
      </c>
      <c r="N15" s="11">
        <f t="shared" si="18"/>
        <v>4</v>
      </c>
      <c r="O15" s="3">
        <v>1218</v>
      </c>
      <c r="P15" s="12">
        <v>3</v>
      </c>
      <c r="Q15" s="13">
        <v>8</v>
      </c>
      <c r="R15" s="3">
        <v>342</v>
      </c>
      <c r="S15" s="12">
        <v>4</v>
      </c>
      <c r="T15" s="13">
        <v>10</v>
      </c>
      <c r="U15" s="3">
        <v>13</v>
      </c>
      <c r="V15" s="12">
        <v>0</v>
      </c>
      <c r="W15" s="13">
        <v>2</v>
      </c>
      <c r="X15" s="4">
        <f t="shared" ref="X15:Z15" si="19">O15+R15+U15</f>
        <v>1573</v>
      </c>
      <c r="Y15" s="10">
        <f t="shared" si="19"/>
        <v>7</v>
      </c>
      <c r="Z15" s="11">
        <f t="shared" si="19"/>
        <v>20</v>
      </c>
    </row>
    <row r="16" spans="2:26" ht="11" customHeight="1" x14ac:dyDescent="0.35">
      <c r="B16" s="9" t="s">
        <v>22</v>
      </c>
      <c r="C16" s="4">
        <v>302</v>
      </c>
      <c r="D16" s="10">
        <v>38</v>
      </c>
      <c r="E16" s="11">
        <v>9</v>
      </c>
      <c r="F16" s="4">
        <v>273</v>
      </c>
      <c r="G16" s="10">
        <v>48</v>
      </c>
      <c r="H16" s="11">
        <v>9</v>
      </c>
      <c r="I16" s="4">
        <v>373</v>
      </c>
      <c r="J16" s="10">
        <v>32</v>
      </c>
      <c r="K16" s="11">
        <v>3</v>
      </c>
      <c r="L16" s="4">
        <f t="shared" ref="L16:N16" si="20">C16+F16+I16</f>
        <v>948</v>
      </c>
      <c r="M16" s="10">
        <f t="shared" si="20"/>
        <v>118</v>
      </c>
      <c r="N16" s="11">
        <f t="shared" si="20"/>
        <v>21</v>
      </c>
      <c r="O16" s="3">
        <v>261</v>
      </c>
      <c r="P16" s="12">
        <v>19</v>
      </c>
      <c r="Q16" s="13">
        <v>3</v>
      </c>
      <c r="R16" s="3">
        <v>172</v>
      </c>
      <c r="S16" s="12">
        <v>27</v>
      </c>
      <c r="T16" s="13">
        <v>5</v>
      </c>
      <c r="U16" s="3">
        <v>157</v>
      </c>
      <c r="V16" s="12">
        <v>25</v>
      </c>
      <c r="W16" s="13">
        <v>4</v>
      </c>
      <c r="X16" s="4">
        <f t="shared" ref="X16:Z16" si="21">O16+R16+U16</f>
        <v>590</v>
      </c>
      <c r="Y16" s="10">
        <f t="shared" si="21"/>
        <v>71</v>
      </c>
      <c r="Z16" s="11">
        <f t="shared" si="21"/>
        <v>12</v>
      </c>
    </row>
    <row r="17" spans="2:26" ht="11" customHeight="1" x14ac:dyDescent="0.35">
      <c r="B17" s="9" t="s">
        <v>23</v>
      </c>
      <c r="C17" s="4">
        <v>66</v>
      </c>
      <c r="D17" s="10">
        <v>3</v>
      </c>
      <c r="E17" s="11">
        <v>2</v>
      </c>
      <c r="F17" s="4">
        <v>15</v>
      </c>
      <c r="G17" s="10">
        <v>4</v>
      </c>
      <c r="H17" s="11">
        <v>0</v>
      </c>
      <c r="I17" s="4">
        <v>22</v>
      </c>
      <c r="J17" s="10">
        <v>5</v>
      </c>
      <c r="K17" s="11">
        <v>0</v>
      </c>
      <c r="L17" s="4">
        <f t="shared" ref="L17:N17" si="22">C17+F17+I17</f>
        <v>103</v>
      </c>
      <c r="M17" s="10">
        <f t="shared" si="22"/>
        <v>12</v>
      </c>
      <c r="N17" s="11">
        <f t="shared" si="22"/>
        <v>2</v>
      </c>
      <c r="O17" s="3">
        <v>25</v>
      </c>
      <c r="P17" s="12">
        <v>1</v>
      </c>
      <c r="Q17" s="13">
        <v>0</v>
      </c>
      <c r="R17" s="3">
        <v>22</v>
      </c>
      <c r="S17" s="12">
        <v>1</v>
      </c>
      <c r="T17" s="13">
        <v>1</v>
      </c>
      <c r="U17" s="3">
        <v>20</v>
      </c>
      <c r="V17" s="12">
        <v>5</v>
      </c>
      <c r="W17" s="13">
        <v>0</v>
      </c>
      <c r="X17" s="4">
        <f t="shared" ref="X17:Z17" si="23">O17+R17+U17</f>
        <v>67</v>
      </c>
      <c r="Y17" s="10">
        <f t="shared" si="23"/>
        <v>7</v>
      </c>
      <c r="Z17" s="11">
        <f t="shared" si="23"/>
        <v>1</v>
      </c>
    </row>
    <row r="18" spans="2:26" ht="11" customHeight="1" x14ac:dyDescent="0.35">
      <c r="B18" s="14" t="s">
        <v>24</v>
      </c>
      <c r="C18" s="5">
        <f t="shared" ref="C18:K18" si="24">SUM(C6:C17)</f>
        <v>2511</v>
      </c>
      <c r="D18" s="7">
        <f t="shared" si="24"/>
        <v>281</v>
      </c>
      <c r="E18" s="8">
        <f t="shared" si="24"/>
        <v>96</v>
      </c>
      <c r="F18" s="5">
        <f t="shared" si="24"/>
        <v>3490</v>
      </c>
      <c r="G18" s="7">
        <f t="shared" si="24"/>
        <v>202</v>
      </c>
      <c r="H18" s="8">
        <f t="shared" si="24"/>
        <v>47</v>
      </c>
      <c r="I18" s="5">
        <f t="shared" si="24"/>
        <v>2160</v>
      </c>
      <c r="J18" s="7">
        <f t="shared" si="24"/>
        <v>250</v>
      </c>
      <c r="K18" s="8">
        <f t="shared" si="24"/>
        <v>59</v>
      </c>
      <c r="L18" s="5">
        <f t="shared" ref="L18:N18" si="25">C18+F18+I18</f>
        <v>8161</v>
      </c>
      <c r="M18" s="7">
        <f t="shared" si="25"/>
        <v>733</v>
      </c>
      <c r="N18" s="8">
        <f t="shared" si="25"/>
        <v>202</v>
      </c>
      <c r="O18" s="5">
        <f t="shared" ref="O18:W18" si="26">SUM(O6:O17)</f>
        <v>5414</v>
      </c>
      <c r="P18" s="7">
        <f t="shared" si="26"/>
        <v>196</v>
      </c>
      <c r="Q18" s="8">
        <f t="shared" si="26"/>
        <v>61</v>
      </c>
      <c r="R18" s="5">
        <f t="shared" si="26"/>
        <v>3421</v>
      </c>
      <c r="S18" s="7">
        <f t="shared" si="26"/>
        <v>211</v>
      </c>
      <c r="T18" s="8">
        <f t="shared" si="26"/>
        <v>67</v>
      </c>
      <c r="U18" s="5">
        <f t="shared" si="26"/>
        <v>3440</v>
      </c>
      <c r="V18" s="7">
        <f t="shared" si="26"/>
        <v>368</v>
      </c>
      <c r="W18" s="8">
        <f t="shared" si="26"/>
        <v>65</v>
      </c>
      <c r="X18" s="5">
        <f t="shared" ref="X18:Z18" si="27">O18+R18+U18</f>
        <v>12275</v>
      </c>
      <c r="Y18" s="7">
        <f t="shared" si="27"/>
        <v>775</v>
      </c>
      <c r="Z18" s="8">
        <f t="shared" si="27"/>
        <v>193</v>
      </c>
    </row>
    <row r="21" spans="2:26" ht="10.5" customHeight="1" x14ac:dyDescent="0.35">
      <c r="B21" s="15" t="s">
        <v>25</v>
      </c>
    </row>
    <row r="22" spans="2:26" ht="10.5" customHeight="1" x14ac:dyDescent="0.35">
      <c r="V22" s="16"/>
      <c r="W22" s="16"/>
      <c r="X22" s="6"/>
      <c r="Y22" s="16"/>
    </row>
    <row r="23" spans="2:26" ht="10.5" customHeight="1" x14ac:dyDescent="0.35">
      <c r="B23" s="149" t="s">
        <v>0</v>
      </c>
      <c r="C23" s="151" t="s">
        <v>4</v>
      </c>
      <c r="D23" s="152"/>
      <c r="E23" s="153"/>
      <c r="F23" s="155" t="s">
        <v>8</v>
      </c>
      <c r="G23" s="152"/>
      <c r="H23" s="153"/>
      <c r="W23" s="16"/>
      <c r="X23" s="6"/>
      <c r="Y23" s="16"/>
    </row>
    <row r="24" spans="2:26" ht="10.5" customHeight="1" x14ac:dyDescent="0.35">
      <c r="B24" s="150"/>
      <c r="C24" s="5" t="s">
        <v>9</v>
      </c>
      <c r="D24" s="7" t="s">
        <v>10</v>
      </c>
      <c r="E24" s="8" t="s">
        <v>11</v>
      </c>
      <c r="F24" s="2" t="s">
        <v>9</v>
      </c>
      <c r="G24" s="7" t="s">
        <v>10</v>
      </c>
      <c r="H24" s="8" t="s">
        <v>11</v>
      </c>
      <c r="W24" s="16"/>
      <c r="X24" s="6"/>
      <c r="Y24" s="16"/>
    </row>
    <row r="25" spans="2:26" ht="10.5" customHeight="1" x14ac:dyDescent="0.35">
      <c r="B25" s="9" t="s">
        <v>12</v>
      </c>
      <c r="C25" s="17">
        <v>119</v>
      </c>
      <c r="D25" s="18">
        <v>1</v>
      </c>
      <c r="E25" s="19">
        <v>1</v>
      </c>
      <c r="F25" s="17">
        <v>998</v>
      </c>
      <c r="G25" s="18">
        <v>40</v>
      </c>
      <c r="H25" s="19">
        <v>19</v>
      </c>
    </row>
    <row r="26" spans="2:26" ht="10.5" customHeight="1" x14ac:dyDescent="0.35">
      <c r="B26" s="9" t="s">
        <v>13</v>
      </c>
      <c r="C26" s="17">
        <v>476</v>
      </c>
      <c r="D26" s="18">
        <v>78</v>
      </c>
      <c r="E26" s="19">
        <v>16</v>
      </c>
      <c r="F26" s="17">
        <v>464</v>
      </c>
      <c r="G26" s="18">
        <v>125</v>
      </c>
      <c r="H26" s="19">
        <v>18</v>
      </c>
    </row>
    <row r="27" spans="2:26" ht="10.5" customHeight="1" x14ac:dyDescent="0.35">
      <c r="B27" s="9" t="s">
        <v>14</v>
      </c>
      <c r="C27" s="17">
        <v>298</v>
      </c>
      <c r="D27" s="18">
        <v>6</v>
      </c>
      <c r="E27" s="19">
        <v>1</v>
      </c>
      <c r="F27" s="17">
        <v>336</v>
      </c>
      <c r="G27" s="18">
        <v>9</v>
      </c>
      <c r="H27" s="19">
        <v>2</v>
      </c>
    </row>
    <row r="28" spans="2:26" ht="10.5" customHeight="1" x14ac:dyDescent="0.35">
      <c r="B28" s="9" t="s">
        <v>15</v>
      </c>
      <c r="C28" s="17">
        <v>72</v>
      </c>
      <c r="D28" s="18">
        <v>2</v>
      </c>
      <c r="E28" s="19">
        <v>3</v>
      </c>
      <c r="F28" s="17">
        <v>997</v>
      </c>
      <c r="G28" s="18">
        <v>21</v>
      </c>
      <c r="H28" s="19">
        <v>6</v>
      </c>
    </row>
    <row r="29" spans="2:26" ht="10.5" customHeight="1" x14ac:dyDescent="0.35">
      <c r="B29" s="9" t="s">
        <v>16</v>
      </c>
      <c r="C29" s="17">
        <v>812</v>
      </c>
      <c r="D29" s="18">
        <v>52</v>
      </c>
      <c r="E29" s="19">
        <v>25</v>
      </c>
      <c r="F29" s="17">
        <v>545</v>
      </c>
      <c r="G29" s="18">
        <v>65</v>
      </c>
      <c r="H29" s="19">
        <v>26</v>
      </c>
    </row>
    <row r="30" spans="2:26" ht="10.5" customHeight="1" x14ac:dyDescent="0.35">
      <c r="B30" s="9" t="s">
        <v>17</v>
      </c>
      <c r="C30" s="17">
        <v>2741</v>
      </c>
      <c r="D30" s="18">
        <v>346</v>
      </c>
      <c r="E30" s="19">
        <v>112</v>
      </c>
      <c r="F30" s="17">
        <v>2248</v>
      </c>
      <c r="G30" s="18">
        <v>249</v>
      </c>
      <c r="H30" s="19">
        <v>58</v>
      </c>
    </row>
    <row r="31" spans="2:26" ht="10.5" customHeight="1" x14ac:dyDescent="0.35">
      <c r="B31" s="9" t="s">
        <v>18</v>
      </c>
      <c r="C31" s="17">
        <v>349</v>
      </c>
      <c r="D31" s="18">
        <v>56</v>
      </c>
      <c r="E31" s="19">
        <v>8</v>
      </c>
      <c r="F31" s="17">
        <v>623</v>
      </c>
      <c r="G31" s="18">
        <v>27</v>
      </c>
      <c r="H31" s="19">
        <v>11</v>
      </c>
    </row>
    <row r="32" spans="2:26" ht="10.5" customHeight="1" x14ac:dyDescent="0.35">
      <c r="B32" s="9" t="s">
        <v>19</v>
      </c>
      <c r="C32" s="17">
        <v>368</v>
      </c>
      <c r="D32" s="18">
        <v>42</v>
      </c>
      <c r="E32" s="19">
        <v>2</v>
      </c>
      <c r="F32" s="17">
        <v>1185</v>
      </c>
      <c r="G32" s="18">
        <v>77</v>
      </c>
      <c r="H32" s="19">
        <v>8</v>
      </c>
    </row>
    <row r="33" spans="2:8" ht="10.5" customHeight="1" x14ac:dyDescent="0.35">
      <c r="B33" s="9" t="s">
        <v>20</v>
      </c>
      <c r="C33" s="17">
        <v>1508</v>
      </c>
      <c r="D33" s="18">
        <v>8</v>
      </c>
      <c r="E33" s="19">
        <v>7</v>
      </c>
      <c r="F33" s="17">
        <v>2649</v>
      </c>
      <c r="G33" s="18">
        <v>77</v>
      </c>
      <c r="H33" s="19">
        <v>12</v>
      </c>
    </row>
    <row r="34" spans="2:8" ht="10.5" customHeight="1" x14ac:dyDescent="0.35">
      <c r="B34" s="9" t="s">
        <v>21</v>
      </c>
      <c r="C34" s="17">
        <v>367</v>
      </c>
      <c r="D34" s="18">
        <v>12</v>
      </c>
      <c r="E34" s="19">
        <v>4</v>
      </c>
      <c r="F34" s="17">
        <v>1573</v>
      </c>
      <c r="G34" s="18">
        <v>7</v>
      </c>
      <c r="H34" s="19">
        <v>20</v>
      </c>
    </row>
    <row r="35" spans="2:8" ht="10.5" customHeight="1" x14ac:dyDescent="0.35">
      <c r="B35" s="9" t="s">
        <v>22</v>
      </c>
      <c r="C35" s="17">
        <v>948</v>
      </c>
      <c r="D35" s="18">
        <v>118</v>
      </c>
      <c r="E35" s="19">
        <v>21</v>
      </c>
      <c r="F35" s="17">
        <v>590</v>
      </c>
      <c r="G35" s="18">
        <v>71</v>
      </c>
      <c r="H35" s="19">
        <v>12</v>
      </c>
    </row>
    <row r="36" spans="2:8" ht="10.5" customHeight="1" x14ac:dyDescent="0.35">
      <c r="B36" s="9" t="s">
        <v>23</v>
      </c>
      <c r="C36" s="17">
        <v>103</v>
      </c>
      <c r="D36" s="18">
        <v>12</v>
      </c>
      <c r="E36" s="19">
        <v>2</v>
      </c>
      <c r="F36" s="17">
        <v>67</v>
      </c>
      <c r="G36" s="18">
        <v>7</v>
      </c>
      <c r="H36" s="19">
        <v>1</v>
      </c>
    </row>
    <row r="37" spans="2:8" ht="10.5" customHeight="1" x14ac:dyDescent="0.35">
      <c r="B37" s="14" t="s">
        <v>24</v>
      </c>
      <c r="C37" s="20">
        <f t="shared" ref="C37:H37" si="28">SUM(C25:C36)</f>
        <v>8161</v>
      </c>
      <c r="D37" s="21">
        <f t="shared" si="28"/>
        <v>733</v>
      </c>
      <c r="E37" s="22">
        <f t="shared" si="28"/>
        <v>202</v>
      </c>
      <c r="F37" s="20">
        <f t="shared" si="28"/>
        <v>12275</v>
      </c>
      <c r="G37" s="21">
        <f t="shared" si="28"/>
        <v>775</v>
      </c>
      <c r="H37" s="22">
        <f t="shared" si="28"/>
        <v>193</v>
      </c>
    </row>
    <row r="38" spans="2:8" ht="10.5" customHeight="1" x14ac:dyDescent="0.35"/>
    <row r="39" spans="2:8" ht="10.5" customHeight="1" x14ac:dyDescent="0.35"/>
    <row r="40" spans="2:8" ht="10.5" customHeight="1" x14ac:dyDescent="0.35"/>
    <row r="41" spans="2:8" ht="10.5" customHeight="1" x14ac:dyDescent="0.35">
      <c r="B41" s="6" t="s">
        <v>26</v>
      </c>
      <c r="C41" s="6" t="s">
        <v>27</v>
      </c>
    </row>
    <row r="42" spans="2:8" ht="10.5" customHeight="1" x14ac:dyDescent="0.35">
      <c r="B42" s="6" t="s">
        <v>28</v>
      </c>
      <c r="C42" s="6" t="s">
        <v>29</v>
      </c>
    </row>
    <row r="43" spans="2:8" ht="10.5" customHeight="1" x14ac:dyDescent="0.35"/>
    <row r="44" spans="2:8" ht="10.5" customHeight="1" x14ac:dyDescent="0.35"/>
    <row r="45" spans="2:8" ht="10.5" customHeight="1" x14ac:dyDescent="0.35">
      <c r="B45" s="23" t="s">
        <v>30</v>
      </c>
      <c r="C45" s="1"/>
      <c r="D45" s="1"/>
    </row>
    <row r="46" spans="2:8" ht="10.5" customHeight="1" x14ac:dyDescent="0.35">
      <c r="B46" s="15"/>
      <c r="C46" s="23"/>
      <c r="D46" s="1"/>
    </row>
    <row r="47" spans="2:8" ht="10.5" customHeight="1" x14ac:dyDescent="0.35">
      <c r="B47" s="15" t="s">
        <v>9</v>
      </c>
      <c r="C47" s="23" t="s">
        <v>31</v>
      </c>
      <c r="D47" s="1"/>
    </row>
    <row r="48" spans="2:8" ht="10.5" customHeight="1" x14ac:dyDescent="0.35">
      <c r="B48" s="146" t="s">
        <v>10</v>
      </c>
      <c r="C48" s="23" t="s">
        <v>32</v>
      </c>
      <c r="D48" s="1"/>
    </row>
    <row r="49" spans="2:4" ht="10.5" customHeight="1" x14ac:dyDescent="0.35">
      <c r="B49" s="147"/>
      <c r="C49" s="23" t="s">
        <v>33</v>
      </c>
      <c r="D49" s="1"/>
    </row>
    <row r="50" spans="2:4" ht="10.5" customHeight="1" x14ac:dyDescent="0.35">
      <c r="B50" s="146" t="s">
        <v>11</v>
      </c>
      <c r="C50" s="24" t="s">
        <v>34</v>
      </c>
      <c r="D50" s="1"/>
    </row>
    <row r="51" spans="2:4" ht="10.5" customHeight="1" x14ac:dyDescent="0.35">
      <c r="B51" s="147"/>
      <c r="C51" s="24" t="s">
        <v>35</v>
      </c>
      <c r="D51" s="1"/>
    </row>
    <row r="52" spans="2:4" ht="10.5" customHeight="1" x14ac:dyDescent="0.35"/>
    <row r="53" spans="2:4" ht="10.5" customHeight="1" x14ac:dyDescent="0.35"/>
    <row r="54" spans="2:4" ht="10.5" customHeight="1" x14ac:dyDescent="0.35"/>
    <row r="55" spans="2:4" ht="10.5" customHeight="1" x14ac:dyDescent="0.35"/>
    <row r="56" spans="2:4" ht="10.5" customHeight="1" x14ac:dyDescent="0.35"/>
    <row r="57" spans="2:4" ht="10.5" customHeight="1" x14ac:dyDescent="0.35"/>
    <row r="58" spans="2:4" ht="10.5" customHeight="1" x14ac:dyDescent="0.35"/>
    <row r="59" spans="2:4" ht="10.5" customHeight="1" x14ac:dyDescent="0.35"/>
    <row r="60" spans="2:4" ht="10.5" customHeight="1" x14ac:dyDescent="0.35"/>
    <row r="61" spans="2:4" ht="10.5" customHeight="1" x14ac:dyDescent="0.35"/>
    <row r="62" spans="2:4" ht="10.5" customHeight="1" x14ac:dyDescent="0.35"/>
    <row r="63" spans="2:4" ht="10.5" customHeight="1" x14ac:dyDescent="0.35"/>
    <row r="64" spans="2:4" ht="10.5" customHeight="1" x14ac:dyDescent="0.35"/>
    <row r="65" ht="10.5" customHeight="1" x14ac:dyDescent="0.35"/>
    <row r="66" ht="10.5" customHeight="1" x14ac:dyDescent="0.35"/>
    <row r="67" ht="10.5" customHeight="1" x14ac:dyDescent="0.35"/>
    <row r="68" ht="10.5" customHeight="1" x14ac:dyDescent="0.35"/>
    <row r="69" ht="10.5" customHeight="1" x14ac:dyDescent="0.35"/>
    <row r="70" ht="10.5" customHeight="1" x14ac:dyDescent="0.35"/>
    <row r="71" ht="10.5" customHeight="1" x14ac:dyDescent="0.35"/>
    <row r="72" ht="10.5" customHeight="1" x14ac:dyDescent="0.35"/>
    <row r="73" ht="10.5" customHeight="1" x14ac:dyDescent="0.35"/>
    <row r="74" ht="10.5" customHeight="1" x14ac:dyDescent="0.35"/>
    <row r="75" ht="10.5" customHeight="1" x14ac:dyDescent="0.35"/>
    <row r="76" ht="10.5" customHeight="1" x14ac:dyDescent="0.35"/>
    <row r="77" ht="10.5" customHeight="1" x14ac:dyDescent="0.35"/>
    <row r="78" ht="10.5" customHeight="1" x14ac:dyDescent="0.35"/>
    <row r="79" ht="10.5" customHeight="1" x14ac:dyDescent="0.35"/>
    <row r="80" ht="10.5" customHeight="1" x14ac:dyDescent="0.35"/>
    <row r="81" ht="10.5" customHeight="1" x14ac:dyDescent="0.35"/>
    <row r="82" ht="10.5" customHeight="1" x14ac:dyDescent="0.35"/>
    <row r="83" ht="10.5" customHeight="1" x14ac:dyDescent="0.35"/>
    <row r="84" ht="10.5" customHeight="1" x14ac:dyDescent="0.35"/>
    <row r="85" ht="10.5" customHeight="1" x14ac:dyDescent="0.35"/>
    <row r="86" ht="10.5" customHeight="1" x14ac:dyDescent="0.35"/>
    <row r="87" ht="10.5" customHeight="1" x14ac:dyDescent="0.35"/>
    <row r="88" ht="10.5" customHeight="1" x14ac:dyDescent="0.35"/>
    <row r="89" ht="10.5" customHeight="1" x14ac:dyDescent="0.35"/>
    <row r="90" ht="10.5" customHeight="1" x14ac:dyDescent="0.35"/>
    <row r="91" ht="10.5" customHeight="1" x14ac:dyDescent="0.35"/>
    <row r="92" ht="10.5" customHeight="1" x14ac:dyDescent="0.35"/>
    <row r="93" ht="10.5" customHeight="1" x14ac:dyDescent="0.35"/>
    <row r="94" ht="10.5" customHeight="1" x14ac:dyDescent="0.35"/>
    <row r="95" ht="10.5" customHeight="1" x14ac:dyDescent="0.35"/>
    <row r="96" ht="10.5" customHeight="1" x14ac:dyDescent="0.35"/>
    <row r="97" ht="10.5" customHeight="1" x14ac:dyDescent="0.35"/>
    <row r="98" ht="10.5" customHeight="1" x14ac:dyDescent="0.35"/>
    <row r="99" ht="10.5" customHeight="1" x14ac:dyDescent="0.35"/>
    <row r="100" ht="10.5" customHeight="1" x14ac:dyDescent="0.35"/>
    <row r="101" ht="10.5" customHeight="1" x14ac:dyDescent="0.35"/>
    <row r="102" ht="10.5" customHeight="1" x14ac:dyDescent="0.35"/>
    <row r="103" ht="10.5" customHeight="1" x14ac:dyDescent="0.35"/>
    <row r="104" ht="10.5" customHeight="1" x14ac:dyDescent="0.35"/>
    <row r="105" ht="10.5" customHeight="1" x14ac:dyDescent="0.35"/>
    <row r="106" ht="10.5" customHeight="1" x14ac:dyDescent="0.35"/>
    <row r="107" ht="10.5" customHeight="1" x14ac:dyDescent="0.35"/>
    <row r="108" ht="10.5" customHeight="1" x14ac:dyDescent="0.35"/>
    <row r="109" ht="10.5" customHeight="1" x14ac:dyDescent="0.35"/>
    <row r="110" ht="10.5" customHeight="1" x14ac:dyDescent="0.35"/>
    <row r="111" ht="10.5" customHeight="1" x14ac:dyDescent="0.35"/>
    <row r="112" ht="10.5" customHeight="1" x14ac:dyDescent="0.35"/>
    <row r="113" ht="10.5" customHeight="1" x14ac:dyDescent="0.35"/>
    <row r="114" ht="10.5" customHeight="1" x14ac:dyDescent="0.35"/>
    <row r="115" ht="10.5" customHeight="1" x14ac:dyDescent="0.35"/>
    <row r="116" ht="10.5" customHeight="1" x14ac:dyDescent="0.35"/>
    <row r="117" ht="10.5" customHeight="1" x14ac:dyDescent="0.35"/>
    <row r="118" ht="10.5" customHeight="1" x14ac:dyDescent="0.35"/>
    <row r="119" ht="10.5" customHeight="1" x14ac:dyDescent="0.35"/>
    <row r="120" ht="10.5" customHeight="1" x14ac:dyDescent="0.35"/>
    <row r="121" ht="10.5" customHeight="1" x14ac:dyDescent="0.35"/>
    <row r="122" ht="10.5" customHeight="1" x14ac:dyDescent="0.35"/>
    <row r="123" ht="10.5" customHeight="1" x14ac:dyDescent="0.35"/>
    <row r="124" ht="10.5" customHeight="1" x14ac:dyDescent="0.35"/>
    <row r="125" ht="10.5" customHeight="1" x14ac:dyDescent="0.35"/>
    <row r="126" ht="10.5" customHeight="1" x14ac:dyDescent="0.35"/>
    <row r="127" ht="10.5" customHeight="1" x14ac:dyDescent="0.35"/>
    <row r="128" ht="10.5" customHeight="1" x14ac:dyDescent="0.35"/>
    <row r="129" ht="10.5" customHeight="1" x14ac:dyDescent="0.35"/>
    <row r="130" ht="10.5" customHeight="1" x14ac:dyDescent="0.35"/>
    <row r="131" ht="10.5" customHeight="1" x14ac:dyDescent="0.35"/>
    <row r="132" ht="10.5" customHeight="1" x14ac:dyDescent="0.35"/>
    <row r="133" ht="10.5" customHeight="1" x14ac:dyDescent="0.35"/>
    <row r="134" ht="10.5" customHeight="1" x14ac:dyDescent="0.35"/>
    <row r="135" ht="10.5" customHeight="1" x14ac:dyDescent="0.35"/>
    <row r="136" ht="10.5" customHeight="1" x14ac:dyDescent="0.35"/>
    <row r="137" ht="10.5" customHeight="1" x14ac:dyDescent="0.35"/>
    <row r="138" ht="10.5" customHeight="1" x14ac:dyDescent="0.35"/>
    <row r="139" ht="10.5" customHeight="1" x14ac:dyDescent="0.35"/>
    <row r="140" ht="10.5" customHeight="1" x14ac:dyDescent="0.35"/>
    <row r="141" ht="10.5" customHeight="1" x14ac:dyDescent="0.35"/>
    <row r="142" ht="10.5" customHeight="1" x14ac:dyDescent="0.35"/>
    <row r="143" ht="10.5" customHeight="1" x14ac:dyDescent="0.35"/>
    <row r="144" ht="10.5" customHeight="1" x14ac:dyDescent="0.35"/>
    <row r="145" ht="10.5" customHeight="1" x14ac:dyDescent="0.35"/>
    <row r="146" ht="10.5" customHeight="1" x14ac:dyDescent="0.35"/>
    <row r="147" ht="10.5" customHeight="1" x14ac:dyDescent="0.35"/>
    <row r="148" ht="10.5" customHeight="1" x14ac:dyDescent="0.35"/>
    <row r="149" ht="10.5" customHeight="1" x14ac:dyDescent="0.35"/>
    <row r="150" ht="10.5" customHeight="1" x14ac:dyDescent="0.35"/>
    <row r="151" ht="10.5" customHeight="1" x14ac:dyDescent="0.35"/>
    <row r="152" ht="10.5" customHeight="1" x14ac:dyDescent="0.35"/>
    <row r="153" ht="10.5" customHeight="1" x14ac:dyDescent="0.35"/>
    <row r="154" ht="10.5" customHeight="1" x14ac:dyDescent="0.35"/>
    <row r="155" ht="10.5" customHeight="1" x14ac:dyDescent="0.35"/>
    <row r="156" ht="10.5" customHeight="1" x14ac:dyDescent="0.35"/>
    <row r="157" ht="10.5" customHeight="1" x14ac:dyDescent="0.35"/>
    <row r="158" ht="10.5" customHeight="1" x14ac:dyDescent="0.35"/>
    <row r="159" ht="10.5" customHeight="1" x14ac:dyDescent="0.35"/>
    <row r="160" ht="10.5" customHeight="1" x14ac:dyDescent="0.35"/>
    <row r="161" ht="10.5" customHeight="1" x14ac:dyDescent="0.35"/>
    <row r="162" ht="10.5" customHeight="1" x14ac:dyDescent="0.35"/>
    <row r="163" ht="10.5" customHeight="1" x14ac:dyDescent="0.35"/>
    <row r="164" ht="10.5" customHeight="1" x14ac:dyDescent="0.35"/>
    <row r="165" ht="10.5" customHeight="1" x14ac:dyDescent="0.35"/>
    <row r="166" ht="10.5" customHeight="1" x14ac:dyDescent="0.35"/>
    <row r="167" ht="10.5" customHeight="1" x14ac:dyDescent="0.35"/>
    <row r="168" ht="10.5" customHeight="1" x14ac:dyDescent="0.35"/>
    <row r="169" ht="10.5" customHeight="1" x14ac:dyDescent="0.35"/>
    <row r="170" ht="10.5" customHeight="1" x14ac:dyDescent="0.35"/>
    <row r="171" ht="10.5" customHeight="1" x14ac:dyDescent="0.35"/>
    <row r="172" ht="10.5" customHeight="1" x14ac:dyDescent="0.35"/>
    <row r="173" ht="10.5" customHeight="1" x14ac:dyDescent="0.35"/>
    <row r="174" ht="10.5" customHeight="1" x14ac:dyDescent="0.35"/>
    <row r="175" ht="10.5" customHeight="1" x14ac:dyDescent="0.35"/>
    <row r="176" ht="10.5" customHeight="1" x14ac:dyDescent="0.35"/>
    <row r="177" ht="10.5" customHeight="1" x14ac:dyDescent="0.35"/>
    <row r="178" ht="10.5" customHeight="1" x14ac:dyDescent="0.35"/>
    <row r="179" ht="10.5" customHeight="1" x14ac:dyDescent="0.35"/>
    <row r="180" ht="10.5" customHeight="1" x14ac:dyDescent="0.35"/>
    <row r="181" ht="10.5" customHeight="1" x14ac:dyDescent="0.35"/>
    <row r="182" ht="10.5" customHeight="1" x14ac:dyDescent="0.35"/>
    <row r="183" ht="10.5" customHeight="1" x14ac:dyDescent="0.35"/>
    <row r="184" ht="10.5" customHeight="1" x14ac:dyDescent="0.35"/>
    <row r="185" ht="10.5" customHeight="1" x14ac:dyDescent="0.35"/>
    <row r="186" ht="10.5" customHeight="1" x14ac:dyDescent="0.35"/>
    <row r="187" ht="10.5" customHeight="1" x14ac:dyDescent="0.35"/>
    <row r="188" ht="10.5" customHeight="1" x14ac:dyDescent="0.35"/>
    <row r="189" ht="10.5" customHeight="1" x14ac:dyDescent="0.35"/>
    <row r="190" ht="10.5" customHeight="1" x14ac:dyDescent="0.35"/>
    <row r="191" ht="10.5" customHeight="1" x14ac:dyDescent="0.35"/>
    <row r="192" ht="10.5" customHeight="1" x14ac:dyDescent="0.35"/>
    <row r="193" ht="10.5" customHeight="1" x14ac:dyDescent="0.35"/>
    <row r="194" ht="10.5" customHeight="1" x14ac:dyDescent="0.35"/>
    <row r="195" ht="10.5" customHeight="1" x14ac:dyDescent="0.35"/>
    <row r="196" ht="10.5" customHeight="1" x14ac:dyDescent="0.35"/>
    <row r="197" ht="10.5" customHeight="1" x14ac:dyDescent="0.35"/>
    <row r="198" ht="10.5" customHeight="1" x14ac:dyDescent="0.35"/>
    <row r="199" ht="10.5" customHeight="1" x14ac:dyDescent="0.35"/>
    <row r="200" ht="10.5" customHeight="1" x14ac:dyDescent="0.35"/>
    <row r="201" ht="10.5" customHeight="1" x14ac:dyDescent="0.35"/>
    <row r="202" ht="10.5" customHeight="1" x14ac:dyDescent="0.35"/>
    <row r="203" ht="10.5" customHeight="1" x14ac:dyDescent="0.35"/>
    <row r="204" ht="10.5" customHeight="1" x14ac:dyDescent="0.35"/>
    <row r="205" ht="10.5" customHeight="1" x14ac:dyDescent="0.35"/>
    <row r="206" ht="10.5" customHeight="1" x14ac:dyDescent="0.35"/>
    <row r="207" ht="10.5" customHeight="1" x14ac:dyDescent="0.35"/>
    <row r="208" ht="10.5" customHeight="1" x14ac:dyDescent="0.35"/>
    <row r="209" ht="10.5" customHeight="1" x14ac:dyDescent="0.35"/>
    <row r="210" ht="10.5" customHeight="1" x14ac:dyDescent="0.35"/>
    <row r="211" ht="10.5" customHeight="1" x14ac:dyDescent="0.35"/>
    <row r="212" ht="10.5" customHeight="1" x14ac:dyDescent="0.35"/>
    <row r="213" ht="10.5" customHeight="1" x14ac:dyDescent="0.35"/>
    <row r="214" ht="10.5" customHeight="1" x14ac:dyDescent="0.35"/>
    <row r="215" ht="10.5" customHeight="1" x14ac:dyDescent="0.35"/>
    <row r="216" ht="10.5" customHeight="1" x14ac:dyDescent="0.35"/>
    <row r="217" ht="10.5" customHeight="1" x14ac:dyDescent="0.35"/>
    <row r="218" ht="10.5" customHeight="1" x14ac:dyDescent="0.35"/>
    <row r="219" ht="10.5" customHeight="1" x14ac:dyDescent="0.35"/>
    <row r="220" ht="10.5" customHeight="1" x14ac:dyDescent="0.35"/>
    <row r="221" ht="10.5" customHeight="1" x14ac:dyDescent="0.35"/>
    <row r="222" ht="10.5" customHeight="1" x14ac:dyDescent="0.35"/>
    <row r="223" ht="10.5" customHeight="1" x14ac:dyDescent="0.35"/>
    <row r="224" ht="10.5" customHeight="1" x14ac:dyDescent="0.35"/>
    <row r="225" ht="10.5" customHeight="1" x14ac:dyDescent="0.35"/>
    <row r="226" ht="10.5" customHeight="1" x14ac:dyDescent="0.35"/>
    <row r="227" ht="10.5" customHeight="1" x14ac:dyDescent="0.35"/>
    <row r="228" ht="10.5" customHeight="1" x14ac:dyDescent="0.35"/>
    <row r="229" ht="10.5" customHeight="1" x14ac:dyDescent="0.35"/>
    <row r="230" ht="10.5" customHeight="1" x14ac:dyDescent="0.35"/>
    <row r="231" ht="10.5" customHeight="1" x14ac:dyDescent="0.35"/>
    <row r="232" ht="10.5" customHeight="1" x14ac:dyDescent="0.35"/>
    <row r="233" ht="10.5" customHeight="1" x14ac:dyDescent="0.35"/>
    <row r="234" ht="10.5" customHeight="1" x14ac:dyDescent="0.35"/>
    <row r="235" ht="10.5" customHeight="1" x14ac:dyDescent="0.35"/>
    <row r="236" ht="10.5" customHeight="1" x14ac:dyDescent="0.35"/>
    <row r="237" ht="10.5" customHeight="1" x14ac:dyDescent="0.35"/>
    <row r="238" ht="10.5" customHeight="1" x14ac:dyDescent="0.35"/>
    <row r="239" ht="10.5" customHeight="1" x14ac:dyDescent="0.35"/>
    <row r="240" ht="10.5" customHeight="1" x14ac:dyDescent="0.35"/>
    <row r="241" ht="10.5" customHeight="1" x14ac:dyDescent="0.35"/>
    <row r="242" ht="10.5" customHeight="1" x14ac:dyDescent="0.35"/>
    <row r="243" ht="10.5" customHeight="1" x14ac:dyDescent="0.35"/>
    <row r="244" ht="10.5" customHeight="1" x14ac:dyDescent="0.35"/>
    <row r="245" ht="10.5" customHeight="1" x14ac:dyDescent="0.35"/>
    <row r="246" ht="10.5" customHeight="1" x14ac:dyDescent="0.35"/>
    <row r="247" ht="10.5" customHeight="1" x14ac:dyDescent="0.35"/>
    <row r="248" ht="10.5" customHeight="1" x14ac:dyDescent="0.35"/>
    <row r="249" ht="10.5" customHeight="1" x14ac:dyDescent="0.35"/>
    <row r="250" ht="10.5" customHeight="1" x14ac:dyDescent="0.35"/>
    <row r="251" ht="10.5" customHeight="1" x14ac:dyDescent="0.35"/>
    <row r="252" ht="10.5" customHeight="1" x14ac:dyDescent="0.35"/>
    <row r="253" ht="10.5" customHeight="1" x14ac:dyDescent="0.35"/>
    <row r="254" ht="10.5" customHeight="1" x14ac:dyDescent="0.35"/>
    <row r="255" ht="10.5" customHeight="1" x14ac:dyDescent="0.35"/>
    <row r="256" ht="10.5" customHeight="1" x14ac:dyDescent="0.35"/>
    <row r="257" ht="10.5" customHeight="1" x14ac:dyDescent="0.35"/>
    <row r="258" ht="10.5" customHeight="1" x14ac:dyDescent="0.35"/>
    <row r="259" ht="10.5" customHeight="1" x14ac:dyDescent="0.35"/>
    <row r="260" ht="10.5" customHeight="1" x14ac:dyDescent="0.35"/>
    <row r="261" ht="10.5" customHeight="1" x14ac:dyDescent="0.35"/>
    <row r="262" ht="10.5" customHeight="1" x14ac:dyDescent="0.35"/>
    <row r="263" ht="10.5" customHeight="1" x14ac:dyDescent="0.35"/>
    <row r="264" ht="10.5" customHeight="1" x14ac:dyDescent="0.35"/>
    <row r="265" ht="10.5" customHeight="1" x14ac:dyDescent="0.35"/>
    <row r="266" ht="10.5" customHeight="1" x14ac:dyDescent="0.35"/>
    <row r="267" ht="10.5" customHeight="1" x14ac:dyDescent="0.35"/>
    <row r="268" ht="10.5" customHeight="1" x14ac:dyDescent="0.35"/>
    <row r="269" ht="10.5" customHeight="1" x14ac:dyDescent="0.35"/>
    <row r="270" ht="10.5" customHeight="1" x14ac:dyDescent="0.35"/>
    <row r="271" ht="10.5" customHeight="1" x14ac:dyDescent="0.35"/>
    <row r="272" ht="10.5" customHeight="1" x14ac:dyDescent="0.35"/>
    <row r="273" ht="10.5" customHeight="1" x14ac:dyDescent="0.35"/>
    <row r="274" ht="10.5" customHeight="1" x14ac:dyDescent="0.35"/>
    <row r="275" ht="10.5" customHeight="1" x14ac:dyDescent="0.35"/>
    <row r="276" ht="10.5" customHeight="1" x14ac:dyDescent="0.35"/>
    <row r="277" ht="10.5" customHeight="1" x14ac:dyDescent="0.35"/>
    <row r="278" ht="10.5" customHeight="1" x14ac:dyDescent="0.35"/>
    <row r="279" ht="10.5" customHeight="1" x14ac:dyDescent="0.35"/>
    <row r="280" ht="10.5" customHeight="1" x14ac:dyDescent="0.35"/>
    <row r="281" ht="10.5" customHeight="1" x14ac:dyDescent="0.35"/>
    <row r="282" ht="10.5" customHeight="1" x14ac:dyDescent="0.35"/>
    <row r="283" ht="10.5" customHeight="1" x14ac:dyDescent="0.35"/>
    <row r="284" ht="10.5" customHeight="1" x14ac:dyDescent="0.35"/>
    <row r="285" ht="10.5" customHeight="1" x14ac:dyDescent="0.35"/>
    <row r="286" ht="10.5" customHeight="1" x14ac:dyDescent="0.35"/>
    <row r="287" ht="10.5" customHeight="1" x14ac:dyDescent="0.35"/>
    <row r="288" ht="10.5" customHeight="1" x14ac:dyDescent="0.35"/>
    <row r="289" ht="10.5" customHeight="1" x14ac:dyDescent="0.35"/>
    <row r="290" ht="10.5" customHeight="1" x14ac:dyDescent="0.35"/>
    <row r="291" ht="10.5" customHeight="1" x14ac:dyDescent="0.35"/>
    <row r="292" ht="10.5" customHeight="1" x14ac:dyDescent="0.35"/>
    <row r="293" ht="10.5" customHeight="1" x14ac:dyDescent="0.35"/>
    <row r="294" ht="10.5" customHeight="1" x14ac:dyDescent="0.35"/>
    <row r="295" ht="10.5" customHeight="1" x14ac:dyDescent="0.35"/>
    <row r="296" ht="10.5" customHeight="1" x14ac:dyDescent="0.35"/>
    <row r="297" ht="10.5" customHeight="1" x14ac:dyDescent="0.35"/>
    <row r="298" ht="10.5" customHeight="1" x14ac:dyDescent="0.35"/>
    <row r="299" ht="10.5" customHeight="1" x14ac:dyDescent="0.35"/>
    <row r="300" ht="10.5" customHeight="1" x14ac:dyDescent="0.35"/>
    <row r="301" ht="10.5" customHeight="1" x14ac:dyDescent="0.35"/>
    <row r="302" ht="10.5" customHeight="1" x14ac:dyDescent="0.35"/>
    <row r="303" ht="10.5" customHeight="1" x14ac:dyDescent="0.35"/>
    <row r="304" ht="10.5" customHeight="1" x14ac:dyDescent="0.35"/>
    <row r="305" ht="10.5" customHeight="1" x14ac:dyDescent="0.35"/>
    <row r="306" ht="10.5" customHeight="1" x14ac:dyDescent="0.35"/>
    <row r="307" ht="10.5" customHeight="1" x14ac:dyDescent="0.35"/>
    <row r="308" ht="10.5" customHeight="1" x14ac:dyDescent="0.35"/>
    <row r="309" ht="10.5" customHeight="1" x14ac:dyDescent="0.35"/>
    <row r="310" ht="10.5" customHeight="1" x14ac:dyDescent="0.35"/>
    <row r="311" ht="10.5" customHeight="1" x14ac:dyDescent="0.35"/>
    <row r="312" ht="10.5" customHeight="1" x14ac:dyDescent="0.35"/>
    <row r="313" ht="10.5" customHeight="1" x14ac:dyDescent="0.35"/>
    <row r="314" ht="10.5" customHeight="1" x14ac:dyDescent="0.35"/>
    <row r="315" ht="10.5" customHeight="1" x14ac:dyDescent="0.35"/>
    <row r="316" ht="10.5" customHeight="1" x14ac:dyDescent="0.35"/>
    <row r="317" ht="10.5" customHeight="1" x14ac:dyDescent="0.35"/>
    <row r="318" ht="10.5" customHeight="1" x14ac:dyDescent="0.35"/>
    <row r="319" ht="10.5" customHeight="1" x14ac:dyDescent="0.35"/>
    <row r="320" ht="10.5" customHeight="1" x14ac:dyDescent="0.35"/>
    <row r="321" ht="10.5" customHeight="1" x14ac:dyDescent="0.35"/>
    <row r="322" ht="10.5" customHeight="1" x14ac:dyDescent="0.35"/>
    <row r="323" ht="10.5" customHeight="1" x14ac:dyDescent="0.35"/>
    <row r="324" ht="10.5" customHeight="1" x14ac:dyDescent="0.35"/>
    <row r="325" ht="10.5" customHeight="1" x14ac:dyDescent="0.35"/>
    <row r="326" ht="10.5" customHeight="1" x14ac:dyDescent="0.35"/>
    <row r="327" ht="10.5" customHeight="1" x14ac:dyDescent="0.35"/>
    <row r="328" ht="10.5" customHeight="1" x14ac:dyDescent="0.35"/>
    <row r="329" ht="10.5" customHeight="1" x14ac:dyDescent="0.35"/>
    <row r="330" ht="10.5" customHeight="1" x14ac:dyDescent="0.35"/>
    <row r="331" ht="10.5" customHeight="1" x14ac:dyDescent="0.35"/>
    <row r="332" ht="10.5" customHeight="1" x14ac:dyDescent="0.35"/>
    <row r="333" ht="10.5" customHeight="1" x14ac:dyDescent="0.35"/>
    <row r="334" ht="10.5" customHeight="1" x14ac:dyDescent="0.35"/>
    <row r="335" ht="10.5" customHeight="1" x14ac:dyDescent="0.35"/>
    <row r="336" ht="10.5" customHeight="1" x14ac:dyDescent="0.35"/>
    <row r="337" ht="10.5" customHeight="1" x14ac:dyDescent="0.35"/>
    <row r="338" ht="10.5" customHeight="1" x14ac:dyDescent="0.35"/>
    <row r="339" ht="10.5" customHeight="1" x14ac:dyDescent="0.35"/>
    <row r="340" ht="10.5" customHeight="1" x14ac:dyDescent="0.35"/>
    <row r="341" ht="10.5" customHeight="1" x14ac:dyDescent="0.35"/>
    <row r="342" ht="10.5" customHeight="1" x14ac:dyDescent="0.35"/>
    <row r="343" ht="10.5" customHeight="1" x14ac:dyDescent="0.35"/>
    <row r="344" ht="10.5" customHeight="1" x14ac:dyDescent="0.35"/>
    <row r="345" ht="10.5" customHeight="1" x14ac:dyDescent="0.35"/>
    <row r="346" ht="10.5" customHeight="1" x14ac:dyDescent="0.35"/>
    <row r="347" ht="10.5" customHeight="1" x14ac:dyDescent="0.35"/>
    <row r="348" ht="10.5" customHeight="1" x14ac:dyDescent="0.35"/>
    <row r="349" ht="10.5" customHeight="1" x14ac:dyDescent="0.35"/>
    <row r="350" ht="10.5" customHeight="1" x14ac:dyDescent="0.35"/>
    <row r="351" ht="10.5" customHeight="1" x14ac:dyDescent="0.35"/>
    <row r="352" ht="10.5" customHeight="1" x14ac:dyDescent="0.35"/>
    <row r="353" ht="10.5" customHeight="1" x14ac:dyDescent="0.35"/>
    <row r="354" ht="10.5" customHeight="1" x14ac:dyDescent="0.35"/>
    <row r="355" ht="10.5" customHeight="1" x14ac:dyDescent="0.35"/>
    <row r="356" ht="10.5" customHeight="1" x14ac:dyDescent="0.35"/>
    <row r="357" ht="10.5" customHeight="1" x14ac:dyDescent="0.35"/>
    <row r="358" ht="10.5" customHeight="1" x14ac:dyDescent="0.35"/>
    <row r="359" ht="10.5" customHeight="1" x14ac:dyDescent="0.35"/>
    <row r="360" ht="10.5" customHeight="1" x14ac:dyDescent="0.35"/>
    <row r="361" ht="10.5" customHeight="1" x14ac:dyDescent="0.35"/>
    <row r="362" ht="10.5" customHeight="1" x14ac:dyDescent="0.35"/>
    <row r="363" ht="10.5" customHeight="1" x14ac:dyDescent="0.35"/>
    <row r="364" ht="10.5" customHeight="1" x14ac:dyDescent="0.35"/>
    <row r="365" ht="10.5" customHeight="1" x14ac:dyDescent="0.35"/>
    <row r="366" ht="10.5" customHeight="1" x14ac:dyDescent="0.35"/>
    <row r="367" ht="10.5" customHeight="1" x14ac:dyDescent="0.35"/>
    <row r="368" ht="10.5" customHeight="1" x14ac:dyDescent="0.35"/>
    <row r="369" ht="10.5" customHeight="1" x14ac:dyDescent="0.35"/>
    <row r="370" ht="10.5" customHeight="1" x14ac:dyDescent="0.35"/>
    <row r="371" ht="10.5" customHeight="1" x14ac:dyDescent="0.35"/>
    <row r="372" ht="10.5" customHeight="1" x14ac:dyDescent="0.35"/>
    <row r="373" ht="10.5" customHeight="1" x14ac:dyDescent="0.35"/>
    <row r="374" ht="10.5" customHeight="1" x14ac:dyDescent="0.35"/>
    <row r="375" ht="10.5" customHeight="1" x14ac:dyDescent="0.35"/>
    <row r="376" ht="10.5" customHeight="1" x14ac:dyDescent="0.35"/>
    <row r="377" ht="10.5" customHeight="1" x14ac:dyDescent="0.35"/>
    <row r="378" ht="10.5" customHeight="1" x14ac:dyDescent="0.35"/>
    <row r="379" ht="10.5" customHeight="1" x14ac:dyDescent="0.35"/>
    <row r="380" ht="10.5" customHeight="1" x14ac:dyDescent="0.35"/>
    <row r="381" ht="10.5" customHeight="1" x14ac:dyDescent="0.35"/>
    <row r="382" ht="10.5" customHeight="1" x14ac:dyDescent="0.35"/>
    <row r="383" ht="10.5" customHeight="1" x14ac:dyDescent="0.35"/>
    <row r="384" ht="10.5" customHeight="1" x14ac:dyDescent="0.35"/>
    <row r="385" ht="10.5" customHeight="1" x14ac:dyDescent="0.35"/>
    <row r="386" ht="10.5" customHeight="1" x14ac:dyDescent="0.35"/>
    <row r="387" ht="10.5" customHeight="1" x14ac:dyDescent="0.35"/>
    <row r="388" ht="10.5" customHeight="1" x14ac:dyDescent="0.35"/>
    <row r="389" ht="10.5" customHeight="1" x14ac:dyDescent="0.35"/>
    <row r="390" ht="10.5" customHeight="1" x14ac:dyDescent="0.35"/>
    <row r="391" ht="10.5" customHeight="1" x14ac:dyDescent="0.35"/>
    <row r="392" ht="10.5" customHeight="1" x14ac:dyDescent="0.35"/>
    <row r="393" ht="10.5" customHeight="1" x14ac:dyDescent="0.35"/>
    <row r="394" ht="10.5" customHeight="1" x14ac:dyDescent="0.35"/>
    <row r="395" ht="10.5" customHeight="1" x14ac:dyDescent="0.35"/>
    <row r="396" ht="10.5" customHeight="1" x14ac:dyDescent="0.35"/>
    <row r="397" ht="10.5" customHeight="1" x14ac:dyDescent="0.35"/>
    <row r="398" ht="10.5" customHeight="1" x14ac:dyDescent="0.35"/>
    <row r="399" ht="10.5" customHeight="1" x14ac:dyDescent="0.35"/>
    <row r="400" ht="10.5" customHeight="1" x14ac:dyDescent="0.35"/>
    <row r="401" ht="10.5" customHeight="1" x14ac:dyDescent="0.35"/>
    <row r="402" ht="10.5" customHeight="1" x14ac:dyDescent="0.35"/>
    <row r="403" ht="10.5" customHeight="1" x14ac:dyDescent="0.35"/>
    <row r="404" ht="10.5" customHeight="1" x14ac:dyDescent="0.35"/>
    <row r="405" ht="10.5" customHeight="1" x14ac:dyDescent="0.35"/>
    <row r="406" ht="10.5" customHeight="1" x14ac:dyDescent="0.35"/>
    <row r="407" ht="10.5" customHeight="1" x14ac:dyDescent="0.35"/>
    <row r="408" ht="10.5" customHeight="1" x14ac:dyDescent="0.35"/>
    <row r="409" ht="10.5" customHeight="1" x14ac:dyDescent="0.35"/>
    <row r="410" ht="10.5" customHeight="1" x14ac:dyDescent="0.35"/>
    <row r="411" ht="10.5" customHeight="1" x14ac:dyDescent="0.35"/>
    <row r="412" ht="10.5" customHeight="1" x14ac:dyDescent="0.35"/>
    <row r="413" ht="10.5" customHeight="1" x14ac:dyDescent="0.35"/>
    <row r="414" ht="10.5" customHeight="1" x14ac:dyDescent="0.35"/>
    <row r="415" ht="10.5" customHeight="1" x14ac:dyDescent="0.35"/>
    <row r="416" ht="10.5" customHeight="1" x14ac:dyDescent="0.35"/>
    <row r="417" ht="10.5" customHeight="1" x14ac:dyDescent="0.35"/>
    <row r="418" ht="10.5" customHeight="1" x14ac:dyDescent="0.35"/>
    <row r="419" ht="10.5" customHeight="1" x14ac:dyDescent="0.35"/>
    <row r="420" ht="10.5" customHeight="1" x14ac:dyDescent="0.35"/>
    <row r="421" ht="10.5" customHeight="1" x14ac:dyDescent="0.35"/>
    <row r="422" ht="10.5" customHeight="1" x14ac:dyDescent="0.35"/>
    <row r="423" ht="10.5" customHeight="1" x14ac:dyDescent="0.35"/>
    <row r="424" ht="10.5" customHeight="1" x14ac:dyDescent="0.35"/>
    <row r="425" ht="10.5" customHeight="1" x14ac:dyDescent="0.35"/>
    <row r="426" ht="10.5" customHeight="1" x14ac:dyDescent="0.35"/>
    <row r="427" ht="10.5" customHeight="1" x14ac:dyDescent="0.35"/>
    <row r="428" ht="10.5" customHeight="1" x14ac:dyDescent="0.35"/>
    <row r="429" ht="10.5" customHeight="1" x14ac:dyDescent="0.35"/>
    <row r="430" ht="10.5" customHeight="1" x14ac:dyDescent="0.35"/>
    <row r="431" ht="10.5" customHeight="1" x14ac:dyDescent="0.35"/>
    <row r="432" ht="10.5" customHeight="1" x14ac:dyDescent="0.35"/>
    <row r="433" ht="10.5" customHeight="1" x14ac:dyDescent="0.35"/>
    <row r="434" ht="10.5" customHeight="1" x14ac:dyDescent="0.35"/>
    <row r="435" ht="10.5" customHeight="1" x14ac:dyDescent="0.35"/>
    <row r="436" ht="10.5" customHeight="1" x14ac:dyDescent="0.35"/>
    <row r="437" ht="10.5" customHeight="1" x14ac:dyDescent="0.35"/>
    <row r="438" ht="10.5" customHeight="1" x14ac:dyDescent="0.35"/>
    <row r="439" ht="10.5" customHeight="1" x14ac:dyDescent="0.35"/>
    <row r="440" ht="10.5" customHeight="1" x14ac:dyDescent="0.35"/>
    <row r="441" ht="10.5" customHeight="1" x14ac:dyDescent="0.35"/>
    <row r="442" ht="10.5" customHeight="1" x14ac:dyDescent="0.35"/>
    <row r="443" ht="10.5" customHeight="1" x14ac:dyDescent="0.35"/>
    <row r="444" ht="10.5" customHeight="1" x14ac:dyDescent="0.35"/>
    <row r="445" ht="10.5" customHeight="1" x14ac:dyDescent="0.35"/>
    <row r="446" ht="10.5" customHeight="1" x14ac:dyDescent="0.35"/>
    <row r="447" ht="10.5" customHeight="1" x14ac:dyDescent="0.35"/>
    <row r="448" ht="10.5" customHeight="1" x14ac:dyDescent="0.35"/>
    <row r="449" ht="10.5" customHeight="1" x14ac:dyDescent="0.35"/>
    <row r="450" ht="10.5" customHeight="1" x14ac:dyDescent="0.35"/>
    <row r="451" ht="10.5" customHeight="1" x14ac:dyDescent="0.35"/>
    <row r="452" ht="10.5" customHeight="1" x14ac:dyDescent="0.35"/>
    <row r="453" ht="10.5" customHeight="1" x14ac:dyDescent="0.35"/>
    <row r="454" ht="10.5" customHeight="1" x14ac:dyDescent="0.35"/>
    <row r="455" ht="10.5" customHeight="1" x14ac:dyDescent="0.35"/>
    <row r="456" ht="10.5" customHeight="1" x14ac:dyDescent="0.35"/>
    <row r="457" ht="10.5" customHeight="1" x14ac:dyDescent="0.35"/>
    <row r="458" ht="10.5" customHeight="1" x14ac:dyDescent="0.35"/>
    <row r="459" ht="10.5" customHeight="1" x14ac:dyDescent="0.35"/>
    <row r="460" ht="10.5" customHeight="1" x14ac:dyDescent="0.35"/>
    <row r="461" ht="10.5" customHeight="1" x14ac:dyDescent="0.35"/>
    <row r="462" ht="10.5" customHeight="1" x14ac:dyDescent="0.35"/>
    <row r="463" ht="10.5" customHeight="1" x14ac:dyDescent="0.35"/>
    <row r="464" ht="10.5" customHeight="1" x14ac:dyDescent="0.35"/>
    <row r="465" ht="10.5" customHeight="1" x14ac:dyDescent="0.35"/>
    <row r="466" ht="10.5" customHeight="1" x14ac:dyDescent="0.35"/>
    <row r="467" ht="10.5" customHeight="1" x14ac:dyDescent="0.35"/>
    <row r="468" ht="10.5" customHeight="1" x14ac:dyDescent="0.35"/>
    <row r="469" ht="10.5" customHeight="1" x14ac:dyDescent="0.35"/>
    <row r="470" ht="10.5" customHeight="1" x14ac:dyDescent="0.35"/>
    <row r="471" ht="10.5" customHeight="1" x14ac:dyDescent="0.35"/>
    <row r="472" ht="10.5" customHeight="1" x14ac:dyDescent="0.35"/>
    <row r="473" ht="10.5" customHeight="1" x14ac:dyDescent="0.35"/>
    <row r="474" ht="10.5" customHeight="1" x14ac:dyDescent="0.35"/>
    <row r="475" ht="10.5" customHeight="1" x14ac:dyDescent="0.35"/>
    <row r="476" ht="10.5" customHeight="1" x14ac:dyDescent="0.35"/>
    <row r="477" ht="10.5" customHeight="1" x14ac:dyDescent="0.35"/>
    <row r="478" ht="10.5" customHeight="1" x14ac:dyDescent="0.35"/>
    <row r="479" ht="10.5" customHeight="1" x14ac:dyDescent="0.35"/>
    <row r="480" ht="10.5" customHeight="1" x14ac:dyDescent="0.35"/>
    <row r="481" ht="10.5" customHeight="1" x14ac:dyDescent="0.35"/>
    <row r="482" ht="10.5" customHeight="1" x14ac:dyDescent="0.35"/>
    <row r="483" ht="10.5" customHeight="1" x14ac:dyDescent="0.35"/>
    <row r="484" ht="10.5" customHeight="1" x14ac:dyDescent="0.35"/>
    <row r="485" ht="10.5" customHeight="1" x14ac:dyDescent="0.35"/>
    <row r="486" ht="10.5" customHeight="1" x14ac:dyDescent="0.35"/>
    <row r="487" ht="10.5" customHeight="1" x14ac:dyDescent="0.35"/>
    <row r="488" ht="10.5" customHeight="1" x14ac:dyDescent="0.35"/>
    <row r="489" ht="10.5" customHeight="1" x14ac:dyDescent="0.35"/>
    <row r="490" ht="10.5" customHeight="1" x14ac:dyDescent="0.35"/>
    <row r="491" ht="10.5" customHeight="1" x14ac:dyDescent="0.35"/>
    <row r="492" ht="10.5" customHeight="1" x14ac:dyDescent="0.35"/>
    <row r="493" ht="10.5" customHeight="1" x14ac:dyDescent="0.35"/>
    <row r="494" ht="10.5" customHeight="1" x14ac:dyDescent="0.35"/>
    <row r="495" ht="10.5" customHeight="1" x14ac:dyDescent="0.35"/>
    <row r="496" ht="10.5" customHeight="1" x14ac:dyDescent="0.35"/>
    <row r="497" ht="10.5" customHeight="1" x14ac:dyDescent="0.35"/>
    <row r="498" ht="10.5" customHeight="1" x14ac:dyDescent="0.35"/>
    <row r="499" ht="10.5" customHeight="1" x14ac:dyDescent="0.35"/>
    <row r="500" ht="10.5" customHeight="1" x14ac:dyDescent="0.35"/>
    <row r="501" ht="10.5" customHeight="1" x14ac:dyDescent="0.35"/>
    <row r="502" ht="10.5" customHeight="1" x14ac:dyDescent="0.35"/>
    <row r="503" ht="10.5" customHeight="1" x14ac:dyDescent="0.35"/>
    <row r="504" ht="10.5" customHeight="1" x14ac:dyDescent="0.35"/>
    <row r="505" ht="10.5" customHeight="1" x14ac:dyDescent="0.35"/>
    <row r="506" ht="10.5" customHeight="1" x14ac:dyDescent="0.35"/>
    <row r="507" ht="10.5" customHeight="1" x14ac:dyDescent="0.35"/>
    <row r="508" ht="10.5" customHeight="1" x14ac:dyDescent="0.35"/>
    <row r="509" ht="10.5" customHeight="1" x14ac:dyDescent="0.35"/>
    <row r="510" ht="10.5" customHeight="1" x14ac:dyDescent="0.35"/>
    <row r="511" ht="10.5" customHeight="1" x14ac:dyDescent="0.35"/>
    <row r="512" ht="10.5" customHeight="1" x14ac:dyDescent="0.35"/>
    <row r="513" ht="10.5" customHeight="1" x14ac:dyDescent="0.35"/>
    <row r="514" ht="10.5" customHeight="1" x14ac:dyDescent="0.35"/>
    <row r="515" ht="10.5" customHeight="1" x14ac:dyDescent="0.35"/>
    <row r="516" ht="10.5" customHeight="1" x14ac:dyDescent="0.35"/>
    <row r="517" ht="10.5" customHeight="1" x14ac:dyDescent="0.35"/>
    <row r="518" ht="10.5" customHeight="1" x14ac:dyDescent="0.35"/>
    <row r="519" ht="10.5" customHeight="1" x14ac:dyDescent="0.35"/>
    <row r="520" ht="10.5" customHeight="1" x14ac:dyDescent="0.35"/>
    <row r="521" ht="10.5" customHeight="1" x14ac:dyDescent="0.35"/>
    <row r="522" ht="10.5" customHeight="1" x14ac:dyDescent="0.35"/>
    <row r="523" ht="10.5" customHeight="1" x14ac:dyDescent="0.35"/>
    <row r="524" ht="10.5" customHeight="1" x14ac:dyDescent="0.35"/>
    <row r="525" ht="10.5" customHeight="1" x14ac:dyDescent="0.35"/>
    <row r="526" ht="10.5" customHeight="1" x14ac:dyDescent="0.35"/>
    <row r="527" ht="10.5" customHeight="1" x14ac:dyDescent="0.35"/>
    <row r="528" ht="10.5" customHeight="1" x14ac:dyDescent="0.35"/>
    <row r="529" ht="10.5" customHeight="1" x14ac:dyDescent="0.35"/>
    <row r="530" ht="10.5" customHeight="1" x14ac:dyDescent="0.35"/>
    <row r="531" ht="10.5" customHeight="1" x14ac:dyDescent="0.35"/>
    <row r="532" ht="10.5" customHeight="1" x14ac:dyDescent="0.35"/>
    <row r="533" ht="10.5" customHeight="1" x14ac:dyDescent="0.35"/>
    <row r="534" ht="10.5" customHeight="1" x14ac:dyDescent="0.35"/>
    <row r="535" ht="10.5" customHeight="1" x14ac:dyDescent="0.35"/>
    <row r="536" ht="10.5" customHeight="1" x14ac:dyDescent="0.35"/>
    <row r="537" ht="10.5" customHeight="1" x14ac:dyDescent="0.35"/>
    <row r="538" ht="10.5" customHeight="1" x14ac:dyDescent="0.35"/>
    <row r="539" ht="10.5" customHeight="1" x14ac:dyDescent="0.35"/>
    <row r="540" ht="10.5" customHeight="1" x14ac:dyDescent="0.35"/>
    <row r="541" ht="10.5" customHeight="1" x14ac:dyDescent="0.35"/>
    <row r="542" ht="10.5" customHeight="1" x14ac:dyDescent="0.35"/>
    <row r="543" ht="10.5" customHeight="1" x14ac:dyDescent="0.35"/>
    <row r="544" ht="10.5" customHeight="1" x14ac:dyDescent="0.35"/>
    <row r="545" ht="10.5" customHeight="1" x14ac:dyDescent="0.35"/>
    <row r="546" ht="10.5" customHeight="1" x14ac:dyDescent="0.35"/>
    <row r="547" ht="10.5" customHeight="1" x14ac:dyDescent="0.35"/>
    <row r="548" ht="10.5" customHeight="1" x14ac:dyDescent="0.35"/>
    <row r="549" ht="10.5" customHeight="1" x14ac:dyDescent="0.35"/>
    <row r="550" ht="10.5" customHeight="1" x14ac:dyDescent="0.35"/>
    <row r="551" ht="10.5" customHeight="1" x14ac:dyDescent="0.35"/>
    <row r="552" ht="10.5" customHeight="1" x14ac:dyDescent="0.35"/>
    <row r="553" ht="10.5" customHeight="1" x14ac:dyDescent="0.35"/>
    <row r="554" ht="10.5" customHeight="1" x14ac:dyDescent="0.35"/>
    <row r="555" ht="10.5" customHeight="1" x14ac:dyDescent="0.35"/>
    <row r="556" ht="10.5" customHeight="1" x14ac:dyDescent="0.35"/>
    <row r="557" ht="10.5" customHeight="1" x14ac:dyDescent="0.35"/>
    <row r="558" ht="10.5" customHeight="1" x14ac:dyDescent="0.35"/>
    <row r="559" ht="10.5" customHeight="1" x14ac:dyDescent="0.35"/>
    <row r="560" ht="10.5" customHeight="1" x14ac:dyDescent="0.35"/>
    <row r="561" ht="10.5" customHeight="1" x14ac:dyDescent="0.35"/>
    <row r="562" ht="10.5" customHeight="1" x14ac:dyDescent="0.35"/>
    <row r="563" ht="10.5" customHeight="1" x14ac:dyDescent="0.35"/>
    <row r="564" ht="10.5" customHeight="1" x14ac:dyDescent="0.35"/>
    <row r="565" ht="10.5" customHeight="1" x14ac:dyDescent="0.35"/>
    <row r="566" ht="10.5" customHeight="1" x14ac:dyDescent="0.35"/>
    <row r="567" ht="10.5" customHeight="1" x14ac:dyDescent="0.35"/>
    <row r="568" ht="10.5" customHeight="1" x14ac:dyDescent="0.35"/>
    <row r="569" ht="10.5" customHeight="1" x14ac:dyDescent="0.35"/>
    <row r="570" ht="10.5" customHeight="1" x14ac:dyDescent="0.35"/>
    <row r="571" ht="10.5" customHeight="1" x14ac:dyDescent="0.35"/>
    <row r="572" ht="10.5" customHeight="1" x14ac:dyDescent="0.35"/>
    <row r="573" ht="10.5" customHeight="1" x14ac:dyDescent="0.35"/>
    <row r="574" ht="10.5" customHeight="1" x14ac:dyDescent="0.35"/>
    <row r="575" ht="10.5" customHeight="1" x14ac:dyDescent="0.35"/>
    <row r="576" ht="10.5" customHeight="1" x14ac:dyDescent="0.35"/>
    <row r="577" ht="10.5" customHeight="1" x14ac:dyDescent="0.35"/>
    <row r="578" ht="10.5" customHeight="1" x14ac:dyDescent="0.35"/>
    <row r="579" ht="10.5" customHeight="1" x14ac:dyDescent="0.35"/>
    <row r="580" ht="10.5" customHeight="1" x14ac:dyDescent="0.35"/>
    <row r="581" ht="10.5" customHeight="1" x14ac:dyDescent="0.35"/>
    <row r="582" ht="10.5" customHeight="1" x14ac:dyDescent="0.35"/>
    <row r="583" ht="10.5" customHeight="1" x14ac:dyDescent="0.35"/>
    <row r="584" ht="10.5" customHeight="1" x14ac:dyDescent="0.35"/>
    <row r="585" ht="10.5" customHeight="1" x14ac:dyDescent="0.35"/>
    <row r="586" ht="10.5" customHeight="1" x14ac:dyDescent="0.35"/>
    <row r="587" ht="10.5" customHeight="1" x14ac:dyDescent="0.35"/>
    <row r="588" ht="10.5" customHeight="1" x14ac:dyDescent="0.35"/>
    <row r="589" ht="10.5" customHeight="1" x14ac:dyDescent="0.35"/>
    <row r="590" ht="10.5" customHeight="1" x14ac:dyDescent="0.35"/>
    <row r="591" ht="10.5" customHeight="1" x14ac:dyDescent="0.35"/>
    <row r="592" ht="10.5" customHeight="1" x14ac:dyDescent="0.35"/>
    <row r="593" ht="10.5" customHeight="1" x14ac:dyDescent="0.35"/>
    <row r="594" ht="10.5" customHeight="1" x14ac:dyDescent="0.35"/>
    <row r="595" ht="10.5" customHeight="1" x14ac:dyDescent="0.35"/>
    <row r="596" ht="10.5" customHeight="1" x14ac:dyDescent="0.35"/>
    <row r="597" ht="10.5" customHeight="1" x14ac:dyDescent="0.35"/>
    <row r="598" ht="10.5" customHeight="1" x14ac:dyDescent="0.35"/>
    <row r="599" ht="10.5" customHeight="1" x14ac:dyDescent="0.35"/>
    <row r="600" ht="10.5" customHeight="1" x14ac:dyDescent="0.35"/>
    <row r="601" ht="10.5" customHeight="1" x14ac:dyDescent="0.35"/>
    <row r="602" ht="10.5" customHeight="1" x14ac:dyDescent="0.35"/>
    <row r="603" ht="10.5" customHeight="1" x14ac:dyDescent="0.35"/>
    <row r="604" ht="10.5" customHeight="1" x14ac:dyDescent="0.35"/>
    <row r="605" ht="10.5" customHeight="1" x14ac:dyDescent="0.35"/>
    <row r="606" ht="10.5" customHeight="1" x14ac:dyDescent="0.35"/>
    <row r="607" ht="10.5" customHeight="1" x14ac:dyDescent="0.35"/>
    <row r="608" ht="10.5" customHeight="1" x14ac:dyDescent="0.35"/>
    <row r="609" ht="10.5" customHeight="1" x14ac:dyDescent="0.35"/>
    <row r="610" ht="10.5" customHeight="1" x14ac:dyDescent="0.35"/>
    <row r="611" ht="10.5" customHeight="1" x14ac:dyDescent="0.35"/>
    <row r="612" ht="10.5" customHeight="1" x14ac:dyDescent="0.35"/>
    <row r="613" ht="10.5" customHeight="1" x14ac:dyDescent="0.35"/>
    <row r="614" ht="10.5" customHeight="1" x14ac:dyDescent="0.35"/>
    <row r="615" ht="10.5" customHeight="1" x14ac:dyDescent="0.35"/>
    <row r="616" ht="10.5" customHeight="1" x14ac:dyDescent="0.35"/>
    <row r="617" ht="10.5" customHeight="1" x14ac:dyDescent="0.35"/>
    <row r="618" ht="10.5" customHeight="1" x14ac:dyDescent="0.35"/>
    <row r="619" ht="10.5" customHeight="1" x14ac:dyDescent="0.35"/>
    <row r="620" ht="10.5" customHeight="1" x14ac:dyDescent="0.35"/>
    <row r="621" ht="10.5" customHeight="1" x14ac:dyDescent="0.35"/>
    <row r="622" ht="10.5" customHeight="1" x14ac:dyDescent="0.35"/>
    <row r="623" ht="10.5" customHeight="1" x14ac:dyDescent="0.35"/>
    <row r="624" ht="10.5" customHeight="1" x14ac:dyDescent="0.35"/>
    <row r="625" ht="10.5" customHeight="1" x14ac:dyDescent="0.35"/>
    <row r="626" ht="10.5" customHeight="1" x14ac:dyDescent="0.35"/>
    <row r="627" ht="10.5" customHeight="1" x14ac:dyDescent="0.35"/>
    <row r="628" ht="10.5" customHeight="1" x14ac:dyDescent="0.35"/>
    <row r="629" ht="10.5" customHeight="1" x14ac:dyDescent="0.35"/>
    <row r="630" ht="10.5" customHeight="1" x14ac:dyDescent="0.35"/>
    <row r="631" ht="10.5" customHeight="1" x14ac:dyDescent="0.35"/>
    <row r="632" ht="10.5" customHeight="1" x14ac:dyDescent="0.35"/>
    <row r="633" ht="10.5" customHeight="1" x14ac:dyDescent="0.35"/>
    <row r="634" ht="10.5" customHeight="1" x14ac:dyDescent="0.35"/>
    <row r="635" ht="10.5" customHeight="1" x14ac:dyDescent="0.35"/>
    <row r="636" ht="10.5" customHeight="1" x14ac:dyDescent="0.35"/>
    <row r="637" ht="10.5" customHeight="1" x14ac:dyDescent="0.35"/>
    <row r="638" ht="10.5" customHeight="1" x14ac:dyDescent="0.35"/>
    <row r="639" ht="10.5" customHeight="1" x14ac:dyDescent="0.35"/>
    <row r="640" ht="10.5" customHeight="1" x14ac:dyDescent="0.35"/>
    <row r="641" ht="10.5" customHeight="1" x14ac:dyDescent="0.35"/>
    <row r="642" ht="10.5" customHeight="1" x14ac:dyDescent="0.35"/>
    <row r="643" ht="10.5" customHeight="1" x14ac:dyDescent="0.35"/>
    <row r="644" ht="10.5" customHeight="1" x14ac:dyDescent="0.35"/>
    <row r="645" ht="10.5" customHeight="1" x14ac:dyDescent="0.35"/>
    <row r="646" ht="10.5" customHeight="1" x14ac:dyDescent="0.35"/>
    <row r="647" ht="10.5" customHeight="1" x14ac:dyDescent="0.35"/>
    <row r="648" ht="10.5" customHeight="1" x14ac:dyDescent="0.35"/>
    <row r="649" ht="10.5" customHeight="1" x14ac:dyDescent="0.35"/>
    <row r="650" ht="10.5" customHeight="1" x14ac:dyDescent="0.35"/>
    <row r="651" ht="10.5" customHeight="1" x14ac:dyDescent="0.35"/>
    <row r="652" ht="10.5" customHeight="1" x14ac:dyDescent="0.35"/>
    <row r="653" ht="10.5" customHeight="1" x14ac:dyDescent="0.35"/>
    <row r="654" ht="10.5" customHeight="1" x14ac:dyDescent="0.35"/>
    <row r="655" ht="10.5" customHeight="1" x14ac:dyDescent="0.35"/>
    <row r="656" ht="10.5" customHeight="1" x14ac:dyDescent="0.35"/>
    <row r="657" ht="10.5" customHeight="1" x14ac:dyDescent="0.35"/>
    <row r="658" ht="10.5" customHeight="1" x14ac:dyDescent="0.35"/>
    <row r="659" ht="10.5" customHeight="1" x14ac:dyDescent="0.35"/>
    <row r="660" ht="10.5" customHeight="1" x14ac:dyDescent="0.35"/>
    <row r="661" ht="10.5" customHeight="1" x14ac:dyDescent="0.35"/>
    <row r="662" ht="10.5" customHeight="1" x14ac:dyDescent="0.35"/>
    <row r="663" ht="10.5" customHeight="1" x14ac:dyDescent="0.35"/>
    <row r="664" ht="10.5" customHeight="1" x14ac:dyDescent="0.35"/>
    <row r="665" ht="10.5" customHeight="1" x14ac:dyDescent="0.35"/>
    <row r="666" ht="10.5" customHeight="1" x14ac:dyDescent="0.35"/>
    <row r="667" ht="10.5" customHeight="1" x14ac:dyDescent="0.35"/>
    <row r="668" ht="10.5" customHeight="1" x14ac:dyDescent="0.35"/>
    <row r="669" ht="10.5" customHeight="1" x14ac:dyDescent="0.35"/>
    <row r="670" ht="10.5" customHeight="1" x14ac:dyDescent="0.35"/>
    <row r="671" ht="10.5" customHeight="1" x14ac:dyDescent="0.35"/>
    <row r="672" ht="10.5" customHeight="1" x14ac:dyDescent="0.35"/>
    <row r="673" ht="10.5" customHeight="1" x14ac:dyDescent="0.35"/>
    <row r="674" ht="10.5" customHeight="1" x14ac:dyDescent="0.35"/>
    <row r="675" ht="10.5" customHeight="1" x14ac:dyDescent="0.35"/>
    <row r="676" ht="10.5" customHeight="1" x14ac:dyDescent="0.35"/>
    <row r="677" ht="10.5" customHeight="1" x14ac:dyDescent="0.35"/>
    <row r="678" ht="10.5" customHeight="1" x14ac:dyDescent="0.35"/>
    <row r="679" ht="10.5" customHeight="1" x14ac:dyDescent="0.35"/>
    <row r="680" ht="10.5" customHeight="1" x14ac:dyDescent="0.35"/>
    <row r="681" ht="10.5" customHeight="1" x14ac:dyDescent="0.35"/>
    <row r="682" ht="10.5" customHeight="1" x14ac:dyDescent="0.35"/>
    <row r="683" ht="10.5" customHeight="1" x14ac:dyDescent="0.35"/>
    <row r="684" ht="10.5" customHeight="1" x14ac:dyDescent="0.35"/>
    <row r="685" ht="10.5" customHeight="1" x14ac:dyDescent="0.35"/>
    <row r="686" ht="10.5" customHeight="1" x14ac:dyDescent="0.35"/>
    <row r="687" ht="10.5" customHeight="1" x14ac:dyDescent="0.35"/>
    <row r="688" ht="10.5" customHeight="1" x14ac:dyDescent="0.35"/>
    <row r="689" ht="10.5" customHeight="1" x14ac:dyDescent="0.35"/>
    <row r="690" ht="10.5" customHeight="1" x14ac:dyDescent="0.35"/>
    <row r="691" ht="10.5" customHeight="1" x14ac:dyDescent="0.35"/>
    <row r="692" ht="10.5" customHeight="1" x14ac:dyDescent="0.35"/>
    <row r="693" ht="10.5" customHeight="1" x14ac:dyDescent="0.35"/>
    <row r="694" ht="10.5" customHeight="1" x14ac:dyDescent="0.35"/>
    <row r="695" ht="10.5" customHeight="1" x14ac:dyDescent="0.35"/>
    <row r="696" ht="10.5" customHeight="1" x14ac:dyDescent="0.35"/>
    <row r="697" ht="10.5" customHeight="1" x14ac:dyDescent="0.35"/>
    <row r="698" ht="10.5" customHeight="1" x14ac:dyDescent="0.35"/>
    <row r="699" ht="10.5" customHeight="1" x14ac:dyDescent="0.35"/>
    <row r="700" ht="10.5" customHeight="1" x14ac:dyDescent="0.35"/>
    <row r="701" ht="10.5" customHeight="1" x14ac:dyDescent="0.35"/>
    <row r="702" ht="10.5" customHeight="1" x14ac:dyDescent="0.35"/>
    <row r="703" ht="10.5" customHeight="1" x14ac:dyDescent="0.35"/>
    <row r="704" ht="10.5" customHeight="1" x14ac:dyDescent="0.35"/>
    <row r="705" ht="10.5" customHeight="1" x14ac:dyDescent="0.35"/>
    <row r="706" ht="10.5" customHeight="1" x14ac:dyDescent="0.35"/>
    <row r="707" ht="10.5" customHeight="1" x14ac:dyDescent="0.35"/>
    <row r="708" ht="10.5" customHeight="1" x14ac:dyDescent="0.35"/>
    <row r="709" ht="10.5" customHeight="1" x14ac:dyDescent="0.35"/>
    <row r="710" ht="10.5" customHeight="1" x14ac:dyDescent="0.35"/>
    <row r="711" ht="10.5" customHeight="1" x14ac:dyDescent="0.35"/>
    <row r="712" ht="10.5" customHeight="1" x14ac:dyDescent="0.35"/>
    <row r="713" ht="10.5" customHeight="1" x14ac:dyDescent="0.35"/>
    <row r="714" ht="10.5" customHeight="1" x14ac:dyDescent="0.35"/>
    <row r="715" ht="10.5" customHeight="1" x14ac:dyDescent="0.35"/>
    <row r="716" ht="10.5" customHeight="1" x14ac:dyDescent="0.35"/>
    <row r="717" ht="10.5" customHeight="1" x14ac:dyDescent="0.35"/>
    <row r="718" ht="10.5" customHeight="1" x14ac:dyDescent="0.35"/>
    <row r="719" ht="10.5" customHeight="1" x14ac:dyDescent="0.35"/>
    <row r="720" ht="10.5" customHeight="1" x14ac:dyDescent="0.35"/>
    <row r="721" ht="10.5" customHeight="1" x14ac:dyDescent="0.35"/>
    <row r="722" ht="10.5" customHeight="1" x14ac:dyDescent="0.35"/>
    <row r="723" ht="10.5" customHeight="1" x14ac:dyDescent="0.35"/>
    <row r="724" ht="10.5" customHeight="1" x14ac:dyDescent="0.35"/>
    <row r="725" ht="10.5" customHeight="1" x14ac:dyDescent="0.35"/>
    <row r="726" ht="10.5" customHeight="1" x14ac:dyDescent="0.35"/>
    <row r="727" ht="10.5" customHeight="1" x14ac:dyDescent="0.35"/>
    <row r="728" ht="10.5" customHeight="1" x14ac:dyDescent="0.35"/>
    <row r="729" ht="10.5" customHeight="1" x14ac:dyDescent="0.35"/>
    <row r="730" ht="10.5" customHeight="1" x14ac:dyDescent="0.35"/>
    <row r="731" ht="10.5" customHeight="1" x14ac:dyDescent="0.35"/>
    <row r="732" ht="10.5" customHeight="1" x14ac:dyDescent="0.35"/>
    <row r="733" ht="10.5" customHeight="1" x14ac:dyDescent="0.35"/>
    <row r="734" ht="10.5" customHeight="1" x14ac:dyDescent="0.35"/>
    <row r="735" ht="10.5" customHeight="1" x14ac:dyDescent="0.35"/>
    <row r="736" ht="10.5" customHeight="1" x14ac:dyDescent="0.35"/>
    <row r="737" ht="10.5" customHeight="1" x14ac:dyDescent="0.35"/>
    <row r="738" ht="10.5" customHeight="1" x14ac:dyDescent="0.35"/>
    <row r="739" ht="10.5" customHeight="1" x14ac:dyDescent="0.35"/>
    <row r="740" ht="10.5" customHeight="1" x14ac:dyDescent="0.35"/>
    <row r="741" ht="10.5" customHeight="1" x14ac:dyDescent="0.35"/>
    <row r="742" ht="10.5" customHeight="1" x14ac:dyDescent="0.35"/>
    <row r="743" ht="10.5" customHeight="1" x14ac:dyDescent="0.35"/>
    <row r="744" ht="10.5" customHeight="1" x14ac:dyDescent="0.35"/>
    <row r="745" ht="10.5" customHeight="1" x14ac:dyDescent="0.35"/>
    <row r="746" ht="10.5" customHeight="1" x14ac:dyDescent="0.35"/>
    <row r="747" ht="10.5" customHeight="1" x14ac:dyDescent="0.35"/>
    <row r="748" ht="10.5" customHeight="1" x14ac:dyDescent="0.35"/>
    <row r="749" ht="10.5" customHeight="1" x14ac:dyDescent="0.35"/>
    <row r="750" ht="10.5" customHeight="1" x14ac:dyDescent="0.35"/>
    <row r="751" ht="10.5" customHeight="1" x14ac:dyDescent="0.35"/>
    <row r="752" ht="10.5" customHeight="1" x14ac:dyDescent="0.35"/>
    <row r="753" ht="10.5" customHeight="1" x14ac:dyDescent="0.35"/>
    <row r="754" ht="10.5" customHeight="1" x14ac:dyDescent="0.35"/>
    <row r="755" ht="10.5" customHeight="1" x14ac:dyDescent="0.35"/>
    <row r="756" ht="10.5" customHeight="1" x14ac:dyDescent="0.35"/>
    <row r="757" ht="10.5" customHeight="1" x14ac:dyDescent="0.35"/>
    <row r="758" ht="10.5" customHeight="1" x14ac:dyDescent="0.35"/>
    <row r="759" ht="10.5" customHeight="1" x14ac:dyDescent="0.35"/>
    <row r="760" ht="10.5" customHeight="1" x14ac:dyDescent="0.35"/>
    <row r="761" ht="10.5" customHeight="1" x14ac:dyDescent="0.35"/>
    <row r="762" ht="10.5" customHeight="1" x14ac:dyDescent="0.35"/>
    <row r="763" ht="10.5" customHeight="1" x14ac:dyDescent="0.35"/>
    <row r="764" ht="10.5" customHeight="1" x14ac:dyDescent="0.35"/>
    <row r="765" ht="10.5" customHeight="1" x14ac:dyDescent="0.35"/>
    <row r="766" ht="10.5" customHeight="1" x14ac:dyDescent="0.35"/>
    <row r="767" ht="10.5" customHeight="1" x14ac:dyDescent="0.35"/>
    <row r="768" ht="10.5" customHeight="1" x14ac:dyDescent="0.35"/>
    <row r="769" ht="10.5" customHeight="1" x14ac:dyDescent="0.35"/>
    <row r="770" ht="10.5" customHeight="1" x14ac:dyDescent="0.35"/>
    <row r="771" ht="10.5" customHeight="1" x14ac:dyDescent="0.35"/>
    <row r="772" ht="10.5" customHeight="1" x14ac:dyDescent="0.35"/>
    <row r="773" ht="10.5" customHeight="1" x14ac:dyDescent="0.35"/>
    <row r="774" ht="10.5" customHeight="1" x14ac:dyDescent="0.35"/>
    <row r="775" ht="10.5" customHeight="1" x14ac:dyDescent="0.35"/>
    <row r="776" ht="10.5" customHeight="1" x14ac:dyDescent="0.35"/>
    <row r="777" ht="10.5" customHeight="1" x14ac:dyDescent="0.35"/>
    <row r="778" ht="10.5" customHeight="1" x14ac:dyDescent="0.35"/>
    <row r="779" ht="10.5" customHeight="1" x14ac:dyDescent="0.35"/>
    <row r="780" ht="10.5" customHeight="1" x14ac:dyDescent="0.35"/>
    <row r="781" ht="10.5" customHeight="1" x14ac:dyDescent="0.35"/>
    <row r="782" ht="10.5" customHeight="1" x14ac:dyDescent="0.35"/>
    <row r="783" ht="10.5" customHeight="1" x14ac:dyDescent="0.35"/>
    <row r="784" ht="10.5" customHeight="1" x14ac:dyDescent="0.35"/>
    <row r="785" ht="10.5" customHeight="1" x14ac:dyDescent="0.35"/>
    <row r="786" ht="10.5" customHeight="1" x14ac:dyDescent="0.35"/>
    <row r="787" ht="10.5" customHeight="1" x14ac:dyDescent="0.35"/>
    <row r="788" ht="10.5" customHeight="1" x14ac:dyDescent="0.35"/>
    <row r="789" ht="10.5" customHeight="1" x14ac:dyDescent="0.35"/>
    <row r="790" ht="10.5" customHeight="1" x14ac:dyDescent="0.35"/>
    <row r="791" ht="10.5" customHeight="1" x14ac:dyDescent="0.35"/>
    <row r="792" ht="10.5" customHeight="1" x14ac:dyDescent="0.35"/>
    <row r="793" ht="10.5" customHeight="1" x14ac:dyDescent="0.35"/>
    <row r="794" ht="10.5" customHeight="1" x14ac:dyDescent="0.35"/>
    <row r="795" ht="10.5" customHeight="1" x14ac:dyDescent="0.35"/>
    <row r="796" ht="10.5" customHeight="1" x14ac:dyDescent="0.35"/>
    <row r="797" ht="10.5" customHeight="1" x14ac:dyDescent="0.35"/>
    <row r="798" ht="10.5" customHeight="1" x14ac:dyDescent="0.35"/>
    <row r="799" ht="10.5" customHeight="1" x14ac:dyDescent="0.35"/>
    <row r="800" ht="10.5" customHeight="1" x14ac:dyDescent="0.35"/>
    <row r="801" ht="10.5" customHeight="1" x14ac:dyDescent="0.35"/>
    <row r="802" ht="10.5" customHeight="1" x14ac:dyDescent="0.35"/>
    <row r="803" ht="10.5" customHeight="1" x14ac:dyDescent="0.35"/>
    <row r="804" ht="10.5" customHeight="1" x14ac:dyDescent="0.35"/>
    <row r="805" ht="10.5" customHeight="1" x14ac:dyDescent="0.35"/>
    <row r="806" ht="10.5" customHeight="1" x14ac:dyDescent="0.35"/>
    <row r="807" ht="10.5" customHeight="1" x14ac:dyDescent="0.35"/>
    <row r="808" ht="10.5" customHeight="1" x14ac:dyDescent="0.35"/>
    <row r="809" ht="10.5" customHeight="1" x14ac:dyDescent="0.35"/>
    <row r="810" ht="10.5" customHeight="1" x14ac:dyDescent="0.35"/>
    <row r="811" ht="10.5" customHeight="1" x14ac:dyDescent="0.35"/>
    <row r="812" ht="10.5" customHeight="1" x14ac:dyDescent="0.35"/>
    <row r="813" ht="10.5" customHeight="1" x14ac:dyDescent="0.35"/>
    <row r="814" ht="10.5" customHeight="1" x14ac:dyDescent="0.35"/>
    <row r="815" ht="10.5" customHeight="1" x14ac:dyDescent="0.35"/>
    <row r="816" ht="10.5" customHeight="1" x14ac:dyDescent="0.35"/>
    <row r="817" ht="10.5" customHeight="1" x14ac:dyDescent="0.35"/>
    <row r="818" ht="10.5" customHeight="1" x14ac:dyDescent="0.35"/>
    <row r="819" ht="10.5" customHeight="1" x14ac:dyDescent="0.35"/>
    <row r="820" ht="10.5" customHeight="1" x14ac:dyDescent="0.35"/>
    <row r="821" ht="10.5" customHeight="1" x14ac:dyDescent="0.35"/>
    <row r="822" ht="10.5" customHeight="1" x14ac:dyDescent="0.35"/>
    <row r="823" ht="10.5" customHeight="1" x14ac:dyDescent="0.35"/>
    <row r="824" ht="10.5" customHeight="1" x14ac:dyDescent="0.35"/>
    <row r="825" ht="10.5" customHeight="1" x14ac:dyDescent="0.35"/>
    <row r="826" ht="10.5" customHeight="1" x14ac:dyDescent="0.35"/>
    <row r="827" ht="10.5" customHeight="1" x14ac:dyDescent="0.35"/>
    <row r="828" ht="10.5" customHeight="1" x14ac:dyDescent="0.35"/>
    <row r="829" ht="10.5" customHeight="1" x14ac:dyDescent="0.35"/>
    <row r="830" ht="10.5" customHeight="1" x14ac:dyDescent="0.35"/>
    <row r="831" ht="10.5" customHeight="1" x14ac:dyDescent="0.35"/>
    <row r="832" ht="10.5" customHeight="1" x14ac:dyDescent="0.35"/>
    <row r="833" ht="10.5" customHeight="1" x14ac:dyDescent="0.35"/>
    <row r="834" ht="10.5" customHeight="1" x14ac:dyDescent="0.35"/>
    <row r="835" ht="10.5" customHeight="1" x14ac:dyDescent="0.35"/>
    <row r="836" ht="10.5" customHeight="1" x14ac:dyDescent="0.35"/>
    <row r="837" ht="10.5" customHeight="1" x14ac:dyDescent="0.35"/>
    <row r="838" ht="10.5" customHeight="1" x14ac:dyDescent="0.35"/>
    <row r="839" ht="10.5" customHeight="1" x14ac:dyDescent="0.35"/>
    <row r="840" ht="10.5" customHeight="1" x14ac:dyDescent="0.35"/>
    <row r="841" ht="10.5" customHeight="1" x14ac:dyDescent="0.35"/>
    <row r="842" ht="10.5" customHeight="1" x14ac:dyDescent="0.35"/>
    <row r="843" ht="10.5" customHeight="1" x14ac:dyDescent="0.35"/>
    <row r="844" ht="10.5" customHeight="1" x14ac:dyDescent="0.35"/>
    <row r="845" ht="10.5" customHeight="1" x14ac:dyDescent="0.35"/>
    <row r="846" ht="10.5" customHeight="1" x14ac:dyDescent="0.35"/>
    <row r="847" ht="10.5" customHeight="1" x14ac:dyDescent="0.35"/>
    <row r="848" ht="10.5" customHeight="1" x14ac:dyDescent="0.35"/>
    <row r="849" ht="10.5" customHeight="1" x14ac:dyDescent="0.35"/>
    <row r="850" ht="10.5" customHeight="1" x14ac:dyDescent="0.35"/>
    <row r="851" ht="10.5" customHeight="1" x14ac:dyDescent="0.35"/>
    <row r="852" ht="10.5" customHeight="1" x14ac:dyDescent="0.35"/>
    <row r="853" ht="10.5" customHeight="1" x14ac:dyDescent="0.35"/>
    <row r="854" ht="10.5" customHeight="1" x14ac:dyDescent="0.35"/>
    <row r="855" ht="10.5" customHeight="1" x14ac:dyDescent="0.35"/>
    <row r="856" ht="10.5" customHeight="1" x14ac:dyDescent="0.35"/>
    <row r="857" ht="10.5" customHeight="1" x14ac:dyDescent="0.35"/>
    <row r="858" ht="10.5" customHeight="1" x14ac:dyDescent="0.35"/>
    <row r="859" ht="10.5" customHeight="1" x14ac:dyDescent="0.35"/>
    <row r="860" ht="10.5" customHeight="1" x14ac:dyDescent="0.35"/>
    <row r="861" ht="10.5" customHeight="1" x14ac:dyDescent="0.35"/>
    <row r="862" ht="10.5" customHeight="1" x14ac:dyDescent="0.35"/>
    <row r="863" ht="10.5" customHeight="1" x14ac:dyDescent="0.35"/>
    <row r="864" ht="10.5" customHeight="1" x14ac:dyDescent="0.35"/>
    <row r="865" ht="10.5" customHeight="1" x14ac:dyDescent="0.35"/>
    <row r="866" ht="10.5" customHeight="1" x14ac:dyDescent="0.35"/>
    <row r="867" ht="10.5" customHeight="1" x14ac:dyDescent="0.35"/>
    <row r="868" ht="10.5" customHeight="1" x14ac:dyDescent="0.35"/>
    <row r="869" ht="10.5" customHeight="1" x14ac:dyDescent="0.35"/>
    <row r="870" ht="10.5" customHeight="1" x14ac:dyDescent="0.35"/>
    <row r="871" ht="10.5" customHeight="1" x14ac:dyDescent="0.35"/>
    <row r="872" ht="10.5" customHeight="1" x14ac:dyDescent="0.35"/>
    <row r="873" ht="10.5" customHeight="1" x14ac:dyDescent="0.35"/>
    <row r="874" ht="10.5" customHeight="1" x14ac:dyDescent="0.35"/>
    <row r="875" ht="10.5" customHeight="1" x14ac:dyDescent="0.35"/>
    <row r="876" ht="10.5" customHeight="1" x14ac:dyDescent="0.35"/>
    <row r="877" ht="10.5" customHeight="1" x14ac:dyDescent="0.35"/>
    <row r="878" ht="10.5" customHeight="1" x14ac:dyDescent="0.35"/>
    <row r="879" ht="10.5" customHeight="1" x14ac:dyDescent="0.35"/>
    <row r="880" ht="10.5" customHeight="1" x14ac:dyDescent="0.35"/>
    <row r="881" ht="10.5" customHeight="1" x14ac:dyDescent="0.35"/>
    <row r="882" ht="10.5" customHeight="1" x14ac:dyDescent="0.35"/>
    <row r="883" ht="10.5" customHeight="1" x14ac:dyDescent="0.35"/>
    <row r="884" ht="10.5" customHeight="1" x14ac:dyDescent="0.35"/>
    <row r="885" ht="10.5" customHeight="1" x14ac:dyDescent="0.35"/>
    <row r="886" ht="10.5" customHeight="1" x14ac:dyDescent="0.35"/>
    <row r="887" ht="10.5" customHeight="1" x14ac:dyDescent="0.35"/>
    <row r="888" ht="10.5" customHeight="1" x14ac:dyDescent="0.35"/>
    <row r="889" ht="10.5" customHeight="1" x14ac:dyDescent="0.35"/>
    <row r="890" ht="10.5" customHeight="1" x14ac:dyDescent="0.35"/>
    <row r="891" ht="10.5" customHeight="1" x14ac:dyDescent="0.35"/>
    <row r="892" ht="10.5" customHeight="1" x14ac:dyDescent="0.35"/>
    <row r="893" ht="10.5" customHeight="1" x14ac:dyDescent="0.35"/>
    <row r="894" ht="10.5" customHeight="1" x14ac:dyDescent="0.35"/>
    <row r="895" ht="10.5" customHeight="1" x14ac:dyDescent="0.35"/>
    <row r="896" ht="10.5" customHeight="1" x14ac:dyDescent="0.35"/>
    <row r="897" ht="10.5" customHeight="1" x14ac:dyDescent="0.35"/>
    <row r="898" ht="10.5" customHeight="1" x14ac:dyDescent="0.35"/>
    <row r="899" ht="10.5" customHeight="1" x14ac:dyDescent="0.35"/>
    <row r="900" ht="10.5" customHeight="1" x14ac:dyDescent="0.35"/>
    <row r="901" ht="10.5" customHeight="1" x14ac:dyDescent="0.35"/>
    <row r="902" ht="10.5" customHeight="1" x14ac:dyDescent="0.35"/>
    <row r="903" ht="10.5" customHeight="1" x14ac:dyDescent="0.35"/>
    <row r="904" ht="10.5" customHeight="1" x14ac:dyDescent="0.35"/>
    <row r="905" ht="10.5" customHeight="1" x14ac:dyDescent="0.35"/>
    <row r="906" ht="10.5" customHeight="1" x14ac:dyDescent="0.35"/>
    <row r="907" ht="10.5" customHeight="1" x14ac:dyDescent="0.35"/>
    <row r="908" ht="10.5" customHeight="1" x14ac:dyDescent="0.35"/>
    <row r="909" ht="10.5" customHeight="1" x14ac:dyDescent="0.35"/>
    <row r="910" ht="10.5" customHeight="1" x14ac:dyDescent="0.35"/>
    <row r="911" ht="10.5" customHeight="1" x14ac:dyDescent="0.35"/>
    <row r="912" ht="10.5" customHeight="1" x14ac:dyDescent="0.35"/>
    <row r="913" ht="10.5" customHeight="1" x14ac:dyDescent="0.35"/>
    <row r="914" ht="10.5" customHeight="1" x14ac:dyDescent="0.35"/>
    <row r="915" ht="10.5" customHeight="1" x14ac:dyDescent="0.35"/>
    <row r="916" ht="10.5" customHeight="1" x14ac:dyDescent="0.35"/>
    <row r="917" ht="10.5" customHeight="1" x14ac:dyDescent="0.35"/>
    <row r="918" ht="10.5" customHeight="1" x14ac:dyDescent="0.35"/>
    <row r="919" ht="10.5" customHeight="1" x14ac:dyDescent="0.35"/>
    <row r="920" ht="10.5" customHeight="1" x14ac:dyDescent="0.35"/>
    <row r="921" ht="10.5" customHeight="1" x14ac:dyDescent="0.35"/>
    <row r="922" ht="10.5" customHeight="1" x14ac:dyDescent="0.35"/>
    <row r="923" ht="10.5" customHeight="1" x14ac:dyDescent="0.35"/>
    <row r="924" ht="10.5" customHeight="1" x14ac:dyDescent="0.35"/>
    <row r="925" ht="10.5" customHeight="1" x14ac:dyDescent="0.35"/>
    <row r="926" ht="10.5" customHeight="1" x14ac:dyDescent="0.35"/>
    <row r="927" ht="10.5" customHeight="1" x14ac:dyDescent="0.35"/>
    <row r="928" ht="10.5" customHeight="1" x14ac:dyDescent="0.35"/>
    <row r="929" ht="10.5" customHeight="1" x14ac:dyDescent="0.35"/>
    <row r="930" ht="10.5" customHeight="1" x14ac:dyDescent="0.35"/>
    <row r="931" ht="10.5" customHeight="1" x14ac:dyDescent="0.35"/>
    <row r="932" ht="10.5" customHeight="1" x14ac:dyDescent="0.35"/>
    <row r="933" ht="10.5" customHeight="1" x14ac:dyDescent="0.35"/>
    <row r="934" ht="10.5" customHeight="1" x14ac:dyDescent="0.35"/>
    <row r="935" ht="10.5" customHeight="1" x14ac:dyDescent="0.35"/>
    <row r="936" ht="10.5" customHeight="1" x14ac:dyDescent="0.35"/>
    <row r="937" ht="10.5" customHeight="1" x14ac:dyDescent="0.35"/>
    <row r="938" ht="10.5" customHeight="1" x14ac:dyDescent="0.35"/>
    <row r="939" ht="10.5" customHeight="1" x14ac:dyDescent="0.35"/>
    <row r="940" ht="10.5" customHeight="1" x14ac:dyDescent="0.35"/>
    <row r="941" ht="10.5" customHeight="1" x14ac:dyDescent="0.35"/>
    <row r="942" ht="10.5" customHeight="1" x14ac:dyDescent="0.35"/>
    <row r="943" ht="10.5" customHeight="1" x14ac:dyDescent="0.35"/>
    <row r="944" ht="10.5" customHeight="1" x14ac:dyDescent="0.35"/>
    <row r="945" ht="10.5" customHeight="1" x14ac:dyDescent="0.35"/>
    <row r="946" ht="10.5" customHeight="1" x14ac:dyDescent="0.35"/>
    <row r="947" ht="10.5" customHeight="1" x14ac:dyDescent="0.35"/>
    <row r="948" ht="10.5" customHeight="1" x14ac:dyDescent="0.35"/>
    <row r="949" ht="10.5" customHeight="1" x14ac:dyDescent="0.35"/>
    <row r="950" ht="10.5" customHeight="1" x14ac:dyDescent="0.35"/>
    <row r="951" ht="10.5" customHeight="1" x14ac:dyDescent="0.35"/>
    <row r="952" ht="10.5" customHeight="1" x14ac:dyDescent="0.35"/>
    <row r="953" ht="10.5" customHeight="1" x14ac:dyDescent="0.35"/>
    <row r="954" ht="10.5" customHeight="1" x14ac:dyDescent="0.35"/>
    <row r="955" ht="10.5" customHeight="1" x14ac:dyDescent="0.35"/>
    <row r="956" ht="10.5" customHeight="1" x14ac:dyDescent="0.35"/>
    <row r="957" ht="10.5" customHeight="1" x14ac:dyDescent="0.35"/>
    <row r="958" ht="10.5" customHeight="1" x14ac:dyDescent="0.35"/>
    <row r="959" ht="10.5" customHeight="1" x14ac:dyDescent="0.35"/>
    <row r="960" ht="10.5" customHeight="1" x14ac:dyDescent="0.35"/>
    <row r="961" ht="10.5" customHeight="1" x14ac:dyDescent="0.35"/>
    <row r="962" ht="10.5" customHeight="1" x14ac:dyDescent="0.35"/>
    <row r="963" ht="10.5" customHeight="1" x14ac:dyDescent="0.35"/>
    <row r="964" ht="10.5" customHeight="1" x14ac:dyDescent="0.35"/>
    <row r="965" ht="10.5" customHeight="1" x14ac:dyDescent="0.35"/>
    <row r="966" ht="10.5" customHeight="1" x14ac:dyDescent="0.35"/>
    <row r="967" ht="10.5" customHeight="1" x14ac:dyDescent="0.35"/>
    <row r="968" ht="10.5" customHeight="1" x14ac:dyDescent="0.35"/>
    <row r="969" ht="10.5" customHeight="1" x14ac:dyDescent="0.35"/>
    <row r="970" ht="10.5" customHeight="1" x14ac:dyDescent="0.35"/>
    <row r="971" ht="10.5" customHeight="1" x14ac:dyDescent="0.35"/>
    <row r="972" ht="10.5" customHeight="1" x14ac:dyDescent="0.35"/>
    <row r="973" ht="10.5" customHeight="1" x14ac:dyDescent="0.35"/>
    <row r="974" ht="10.5" customHeight="1" x14ac:dyDescent="0.35"/>
    <row r="975" ht="10.5" customHeight="1" x14ac:dyDescent="0.35"/>
    <row r="976" ht="10.5" customHeight="1" x14ac:dyDescent="0.35"/>
    <row r="977" ht="10.5" customHeight="1" x14ac:dyDescent="0.35"/>
    <row r="978" ht="10.5" customHeight="1" x14ac:dyDescent="0.35"/>
    <row r="979" ht="10.5" customHeight="1" x14ac:dyDescent="0.35"/>
    <row r="980" ht="10.5" customHeight="1" x14ac:dyDescent="0.35"/>
    <row r="981" ht="10.5" customHeight="1" x14ac:dyDescent="0.35"/>
    <row r="982" ht="10.5" customHeight="1" x14ac:dyDescent="0.35"/>
    <row r="983" ht="10.5" customHeight="1" x14ac:dyDescent="0.35"/>
    <row r="984" ht="10.5" customHeight="1" x14ac:dyDescent="0.35"/>
    <row r="985" ht="10.5" customHeight="1" x14ac:dyDescent="0.35"/>
    <row r="986" ht="10.5" customHeight="1" x14ac:dyDescent="0.35"/>
    <row r="987" ht="10.5" customHeight="1" x14ac:dyDescent="0.35"/>
    <row r="988" ht="10.5" customHeight="1" x14ac:dyDescent="0.35"/>
    <row r="989" ht="10.5" customHeight="1" x14ac:dyDescent="0.35"/>
    <row r="990" ht="10.5" customHeight="1" x14ac:dyDescent="0.35"/>
    <row r="991" ht="10.5" customHeight="1" x14ac:dyDescent="0.35"/>
    <row r="992" ht="10.5" customHeight="1" x14ac:dyDescent="0.35"/>
    <row r="993" ht="10.5" customHeight="1" x14ac:dyDescent="0.35"/>
    <row r="994" ht="10.5" customHeight="1" x14ac:dyDescent="0.35"/>
    <row r="995" ht="10.5" customHeight="1" x14ac:dyDescent="0.35"/>
    <row r="996" ht="10.5" customHeight="1" x14ac:dyDescent="0.35"/>
    <row r="997" ht="10.5" customHeight="1" x14ac:dyDescent="0.35"/>
    <row r="998" ht="10.5" customHeight="1" x14ac:dyDescent="0.35"/>
    <row r="999" ht="10.5" customHeight="1" x14ac:dyDescent="0.35"/>
    <row r="1000" ht="10.5" customHeight="1" x14ac:dyDescent="0.35"/>
  </sheetData>
  <mergeCells count="15">
    <mergeCell ref="B48:B49"/>
    <mergeCell ref="B50:B51"/>
    <mergeCell ref="B2:Z2"/>
    <mergeCell ref="B4:B5"/>
    <mergeCell ref="C4:E4"/>
    <mergeCell ref="F4:H4"/>
    <mergeCell ref="I4:K4"/>
    <mergeCell ref="L4:N4"/>
    <mergeCell ref="O4:Q4"/>
    <mergeCell ref="X4:Z4"/>
    <mergeCell ref="R4:T4"/>
    <mergeCell ref="U4:W4"/>
    <mergeCell ref="B23:B24"/>
    <mergeCell ref="C23:E23"/>
    <mergeCell ref="F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994"/>
  <sheetViews>
    <sheetView workbookViewId="0"/>
  </sheetViews>
  <sheetFormatPr defaultColWidth="14.453125" defaultRowHeight="14.5" x14ac:dyDescent="0.35"/>
  <cols>
    <col min="1" max="1" width="8.7265625" customWidth="1"/>
    <col min="2" max="2" width="7.81640625" customWidth="1"/>
    <col min="3" max="3" width="19.08984375" customWidth="1"/>
    <col min="4" max="4" width="14.453125" customWidth="1"/>
    <col min="5" max="5" width="17.81640625" customWidth="1"/>
    <col min="6" max="6" width="14.453125" customWidth="1"/>
    <col min="7" max="7" width="16.54296875" customWidth="1"/>
    <col min="8" max="8" width="14.453125" customWidth="1"/>
    <col min="9" max="10" width="14.453125" style="47" customWidth="1"/>
    <col min="11" max="11" width="14.453125" customWidth="1"/>
    <col min="12" max="12" width="17.81640625" customWidth="1"/>
    <col min="13" max="13" width="14.453125" customWidth="1"/>
    <col min="14" max="14" width="16.54296875" customWidth="1"/>
    <col min="15" max="15" width="14.453125" customWidth="1"/>
    <col min="16" max="17" width="14.453125" style="47" customWidth="1"/>
    <col min="18" max="29" width="8.7265625" customWidth="1"/>
  </cols>
  <sheetData>
    <row r="1" spans="2:15" ht="10" customHeight="1" x14ac:dyDescent="0.35">
      <c r="B1" s="157" t="s">
        <v>36</v>
      </c>
      <c r="C1" s="157"/>
      <c r="D1" s="157"/>
      <c r="E1" s="157"/>
      <c r="F1" s="157"/>
      <c r="G1" s="157"/>
      <c r="H1" s="157"/>
      <c r="I1" s="157"/>
      <c r="J1" s="157"/>
    </row>
    <row r="2" spans="2:15" ht="12" customHeight="1" x14ac:dyDescent="0.35">
      <c r="B2" s="157"/>
      <c r="C2" s="157"/>
      <c r="D2" s="157"/>
      <c r="E2" s="157"/>
      <c r="F2" s="157"/>
      <c r="G2" s="157"/>
      <c r="H2" s="157"/>
      <c r="I2" s="157"/>
      <c r="J2" s="157"/>
      <c r="K2" s="47"/>
      <c r="L2" s="47"/>
      <c r="M2" s="47"/>
      <c r="N2" s="47"/>
      <c r="O2" s="47"/>
    </row>
    <row r="3" spans="2:15" ht="18" x14ac:dyDescent="0.4">
      <c r="B3" s="157" t="s">
        <v>37</v>
      </c>
      <c r="C3" s="157"/>
      <c r="D3" s="157"/>
      <c r="E3" s="157"/>
      <c r="F3" s="157"/>
      <c r="G3" s="157"/>
      <c r="H3" s="157"/>
      <c r="I3" s="157"/>
      <c r="J3" s="157"/>
      <c r="K3" s="47"/>
      <c r="L3" s="47"/>
      <c r="M3" s="47"/>
      <c r="N3" s="47"/>
      <c r="O3" s="47"/>
    </row>
    <row r="5" spans="2:15" ht="15.5" x14ac:dyDescent="0.35">
      <c r="B5" s="158" t="s">
        <v>38</v>
      </c>
      <c r="C5" s="158" t="s">
        <v>39</v>
      </c>
      <c r="D5" s="160" t="s">
        <v>40</v>
      </c>
      <c r="E5" s="161"/>
      <c r="F5" s="161"/>
      <c r="G5" s="161"/>
      <c r="H5" s="161"/>
      <c r="I5" s="161"/>
      <c r="J5" s="162"/>
    </row>
    <row r="6" spans="2:15" ht="37" customHeight="1" x14ac:dyDescent="0.35">
      <c r="B6" s="167"/>
      <c r="C6" s="167"/>
      <c r="D6" s="48" t="s">
        <v>41</v>
      </c>
      <c r="E6" s="49" t="s">
        <v>42</v>
      </c>
      <c r="F6" s="49" t="s">
        <v>43</v>
      </c>
      <c r="G6" s="49" t="s">
        <v>44</v>
      </c>
      <c r="H6" s="49" t="s">
        <v>43</v>
      </c>
      <c r="I6" s="78" t="s">
        <v>45</v>
      </c>
      <c r="J6" s="49" t="s">
        <v>46</v>
      </c>
    </row>
    <row r="7" spans="2:15" ht="15.5" x14ac:dyDescent="0.35">
      <c r="B7" s="55">
        <v>1</v>
      </c>
      <c r="C7" s="55" t="s">
        <v>47</v>
      </c>
      <c r="D7" s="56">
        <v>8998</v>
      </c>
      <c r="E7" s="56">
        <v>119</v>
      </c>
      <c r="F7" s="57">
        <f t="shared" ref="F7:F19" si="0">E7/D7*100</f>
        <v>1.3225161146921538</v>
      </c>
      <c r="G7" s="56">
        <v>998</v>
      </c>
      <c r="H7" s="57">
        <f t="shared" ref="H7:H19" si="1">G7/D7*100</f>
        <v>11.091353634140919</v>
      </c>
      <c r="I7" s="76">
        <f>E7+G7</f>
        <v>1117</v>
      </c>
      <c r="J7" s="57">
        <f>I7/D7*100</f>
        <v>12.413869748833074</v>
      </c>
    </row>
    <row r="8" spans="2:15" ht="15.5" x14ac:dyDescent="0.35">
      <c r="B8" s="55">
        <v>2</v>
      </c>
      <c r="C8" s="55" t="s">
        <v>48</v>
      </c>
      <c r="D8" s="56">
        <v>3234</v>
      </c>
      <c r="E8" s="56">
        <v>476</v>
      </c>
      <c r="F8" s="57">
        <f t="shared" si="0"/>
        <v>14.71861471861472</v>
      </c>
      <c r="G8" s="56">
        <v>464</v>
      </c>
      <c r="H8" s="57">
        <f t="shared" si="1"/>
        <v>14.347557204700061</v>
      </c>
      <c r="I8" s="76">
        <f t="shared" ref="I8:I18" si="2">E8+G8</f>
        <v>940</v>
      </c>
      <c r="J8" s="57">
        <f t="shared" ref="J8:J18" si="3">I8/D8*100</f>
        <v>29.066171923314783</v>
      </c>
    </row>
    <row r="9" spans="2:15" ht="15.5" x14ac:dyDescent="0.35">
      <c r="B9" s="55">
        <v>3</v>
      </c>
      <c r="C9" s="55" t="s">
        <v>49</v>
      </c>
      <c r="D9" s="56">
        <v>5429</v>
      </c>
      <c r="E9" s="56">
        <v>298</v>
      </c>
      <c r="F9" s="57">
        <f t="shared" si="0"/>
        <v>5.4890403389206117</v>
      </c>
      <c r="G9" s="56">
        <v>336</v>
      </c>
      <c r="H9" s="57">
        <f t="shared" si="1"/>
        <v>6.1889850801252528</v>
      </c>
      <c r="I9" s="76">
        <f t="shared" si="2"/>
        <v>634</v>
      </c>
      <c r="J9" s="57">
        <f t="shared" si="3"/>
        <v>11.678025419045865</v>
      </c>
    </row>
    <row r="10" spans="2:15" ht="15.5" x14ac:dyDescent="0.35">
      <c r="B10" s="55">
        <v>4</v>
      </c>
      <c r="C10" s="55" t="s">
        <v>50</v>
      </c>
      <c r="D10" s="56">
        <v>3480</v>
      </c>
      <c r="E10" s="56">
        <v>72</v>
      </c>
      <c r="F10" s="57">
        <f t="shared" si="0"/>
        <v>2.0689655172413794</v>
      </c>
      <c r="G10" s="56">
        <v>997</v>
      </c>
      <c r="H10" s="57">
        <f t="shared" si="1"/>
        <v>28.649425287356323</v>
      </c>
      <c r="I10" s="76">
        <f t="shared" si="2"/>
        <v>1069</v>
      </c>
      <c r="J10" s="57">
        <f t="shared" si="3"/>
        <v>30.7183908045977</v>
      </c>
    </row>
    <row r="11" spans="2:15" ht="15.5" x14ac:dyDescent="0.35">
      <c r="B11" s="55">
        <v>5</v>
      </c>
      <c r="C11" s="55" t="s">
        <v>51</v>
      </c>
      <c r="D11" s="56">
        <v>5856</v>
      </c>
      <c r="E11" s="56">
        <v>812</v>
      </c>
      <c r="F11" s="57">
        <f t="shared" si="0"/>
        <v>13.866120218579233</v>
      </c>
      <c r="G11" s="56">
        <v>545</v>
      </c>
      <c r="H11" s="57">
        <f t="shared" si="1"/>
        <v>9.3066939890710376</v>
      </c>
      <c r="I11" s="76">
        <f t="shared" si="2"/>
        <v>1357</v>
      </c>
      <c r="J11" s="57">
        <f t="shared" si="3"/>
        <v>23.172814207650273</v>
      </c>
    </row>
    <row r="12" spans="2:15" ht="15.5" x14ac:dyDescent="0.35">
      <c r="B12" s="55">
        <v>6</v>
      </c>
      <c r="C12" s="55" t="s">
        <v>52</v>
      </c>
      <c r="D12" s="56">
        <v>19105</v>
      </c>
      <c r="E12" s="56">
        <v>2741</v>
      </c>
      <c r="F12" s="57">
        <f t="shared" si="0"/>
        <v>14.347029573410103</v>
      </c>
      <c r="G12" s="56">
        <v>2248</v>
      </c>
      <c r="H12" s="57">
        <f t="shared" si="1"/>
        <v>11.766553258309344</v>
      </c>
      <c r="I12" s="76">
        <f t="shared" si="2"/>
        <v>4989</v>
      </c>
      <c r="J12" s="57">
        <f t="shared" si="3"/>
        <v>26.113582831719444</v>
      </c>
    </row>
    <row r="13" spans="2:15" ht="15.5" x14ac:dyDescent="0.35">
      <c r="B13" s="55">
        <v>7</v>
      </c>
      <c r="C13" s="55" t="s">
        <v>53</v>
      </c>
      <c r="D13" s="56">
        <v>3923</v>
      </c>
      <c r="E13" s="56">
        <v>349</v>
      </c>
      <c r="F13" s="57">
        <f t="shared" si="0"/>
        <v>8.8962528677032893</v>
      </c>
      <c r="G13" s="56">
        <v>623</v>
      </c>
      <c r="H13" s="57">
        <f t="shared" si="1"/>
        <v>15.880703543206728</v>
      </c>
      <c r="I13" s="76">
        <f t="shared" si="2"/>
        <v>972</v>
      </c>
      <c r="J13" s="57">
        <f t="shared" si="3"/>
        <v>24.776956410910017</v>
      </c>
    </row>
    <row r="14" spans="2:15" ht="15.5" x14ac:dyDescent="0.35">
      <c r="B14" s="55">
        <v>8</v>
      </c>
      <c r="C14" s="55" t="s">
        <v>54</v>
      </c>
      <c r="D14" s="56">
        <v>10052</v>
      </c>
      <c r="E14" s="56">
        <v>368</v>
      </c>
      <c r="F14" s="57">
        <f t="shared" si="0"/>
        <v>3.6609629924393157</v>
      </c>
      <c r="G14" s="56">
        <v>1185</v>
      </c>
      <c r="H14" s="57">
        <f t="shared" si="1"/>
        <v>11.788698766414644</v>
      </c>
      <c r="I14" s="76">
        <f t="shared" si="2"/>
        <v>1553</v>
      </c>
      <c r="J14" s="57">
        <f t="shared" si="3"/>
        <v>15.449661758853958</v>
      </c>
    </row>
    <row r="15" spans="2:15" ht="15.5" x14ac:dyDescent="0.35">
      <c r="B15" s="55">
        <v>9</v>
      </c>
      <c r="C15" s="55" t="s">
        <v>55</v>
      </c>
      <c r="D15" s="56">
        <v>7502</v>
      </c>
      <c r="E15" s="56">
        <v>1508</v>
      </c>
      <c r="F15" s="57">
        <f t="shared" si="0"/>
        <v>20.101306318315114</v>
      </c>
      <c r="G15" s="56">
        <v>2649</v>
      </c>
      <c r="H15" s="57">
        <f t="shared" si="1"/>
        <v>35.310583844308184</v>
      </c>
      <c r="I15" s="76">
        <f t="shared" si="2"/>
        <v>4157</v>
      </c>
      <c r="J15" s="57">
        <f t="shared" si="3"/>
        <v>55.411890162623301</v>
      </c>
    </row>
    <row r="16" spans="2:15" ht="15.5" x14ac:dyDescent="0.35">
      <c r="B16" s="55">
        <v>10</v>
      </c>
      <c r="C16" s="55" t="s">
        <v>56</v>
      </c>
      <c r="D16" s="56">
        <v>16392</v>
      </c>
      <c r="E16" s="56">
        <v>367</v>
      </c>
      <c r="F16" s="57">
        <f t="shared" si="0"/>
        <v>2.2388970229380187</v>
      </c>
      <c r="G16" s="56">
        <v>1573</v>
      </c>
      <c r="H16" s="57">
        <f t="shared" si="1"/>
        <v>9.5961444607125426</v>
      </c>
      <c r="I16" s="76">
        <f t="shared" si="2"/>
        <v>1940</v>
      </c>
      <c r="J16" s="57">
        <f t="shared" si="3"/>
        <v>11.835041483650562</v>
      </c>
    </row>
    <row r="17" spans="2:10" ht="15.5" x14ac:dyDescent="0.35">
      <c r="B17" s="55">
        <v>11</v>
      </c>
      <c r="C17" s="55" t="s">
        <v>57</v>
      </c>
      <c r="D17" s="56">
        <v>6154</v>
      </c>
      <c r="E17" s="56">
        <v>948</v>
      </c>
      <c r="F17" s="57">
        <f t="shared" si="0"/>
        <v>15.404614884627884</v>
      </c>
      <c r="G17" s="56">
        <v>590</v>
      </c>
      <c r="H17" s="57">
        <f t="shared" si="1"/>
        <v>9.5872603184920369</v>
      </c>
      <c r="I17" s="76">
        <f t="shared" si="2"/>
        <v>1538</v>
      </c>
      <c r="J17" s="57">
        <f t="shared" si="3"/>
        <v>24.991875203119925</v>
      </c>
    </row>
    <row r="18" spans="2:10" ht="15.5" x14ac:dyDescent="0.35">
      <c r="B18" s="55">
        <v>12</v>
      </c>
      <c r="C18" s="55" t="s">
        <v>58</v>
      </c>
      <c r="D18" s="56">
        <v>2274</v>
      </c>
      <c r="E18" s="56">
        <v>103</v>
      </c>
      <c r="F18" s="57">
        <f t="shared" si="0"/>
        <v>4.5294635004397534</v>
      </c>
      <c r="G18" s="56">
        <v>67</v>
      </c>
      <c r="H18" s="57">
        <f t="shared" si="1"/>
        <v>2.9463500439753738</v>
      </c>
      <c r="I18" s="76">
        <f t="shared" si="2"/>
        <v>170</v>
      </c>
      <c r="J18" s="57">
        <f t="shared" si="3"/>
        <v>7.4758135444151277</v>
      </c>
    </row>
    <row r="19" spans="2:10" ht="15.5" x14ac:dyDescent="0.35">
      <c r="B19" s="65"/>
      <c r="C19" s="66" t="s">
        <v>59</v>
      </c>
      <c r="D19" s="67">
        <f>SUM(D7:D18)</f>
        <v>92399</v>
      </c>
      <c r="E19" s="67">
        <f>SUM(E7:E18)</f>
        <v>8161</v>
      </c>
      <c r="F19" s="68">
        <f t="shared" si="0"/>
        <v>8.8323466704185112</v>
      </c>
      <c r="G19" s="49">
        <f t="shared" ref="G19" si="4">SUM(G7:G18)</f>
        <v>12275</v>
      </c>
      <c r="H19" s="57">
        <f t="shared" si="1"/>
        <v>13.284775809262007</v>
      </c>
      <c r="I19" s="79">
        <f>G19+E19</f>
        <v>20436</v>
      </c>
      <c r="J19" s="80">
        <f>I19/D19*100</f>
        <v>22.117122479680514</v>
      </c>
    </row>
    <row r="21" spans="2:10" ht="10.5" customHeight="1" x14ac:dyDescent="0.35"/>
    <row r="22" spans="2:10" ht="10.5" customHeight="1" x14ac:dyDescent="0.35">
      <c r="B22" s="158" t="s">
        <v>38</v>
      </c>
      <c r="C22" s="158" t="s">
        <v>39</v>
      </c>
      <c r="D22" s="163" t="s">
        <v>60</v>
      </c>
      <c r="E22" s="164"/>
      <c r="F22" s="164"/>
      <c r="G22" s="164"/>
      <c r="H22" s="164"/>
      <c r="I22" s="164"/>
      <c r="J22" s="164"/>
    </row>
    <row r="23" spans="2:10" ht="29.65" customHeight="1" x14ac:dyDescent="0.35">
      <c r="B23" s="159"/>
      <c r="C23" s="159"/>
      <c r="D23" s="50" t="s">
        <v>41</v>
      </c>
      <c r="E23" s="51" t="s">
        <v>42</v>
      </c>
      <c r="F23" s="51" t="s">
        <v>61</v>
      </c>
      <c r="G23" s="51" t="s">
        <v>44</v>
      </c>
      <c r="H23" s="50" t="s">
        <v>61</v>
      </c>
      <c r="I23" s="50" t="s">
        <v>45</v>
      </c>
      <c r="J23" s="50" t="s">
        <v>46</v>
      </c>
    </row>
    <row r="24" spans="2:10" ht="10.5" customHeight="1" x14ac:dyDescent="0.35">
      <c r="B24" s="55">
        <v>1</v>
      </c>
      <c r="C24" s="55" t="s">
        <v>47</v>
      </c>
      <c r="D24" s="58">
        <v>444</v>
      </c>
      <c r="E24" s="58">
        <v>1</v>
      </c>
      <c r="F24" s="59">
        <f t="shared" ref="F24:F36" si="5">E24/D24*100</f>
        <v>0.22522522522522523</v>
      </c>
      <c r="G24" s="60">
        <v>40</v>
      </c>
      <c r="H24" s="59">
        <f>G24/D24*100</f>
        <v>9.0090090090090094</v>
      </c>
      <c r="I24" s="84">
        <f>E24+G24</f>
        <v>41</v>
      </c>
      <c r="J24" s="59">
        <f>I24/D24*100</f>
        <v>9.2342342342342345</v>
      </c>
    </row>
    <row r="25" spans="2:10" ht="10.5" customHeight="1" x14ac:dyDescent="0.35">
      <c r="B25" s="55">
        <v>2</v>
      </c>
      <c r="C25" s="55" t="s">
        <v>48</v>
      </c>
      <c r="D25" s="58">
        <v>160</v>
      </c>
      <c r="E25" s="58">
        <v>78</v>
      </c>
      <c r="F25" s="59">
        <f t="shared" si="5"/>
        <v>48.75</v>
      </c>
      <c r="G25" s="60">
        <v>125</v>
      </c>
      <c r="H25" s="59">
        <f t="shared" ref="H25:H35" si="6">G25/D25*100</f>
        <v>78.125</v>
      </c>
      <c r="I25" s="84">
        <f t="shared" ref="I25:I35" si="7">E25+G25</f>
        <v>203</v>
      </c>
      <c r="J25" s="59">
        <f t="shared" ref="J25:J35" si="8">I25/D25*100</f>
        <v>126.875</v>
      </c>
    </row>
    <row r="26" spans="2:10" ht="10.5" customHeight="1" x14ac:dyDescent="0.35">
      <c r="B26" s="55">
        <v>3</v>
      </c>
      <c r="C26" s="55" t="s">
        <v>49</v>
      </c>
      <c r="D26" s="58">
        <v>271</v>
      </c>
      <c r="E26" s="58">
        <v>6</v>
      </c>
      <c r="F26" s="59">
        <f t="shared" si="5"/>
        <v>2.214022140221402</v>
      </c>
      <c r="G26" s="60">
        <v>9</v>
      </c>
      <c r="H26" s="59">
        <f t="shared" si="6"/>
        <v>3.3210332103321036</v>
      </c>
      <c r="I26" s="84">
        <f t="shared" si="7"/>
        <v>15</v>
      </c>
      <c r="J26" s="59">
        <f t="shared" si="8"/>
        <v>5.5350553505535052</v>
      </c>
    </row>
    <row r="27" spans="2:10" ht="10.5" customHeight="1" x14ac:dyDescent="0.35">
      <c r="B27" s="55">
        <v>4</v>
      </c>
      <c r="C27" s="55" t="s">
        <v>50</v>
      </c>
      <c r="D27" s="58">
        <v>170</v>
      </c>
      <c r="E27" s="58">
        <v>2</v>
      </c>
      <c r="F27" s="59">
        <f t="shared" si="5"/>
        <v>1.1764705882352942</v>
      </c>
      <c r="G27" s="60">
        <v>21</v>
      </c>
      <c r="H27" s="59">
        <f t="shared" si="6"/>
        <v>12.352941176470589</v>
      </c>
      <c r="I27" s="84">
        <f t="shared" si="7"/>
        <v>23</v>
      </c>
      <c r="J27" s="59">
        <f t="shared" si="8"/>
        <v>13.529411764705882</v>
      </c>
    </row>
    <row r="28" spans="2:10" ht="10.5" customHeight="1" x14ac:dyDescent="0.35">
      <c r="B28" s="55">
        <v>5</v>
      </c>
      <c r="C28" s="55" t="s">
        <v>51</v>
      </c>
      <c r="D28" s="58">
        <v>284</v>
      </c>
      <c r="E28" s="58">
        <v>52</v>
      </c>
      <c r="F28" s="59">
        <f t="shared" si="5"/>
        <v>18.30985915492958</v>
      </c>
      <c r="G28" s="60">
        <v>65</v>
      </c>
      <c r="H28" s="59">
        <f t="shared" si="6"/>
        <v>22.887323943661972</v>
      </c>
      <c r="I28" s="84">
        <f t="shared" si="7"/>
        <v>117</v>
      </c>
      <c r="J28" s="59">
        <f t="shared" si="8"/>
        <v>41.197183098591552</v>
      </c>
    </row>
    <row r="29" spans="2:10" ht="10.5" customHeight="1" x14ac:dyDescent="0.35">
      <c r="B29" s="55">
        <v>6</v>
      </c>
      <c r="C29" s="55" t="s">
        <v>52</v>
      </c>
      <c r="D29" s="58">
        <v>909</v>
      </c>
      <c r="E29" s="58">
        <v>346</v>
      </c>
      <c r="F29" s="59">
        <f t="shared" si="5"/>
        <v>38.063806380638063</v>
      </c>
      <c r="G29" s="60">
        <v>249</v>
      </c>
      <c r="H29" s="59">
        <f t="shared" si="6"/>
        <v>27.39273927392739</v>
      </c>
      <c r="I29" s="84">
        <f t="shared" si="7"/>
        <v>595</v>
      </c>
      <c r="J29" s="59">
        <f t="shared" si="8"/>
        <v>65.45654565456546</v>
      </c>
    </row>
    <row r="30" spans="2:10" ht="10.5" customHeight="1" x14ac:dyDescent="0.35">
      <c r="B30" s="55">
        <v>7</v>
      </c>
      <c r="C30" s="55" t="s">
        <v>53</v>
      </c>
      <c r="D30" s="58">
        <v>188</v>
      </c>
      <c r="E30" s="58">
        <v>56</v>
      </c>
      <c r="F30" s="59">
        <f t="shared" si="5"/>
        <v>29.787234042553191</v>
      </c>
      <c r="G30" s="60">
        <v>27</v>
      </c>
      <c r="H30" s="59">
        <f t="shared" si="6"/>
        <v>14.361702127659576</v>
      </c>
      <c r="I30" s="84">
        <f t="shared" si="7"/>
        <v>83</v>
      </c>
      <c r="J30" s="59">
        <f t="shared" si="8"/>
        <v>44.148936170212764</v>
      </c>
    </row>
    <row r="31" spans="2:10" ht="10.5" customHeight="1" x14ac:dyDescent="0.35">
      <c r="B31" s="55">
        <v>8</v>
      </c>
      <c r="C31" s="55" t="s">
        <v>54</v>
      </c>
      <c r="D31" s="58">
        <v>459</v>
      </c>
      <c r="E31" s="58">
        <v>42</v>
      </c>
      <c r="F31" s="59">
        <f t="shared" si="5"/>
        <v>9.1503267973856204</v>
      </c>
      <c r="G31" s="60">
        <v>77</v>
      </c>
      <c r="H31" s="59">
        <f t="shared" si="6"/>
        <v>16.775599128540307</v>
      </c>
      <c r="I31" s="84">
        <f t="shared" si="7"/>
        <v>119</v>
      </c>
      <c r="J31" s="59">
        <f t="shared" si="8"/>
        <v>25.925925925925924</v>
      </c>
    </row>
    <row r="32" spans="2:10" ht="10.5" customHeight="1" x14ac:dyDescent="0.35">
      <c r="B32" s="55">
        <v>9</v>
      </c>
      <c r="C32" s="55" t="s">
        <v>55</v>
      </c>
      <c r="D32" s="58">
        <v>341</v>
      </c>
      <c r="E32" s="58">
        <v>8</v>
      </c>
      <c r="F32" s="59">
        <f t="shared" si="5"/>
        <v>2.3460410557184752</v>
      </c>
      <c r="G32" s="60">
        <v>77</v>
      </c>
      <c r="H32" s="59">
        <f t="shared" si="6"/>
        <v>22.58064516129032</v>
      </c>
      <c r="I32" s="84">
        <f t="shared" si="7"/>
        <v>85</v>
      </c>
      <c r="J32" s="59">
        <f t="shared" si="8"/>
        <v>24.926686217008797</v>
      </c>
    </row>
    <row r="33" spans="2:10" ht="10.5" customHeight="1" x14ac:dyDescent="0.35">
      <c r="B33" s="55">
        <v>10</v>
      </c>
      <c r="C33" s="55" t="s">
        <v>56</v>
      </c>
      <c r="D33" s="58">
        <v>726</v>
      </c>
      <c r="E33" s="58">
        <v>11</v>
      </c>
      <c r="F33" s="59">
        <f t="shared" si="5"/>
        <v>1.5151515151515151</v>
      </c>
      <c r="G33" s="60">
        <v>7</v>
      </c>
      <c r="H33" s="59">
        <f t="shared" si="6"/>
        <v>0.96418732782369143</v>
      </c>
      <c r="I33" s="84">
        <f t="shared" si="7"/>
        <v>18</v>
      </c>
      <c r="J33" s="59">
        <f t="shared" si="8"/>
        <v>2.4793388429752068</v>
      </c>
    </row>
    <row r="34" spans="2:10" ht="10.5" customHeight="1" x14ac:dyDescent="0.35">
      <c r="B34" s="55">
        <v>11</v>
      </c>
      <c r="C34" s="55" t="s">
        <v>57</v>
      </c>
      <c r="D34" s="58">
        <v>282</v>
      </c>
      <c r="E34" s="58">
        <v>118</v>
      </c>
      <c r="F34" s="59">
        <f t="shared" si="5"/>
        <v>41.843971631205676</v>
      </c>
      <c r="G34" s="60">
        <v>71</v>
      </c>
      <c r="H34" s="59">
        <f t="shared" si="6"/>
        <v>25.177304964539005</v>
      </c>
      <c r="I34" s="84">
        <f t="shared" si="7"/>
        <v>189</v>
      </c>
      <c r="J34" s="59">
        <f t="shared" si="8"/>
        <v>67.021276595744681</v>
      </c>
    </row>
    <row r="35" spans="2:10" ht="10.5" customHeight="1" x14ac:dyDescent="0.35">
      <c r="B35" s="55">
        <v>12</v>
      </c>
      <c r="C35" s="55" t="s">
        <v>58</v>
      </c>
      <c r="D35" s="58">
        <v>112</v>
      </c>
      <c r="E35" s="58">
        <v>12</v>
      </c>
      <c r="F35" s="59">
        <f t="shared" si="5"/>
        <v>10.714285714285714</v>
      </c>
      <c r="G35" s="60">
        <v>7</v>
      </c>
      <c r="H35" s="59">
        <f t="shared" si="6"/>
        <v>6.25</v>
      </c>
      <c r="I35" s="84">
        <f t="shared" si="7"/>
        <v>19</v>
      </c>
      <c r="J35" s="59">
        <f t="shared" si="8"/>
        <v>16.964285714285715</v>
      </c>
    </row>
    <row r="36" spans="2:10" ht="10.5" customHeight="1" x14ac:dyDescent="0.35">
      <c r="B36" s="65"/>
      <c r="C36" s="66" t="s">
        <v>59</v>
      </c>
      <c r="D36" s="69">
        <f t="shared" ref="D36:E36" si="9">SUM(D24:D35)</f>
        <v>4346</v>
      </c>
      <c r="E36" s="69">
        <f t="shared" si="9"/>
        <v>732</v>
      </c>
      <c r="F36" s="70">
        <f t="shared" si="5"/>
        <v>16.843074091118272</v>
      </c>
      <c r="G36" s="71">
        <f t="shared" ref="G36" si="10">SUM(G24:G35)</f>
        <v>775</v>
      </c>
      <c r="H36" s="70">
        <f>G36/D36*100</f>
        <v>17.832489645651172</v>
      </c>
      <c r="I36" s="85">
        <f>G36+E36</f>
        <v>1507</v>
      </c>
      <c r="J36" s="70">
        <f>I36/D36*100</f>
        <v>34.67556373676944</v>
      </c>
    </row>
    <row r="37" spans="2:10" ht="10.5" customHeight="1" x14ac:dyDescent="0.35"/>
    <row r="38" spans="2:10" ht="10.5" customHeight="1" x14ac:dyDescent="0.35"/>
    <row r="39" spans="2:10" ht="10.5" customHeight="1" x14ac:dyDescent="0.35">
      <c r="B39" s="158" t="s">
        <v>38</v>
      </c>
      <c r="C39" s="158" t="s">
        <v>39</v>
      </c>
      <c r="D39" s="165" t="s">
        <v>62</v>
      </c>
      <c r="E39" s="166"/>
      <c r="F39" s="166"/>
      <c r="G39" s="166"/>
      <c r="H39" s="166"/>
      <c r="I39" s="166"/>
      <c r="J39" s="166"/>
    </row>
    <row r="40" spans="2:10" ht="28" customHeight="1" x14ac:dyDescent="0.35">
      <c r="B40" s="159"/>
      <c r="C40" s="159"/>
      <c r="D40" s="52" t="s">
        <v>41</v>
      </c>
      <c r="E40" s="53" t="s">
        <v>42</v>
      </c>
      <c r="F40" s="53" t="s">
        <v>61</v>
      </c>
      <c r="G40" s="54" t="s">
        <v>44</v>
      </c>
      <c r="H40" s="53" t="s">
        <v>61</v>
      </c>
      <c r="I40" s="81" t="s">
        <v>63</v>
      </c>
      <c r="J40" s="81" t="s">
        <v>46</v>
      </c>
    </row>
    <row r="41" spans="2:10" ht="10.5" customHeight="1" x14ac:dyDescent="0.35">
      <c r="B41" s="55">
        <v>1</v>
      </c>
      <c r="C41" s="55" t="s">
        <v>47</v>
      </c>
      <c r="D41" s="61">
        <v>111</v>
      </c>
      <c r="E41" s="61">
        <v>1</v>
      </c>
      <c r="F41" s="62">
        <f t="shared" ref="F41:F53" si="11">E41/D41*100</f>
        <v>0.90090090090090091</v>
      </c>
      <c r="G41" s="63">
        <v>19</v>
      </c>
      <c r="H41" s="64">
        <f>G41/D41*100</f>
        <v>17.117117117117118</v>
      </c>
      <c r="I41" s="86">
        <f>G41+E41</f>
        <v>20</v>
      </c>
      <c r="J41" s="82">
        <f>I41/D41*100</f>
        <v>18.018018018018019</v>
      </c>
    </row>
    <row r="42" spans="2:10" ht="10.5" customHeight="1" x14ac:dyDescent="0.35">
      <c r="B42" s="55">
        <v>2</v>
      </c>
      <c r="C42" s="55" t="s">
        <v>48</v>
      </c>
      <c r="D42" s="61">
        <v>40</v>
      </c>
      <c r="E42" s="61">
        <v>16</v>
      </c>
      <c r="F42" s="62">
        <f t="shared" si="11"/>
        <v>40</v>
      </c>
      <c r="G42" s="63">
        <v>18</v>
      </c>
      <c r="H42" s="64">
        <f t="shared" ref="H42:H52" si="12">G42/D42*100</f>
        <v>45</v>
      </c>
      <c r="I42" s="86">
        <f t="shared" ref="I42:I52" si="13">G42+E42</f>
        <v>34</v>
      </c>
      <c r="J42" s="82">
        <f t="shared" ref="J42:J52" si="14">I42/D42*100</f>
        <v>85</v>
      </c>
    </row>
    <row r="43" spans="2:10" ht="10.5" customHeight="1" x14ac:dyDescent="0.35">
      <c r="B43" s="55">
        <v>3</v>
      </c>
      <c r="C43" s="55" t="s">
        <v>49</v>
      </c>
      <c r="D43" s="61">
        <v>67</v>
      </c>
      <c r="E43" s="61">
        <v>1</v>
      </c>
      <c r="F43" s="62">
        <f t="shared" si="11"/>
        <v>1.4925373134328357</v>
      </c>
      <c r="G43" s="63">
        <v>2</v>
      </c>
      <c r="H43" s="64">
        <f t="shared" si="12"/>
        <v>2.9850746268656714</v>
      </c>
      <c r="I43" s="86">
        <f t="shared" si="13"/>
        <v>3</v>
      </c>
      <c r="J43" s="82">
        <f t="shared" si="14"/>
        <v>4.4776119402985071</v>
      </c>
    </row>
    <row r="44" spans="2:10" ht="10.5" customHeight="1" x14ac:dyDescent="0.35">
      <c r="B44" s="55">
        <v>4</v>
      </c>
      <c r="C44" s="55" t="s">
        <v>50</v>
      </c>
      <c r="D44" s="61">
        <v>43</v>
      </c>
      <c r="E44" s="61">
        <v>3</v>
      </c>
      <c r="F44" s="62">
        <f t="shared" si="11"/>
        <v>6.9767441860465116</v>
      </c>
      <c r="G44" s="63">
        <v>6</v>
      </c>
      <c r="H44" s="64">
        <f t="shared" si="12"/>
        <v>13.953488372093023</v>
      </c>
      <c r="I44" s="86">
        <f t="shared" si="13"/>
        <v>9</v>
      </c>
      <c r="J44" s="82">
        <f t="shared" si="14"/>
        <v>20.930232558139537</v>
      </c>
    </row>
    <row r="45" spans="2:10" ht="10.5" customHeight="1" x14ac:dyDescent="0.35">
      <c r="B45" s="55">
        <v>5</v>
      </c>
      <c r="C45" s="55" t="s">
        <v>51</v>
      </c>
      <c r="D45" s="61">
        <v>71</v>
      </c>
      <c r="E45" s="61">
        <v>25</v>
      </c>
      <c r="F45" s="62">
        <f t="shared" si="11"/>
        <v>35.2112676056338</v>
      </c>
      <c r="G45" s="63">
        <v>26</v>
      </c>
      <c r="H45" s="64">
        <f t="shared" si="12"/>
        <v>36.619718309859159</v>
      </c>
      <c r="I45" s="86">
        <f t="shared" si="13"/>
        <v>51</v>
      </c>
      <c r="J45" s="82">
        <f t="shared" si="14"/>
        <v>71.83098591549296</v>
      </c>
    </row>
    <row r="46" spans="2:10" ht="10.5" customHeight="1" x14ac:dyDescent="0.35">
      <c r="B46" s="55">
        <v>6</v>
      </c>
      <c r="C46" s="55" t="s">
        <v>52</v>
      </c>
      <c r="D46" s="61">
        <v>227</v>
      </c>
      <c r="E46" s="61">
        <v>112</v>
      </c>
      <c r="F46" s="62">
        <f t="shared" si="11"/>
        <v>49.33920704845815</v>
      </c>
      <c r="G46" s="63">
        <v>58</v>
      </c>
      <c r="H46" s="64">
        <f t="shared" si="12"/>
        <v>25.55066079295154</v>
      </c>
      <c r="I46" s="86">
        <f t="shared" si="13"/>
        <v>170</v>
      </c>
      <c r="J46" s="82">
        <f t="shared" si="14"/>
        <v>74.889867841409696</v>
      </c>
    </row>
    <row r="47" spans="2:10" ht="10.5" customHeight="1" x14ac:dyDescent="0.35">
      <c r="B47" s="55">
        <v>7</v>
      </c>
      <c r="C47" s="55" t="s">
        <v>53</v>
      </c>
      <c r="D47" s="61">
        <v>47</v>
      </c>
      <c r="E47" s="61">
        <v>8</v>
      </c>
      <c r="F47" s="62">
        <f t="shared" si="11"/>
        <v>17.021276595744681</v>
      </c>
      <c r="G47" s="63">
        <v>11</v>
      </c>
      <c r="H47" s="64">
        <f t="shared" si="12"/>
        <v>23.404255319148938</v>
      </c>
      <c r="I47" s="86">
        <f t="shared" si="13"/>
        <v>19</v>
      </c>
      <c r="J47" s="82">
        <f t="shared" si="14"/>
        <v>40.425531914893611</v>
      </c>
    </row>
    <row r="48" spans="2:10" ht="10.5" customHeight="1" x14ac:dyDescent="0.35">
      <c r="B48" s="55">
        <v>8</v>
      </c>
      <c r="C48" s="55" t="s">
        <v>54</v>
      </c>
      <c r="D48" s="61">
        <v>115</v>
      </c>
      <c r="E48" s="61">
        <v>2</v>
      </c>
      <c r="F48" s="62">
        <f t="shared" si="11"/>
        <v>1.7391304347826086</v>
      </c>
      <c r="G48" s="63">
        <v>8</v>
      </c>
      <c r="H48" s="64">
        <f t="shared" si="12"/>
        <v>6.9565217391304346</v>
      </c>
      <c r="I48" s="86">
        <f t="shared" si="13"/>
        <v>10</v>
      </c>
      <c r="J48" s="82">
        <f t="shared" si="14"/>
        <v>8.695652173913043</v>
      </c>
    </row>
    <row r="49" spans="2:10" ht="10.5" customHeight="1" x14ac:dyDescent="0.35">
      <c r="B49" s="55">
        <v>9</v>
      </c>
      <c r="C49" s="55" t="s">
        <v>55</v>
      </c>
      <c r="D49" s="61">
        <v>85</v>
      </c>
      <c r="E49" s="61">
        <v>7</v>
      </c>
      <c r="F49" s="62">
        <f t="shared" si="11"/>
        <v>8.235294117647058</v>
      </c>
      <c r="G49" s="63">
        <v>12</v>
      </c>
      <c r="H49" s="64">
        <f t="shared" si="12"/>
        <v>14.117647058823529</v>
      </c>
      <c r="I49" s="86">
        <f t="shared" si="13"/>
        <v>19</v>
      </c>
      <c r="J49" s="82">
        <f t="shared" si="14"/>
        <v>22.352941176470591</v>
      </c>
    </row>
    <row r="50" spans="2:10" ht="10.5" customHeight="1" x14ac:dyDescent="0.35">
      <c r="B50" s="55">
        <v>10</v>
      </c>
      <c r="C50" s="55" t="s">
        <v>56</v>
      </c>
      <c r="D50" s="61">
        <v>182</v>
      </c>
      <c r="E50" s="61">
        <v>4</v>
      </c>
      <c r="F50" s="62">
        <f t="shared" si="11"/>
        <v>2.197802197802198</v>
      </c>
      <c r="G50" s="63">
        <v>20</v>
      </c>
      <c r="H50" s="64">
        <f t="shared" si="12"/>
        <v>10.989010989010989</v>
      </c>
      <c r="I50" s="86">
        <f t="shared" si="13"/>
        <v>24</v>
      </c>
      <c r="J50" s="82">
        <f t="shared" si="14"/>
        <v>13.186813186813188</v>
      </c>
    </row>
    <row r="51" spans="2:10" ht="10.5" customHeight="1" x14ac:dyDescent="0.35">
      <c r="B51" s="55">
        <v>11</v>
      </c>
      <c r="C51" s="55" t="s">
        <v>57</v>
      </c>
      <c r="D51" s="61">
        <v>70</v>
      </c>
      <c r="E51" s="61">
        <v>21</v>
      </c>
      <c r="F51" s="62">
        <f t="shared" si="11"/>
        <v>30</v>
      </c>
      <c r="G51" s="63">
        <v>12</v>
      </c>
      <c r="H51" s="64">
        <f t="shared" si="12"/>
        <v>17.142857142857142</v>
      </c>
      <c r="I51" s="86">
        <f t="shared" si="13"/>
        <v>33</v>
      </c>
      <c r="J51" s="82">
        <f t="shared" si="14"/>
        <v>47.142857142857139</v>
      </c>
    </row>
    <row r="52" spans="2:10" ht="10.5" customHeight="1" x14ac:dyDescent="0.35">
      <c r="B52" s="55">
        <v>12</v>
      </c>
      <c r="C52" s="55" t="s">
        <v>58</v>
      </c>
      <c r="D52" s="61">
        <v>28</v>
      </c>
      <c r="E52" s="61">
        <v>2</v>
      </c>
      <c r="F52" s="62">
        <f t="shared" si="11"/>
        <v>7.1428571428571423</v>
      </c>
      <c r="G52" s="63">
        <v>1</v>
      </c>
      <c r="H52" s="64">
        <f t="shared" si="12"/>
        <v>3.5714285714285712</v>
      </c>
      <c r="I52" s="86">
        <f t="shared" si="13"/>
        <v>3</v>
      </c>
      <c r="J52" s="82">
        <f t="shared" si="14"/>
        <v>10.714285714285714</v>
      </c>
    </row>
    <row r="53" spans="2:10" ht="10.5" customHeight="1" x14ac:dyDescent="0.35">
      <c r="B53" s="65"/>
      <c r="C53" s="66" t="s">
        <v>59</v>
      </c>
      <c r="D53" s="72">
        <f t="shared" ref="D53:E53" si="15">SUM(D41:D52)</f>
        <v>1086</v>
      </c>
      <c r="E53" s="72">
        <f t="shared" si="15"/>
        <v>202</v>
      </c>
      <c r="F53" s="73">
        <f t="shared" si="11"/>
        <v>18.600368324125231</v>
      </c>
      <c r="G53" s="74">
        <v>193</v>
      </c>
      <c r="H53" s="75">
        <f>G53/D53*100</f>
        <v>17.771639042357272</v>
      </c>
      <c r="I53" s="87">
        <f>G53+E53</f>
        <v>395</v>
      </c>
      <c r="J53" s="83">
        <f>I53/D53*100</f>
        <v>36.372007366482507</v>
      </c>
    </row>
    <row r="54" spans="2:10" ht="10.5" customHeight="1" x14ac:dyDescent="0.35">
      <c r="I54" s="77"/>
    </row>
    <row r="55" spans="2:10" ht="10.5" customHeight="1" x14ac:dyDescent="0.35"/>
    <row r="56" spans="2:10" ht="10.5" customHeight="1" x14ac:dyDescent="0.35"/>
    <row r="57" spans="2:10" ht="10.5" customHeight="1" x14ac:dyDescent="0.35"/>
    <row r="58" spans="2:10" ht="10.5" customHeight="1" x14ac:dyDescent="0.35"/>
    <row r="59" spans="2:10" ht="10.5" customHeight="1" x14ac:dyDescent="0.35"/>
    <row r="60" spans="2:10" ht="10.5" customHeight="1" x14ac:dyDescent="0.35"/>
    <row r="61" spans="2:10" ht="10.5" customHeight="1" x14ac:dyDescent="0.35"/>
    <row r="62" spans="2:10" ht="10.5" customHeight="1" x14ac:dyDescent="0.35"/>
    <row r="63" spans="2:10" ht="10.5" customHeight="1" x14ac:dyDescent="0.35"/>
    <row r="64" spans="2:10" ht="10.5" customHeight="1" x14ac:dyDescent="0.35"/>
    <row r="65" ht="10.5" customHeight="1" x14ac:dyDescent="0.35"/>
    <row r="66" ht="10.5" customHeight="1" x14ac:dyDescent="0.35"/>
    <row r="67" ht="10.5" customHeight="1" x14ac:dyDescent="0.35"/>
    <row r="68" ht="10.5" customHeight="1" x14ac:dyDescent="0.35"/>
    <row r="69" ht="10.5" customHeight="1" x14ac:dyDescent="0.35"/>
    <row r="70" ht="10.5" customHeight="1" x14ac:dyDescent="0.35"/>
    <row r="71" ht="10.5" customHeight="1" x14ac:dyDescent="0.35"/>
    <row r="72" ht="10.5" customHeight="1" x14ac:dyDescent="0.35"/>
    <row r="73" ht="10.5" customHeight="1" x14ac:dyDescent="0.35"/>
    <row r="74" ht="10.5" customHeight="1" x14ac:dyDescent="0.35"/>
    <row r="75" ht="10.5" customHeight="1" x14ac:dyDescent="0.35"/>
    <row r="76" ht="10.5" customHeight="1" x14ac:dyDescent="0.35"/>
    <row r="77" ht="10.5" customHeight="1" x14ac:dyDescent="0.35"/>
    <row r="78" ht="10.5" customHeight="1" x14ac:dyDescent="0.35"/>
    <row r="79" ht="10.5" customHeight="1" x14ac:dyDescent="0.35"/>
    <row r="80" ht="10.5" customHeight="1" x14ac:dyDescent="0.35"/>
    <row r="81" ht="10.5" customHeight="1" x14ac:dyDescent="0.35"/>
    <row r="82" ht="10.5" customHeight="1" x14ac:dyDescent="0.35"/>
    <row r="83" ht="10.5" customHeight="1" x14ac:dyDescent="0.35"/>
    <row r="84" ht="10.5" customHeight="1" x14ac:dyDescent="0.35"/>
    <row r="85" ht="10.5" customHeight="1" x14ac:dyDescent="0.35"/>
    <row r="86" ht="10.5" customHeight="1" x14ac:dyDescent="0.35"/>
    <row r="87" ht="10.5" customHeight="1" x14ac:dyDescent="0.35"/>
    <row r="88" ht="10.5" customHeight="1" x14ac:dyDescent="0.35"/>
    <row r="89" ht="10.5" customHeight="1" x14ac:dyDescent="0.35"/>
    <row r="90" ht="10.5" customHeight="1" x14ac:dyDescent="0.35"/>
    <row r="91" ht="10.5" customHeight="1" x14ac:dyDescent="0.35"/>
    <row r="92" ht="10.5" customHeight="1" x14ac:dyDescent="0.35"/>
    <row r="93" ht="10.5" customHeight="1" x14ac:dyDescent="0.35"/>
    <row r="94" ht="10.5" customHeight="1" x14ac:dyDescent="0.35"/>
    <row r="95" ht="10.5" customHeight="1" x14ac:dyDescent="0.35"/>
    <row r="96" ht="10.5" customHeight="1" x14ac:dyDescent="0.35"/>
    <row r="97" ht="10.5" customHeight="1" x14ac:dyDescent="0.35"/>
    <row r="98" ht="10.5" customHeight="1" x14ac:dyDescent="0.35"/>
    <row r="99" ht="10.5" customHeight="1" x14ac:dyDescent="0.35"/>
    <row r="100" ht="10.5" customHeight="1" x14ac:dyDescent="0.35"/>
    <row r="101" ht="10.5" customHeight="1" x14ac:dyDescent="0.35"/>
    <row r="102" ht="10.5" customHeight="1" x14ac:dyDescent="0.35"/>
    <row r="103" ht="10.5" customHeight="1" x14ac:dyDescent="0.35"/>
    <row r="104" ht="10.5" customHeight="1" x14ac:dyDescent="0.35"/>
    <row r="105" ht="10.5" customHeight="1" x14ac:dyDescent="0.35"/>
    <row r="106" ht="10.5" customHeight="1" x14ac:dyDescent="0.35"/>
    <row r="107" ht="10.5" customHeight="1" x14ac:dyDescent="0.35"/>
    <row r="108" ht="10.5" customHeight="1" x14ac:dyDescent="0.35"/>
    <row r="109" ht="10.5" customHeight="1" x14ac:dyDescent="0.35"/>
    <row r="110" ht="10.5" customHeight="1" x14ac:dyDescent="0.35"/>
    <row r="111" ht="10.5" customHeight="1" x14ac:dyDescent="0.35"/>
    <row r="112" ht="10.5" customHeight="1" x14ac:dyDescent="0.35"/>
    <row r="113" ht="10.5" customHeight="1" x14ac:dyDescent="0.35"/>
    <row r="114" ht="10.5" customHeight="1" x14ac:dyDescent="0.35"/>
    <row r="115" ht="10.5" customHeight="1" x14ac:dyDescent="0.35"/>
    <row r="116" ht="10.5" customHeight="1" x14ac:dyDescent="0.35"/>
    <row r="117" ht="10.5" customHeight="1" x14ac:dyDescent="0.35"/>
    <row r="118" ht="10.5" customHeight="1" x14ac:dyDescent="0.35"/>
    <row r="119" ht="10.5" customHeight="1" x14ac:dyDescent="0.35"/>
    <row r="120" ht="10.5" customHeight="1" x14ac:dyDescent="0.35"/>
    <row r="121" ht="10.5" customHeight="1" x14ac:dyDescent="0.35"/>
    <row r="122" ht="10.5" customHeight="1" x14ac:dyDescent="0.35"/>
    <row r="123" ht="10.5" customHeight="1" x14ac:dyDescent="0.35"/>
    <row r="124" ht="10.5" customHeight="1" x14ac:dyDescent="0.35"/>
    <row r="125" ht="10.5" customHeight="1" x14ac:dyDescent="0.35"/>
    <row r="126" ht="10.5" customHeight="1" x14ac:dyDescent="0.35"/>
    <row r="127" ht="10.5" customHeight="1" x14ac:dyDescent="0.35"/>
    <row r="128" ht="10.5" customHeight="1" x14ac:dyDescent="0.35"/>
    <row r="129" ht="10.5" customHeight="1" x14ac:dyDescent="0.35"/>
    <row r="130" ht="10.5" customHeight="1" x14ac:dyDescent="0.35"/>
    <row r="131" ht="10.5" customHeight="1" x14ac:dyDescent="0.35"/>
    <row r="132" ht="10.5" customHeight="1" x14ac:dyDescent="0.35"/>
    <row r="133" ht="10.5" customHeight="1" x14ac:dyDescent="0.35"/>
    <row r="134" ht="10.5" customHeight="1" x14ac:dyDescent="0.35"/>
    <row r="135" ht="10.5" customHeight="1" x14ac:dyDescent="0.35"/>
    <row r="136" ht="10.5" customHeight="1" x14ac:dyDescent="0.35"/>
    <row r="137" ht="10.5" customHeight="1" x14ac:dyDescent="0.35"/>
    <row r="138" ht="10.5" customHeight="1" x14ac:dyDescent="0.35"/>
    <row r="139" ht="10.5" customHeight="1" x14ac:dyDescent="0.35"/>
    <row r="140" ht="10.5" customHeight="1" x14ac:dyDescent="0.35"/>
    <row r="141" ht="10.5" customHeight="1" x14ac:dyDescent="0.35"/>
    <row r="142" ht="10.5" customHeight="1" x14ac:dyDescent="0.35"/>
    <row r="143" ht="10.5" customHeight="1" x14ac:dyDescent="0.35"/>
    <row r="144" ht="10.5" customHeight="1" x14ac:dyDescent="0.35"/>
    <row r="145" ht="10.5" customHeight="1" x14ac:dyDescent="0.35"/>
    <row r="146" ht="10.5" customHeight="1" x14ac:dyDescent="0.35"/>
    <row r="147" ht="10.5" customHeight="1" x14ac:dyDescent="0.35"/>
    <row r="148" ht="10.5" customHeight="1" x14ac:dyDescent="0.35"/>
    <row r="149" ht="10.5" customHeight="1" x14ac:dyDescent="0.35"/>
    <row r="150" ht="10.5" customHeight="1" x14ac:dyDescent="0.35"/>
    <row r="151" ht="10.5" customHeight="1" x14ac:dyDescent="0.35"/>
    <row r="152" ht="10.5" customHeight="1" x14ac:dyDescent="0.35"/>
    <row r="153" ht="10.5" customHeight="1" x14ac:dyDescent="0.35"/>
    <row r="154" ht="10.5" customHeight="1" x14ac:dyDescent="0.35"/>
    <row r="155" ht="10.5" customHeight="1" x14ac:dyDescent="0.35"/>
    <row r="156" ht="10.5" customHeight="1" x14ac:dyDescent="0.35"/>
    <row r="157" ht="10.5" customHeight="1" x14ac:dyDescent="0.35"/>
    <row r="158" ht="10.5" customHeight="1" x14ac:dyDescent="0.35"/>
    <row r="159" ht="10.5" customHeight="1" x14ac:dyDescent="0.35"/>
    <row r="160" ht="10.5" customHeight="1" x14ac:dyDescent="0.35"/>
    <row r="161" ht="10.5" customHeight="1" x14ac:dyDescent="0.35"/>
    <row r="162" ht="10.5" customHeight="1" x14ac:dyDescent="0.35"/>
    <row r="163" ht="10.5" customHeight="1" x14ac:dyDescent="0.35"/>
    <row r="164" ht="10.5" customHeight="1" x14ac:dyDescent="0.35"/>
    <row r="165" ht="10.5" customHeight="1" x14ac:dyDescent="0.35"/>
    <row r="166" ht="10.5" customHeight="1" x14ac:dyDescent="0.35"/>
    <row r="167" ht="10.5" customHeight="1" x14ac:dyDescent="0.35"/>
    <row r="168" ht="10.5" customHeight="1" x14ac:dyDescent="0.35"/>
    <row r="169" ht="10.5" customHeight="1" x14ac:dyDescent="0.35"/>
    <row r="170" ht="10.5" customHeight="1" x14ac:dyDescent="0.35"/>
    <row r="171" ht="10.5" customHeight="1" x14ac:dyDescent="0.35"/>
    <row r="172" ht="10.5" customHeight="1" x14ac:dyDescent="0.35"/>
    <row r="173" ht="10.5" customHeight="1" x14ac:dyDescent="0.35"/>
    <row r="174" ht="10.5" customHeight="1" x14ac:dyDescent="0.35"/>
    <row r="175" ht="10.5" customHeight="1" x14ac:dyDescent="0.35"/>
    <row r="176" ht="10.5" customHeight="1" x14ac:dyDescent="0.35"/>
    <row r="177" ht="10.5" customHeight="1" x14ac:dyDescent="0.35"/>
    <row r="178" ht="10.5" customHeight="1" x14ac:dyDescent="0.35"/>
    <row r="179" ht="10.5" customHeight="1" x14ac:dyDescent="0.35"/>
    <row r="180" ht="10.5" customHeight="1" x14ac:dyDescent="0.35"/>
    <row r="181" ht="10.5" customHeight="1" x14ac:dyDescent="0.35"/>
    <row r="182" ht="10.5" customHeight="1" x14ac:dyDescent="0.35"/>
    <row r="183" ht="10.5" customHeight="1" x14ac:dyDescent="0.35"/>
    <row r="184" ht="10.5" customHeight="1" x14ac:dyDescent="0.35"/>
    <row r="185" ht="10.5" customHeight="1" x14ac:dyDescent="0.35"/>
    <row r="186" ht="10.5" customHeight="1" x14ac:dyDescent="0.35"/>
    <row r="187" ht="10.5" customHeight="1" x14ac:dyDescent="0.35"/>
    <row r="188" ht="10.5" customHeight="1" x14ac:dyDescent="0.35"/>
    <row r="189" ht="10.5" customHeight="1" x14ac:dyDescent="0.35"/>
    <row r="190" ht="10.5" customHeight="1" x14ac:dyDescent="0.35"/>
    <row r="191" ht="10.5" customHeight="1" x14ac:dyDescent="0.35"/>
    <row r="192" ht="10.5" customHeight="1" x14ac:dyDescent="0.35"/>
    <row r="193" ht="10.5" customHeight="1" x14ac:dyDescent="0.35"/>
    <row r="194" ht="10.5" customHeight="1" x14ac:dyDescent="0.35"/>
    <row r="195" ht="10.5" customHeight="1" x14ac:dyDescent="0.35"/>
    <row r="196" ht="10.5" customHeight="1" x14ac:dyDescent="0.35"/>
    <row r="197" ht="10.5" customHeight="1" x14ac:dyDescent="0.35"/>
    <row r="198" ht="10.5" customHeight="1" x14ac:dyDescent="0.35"/>
    <row r="199" ht="10.5" customHeight="1" x14ac:dyDescent="0.35"/>
    <row r="200" ht="10.5" customHeight="1" x14ac:dyDescent="0.35"/>
    <row r="201" ht="10.5" customHeight="1" x14ac:dyDescent="0.35"/>
    <row r="202" ht="10.5" customHeight="1" x14ac:dyDescent="0.35"/>
    <row r="203" ht="10.5" customHeight="1" x14ac:dyDescent="0.35"/>
    <row r="204" ht="10.5" customHeight="1" x14ac:dyDescent="0.35"/>
    <row r="205" ht="10.5" customHeight="1" x14ac:dyDescent="0.35"/>
    <row r="206" ht="10.5" customHeight="1" x14ac:dyDescent="0.35"/>
    <row r="207" ht="10.5" customHeight="1" x14ac:dyDescent="0.35"/>
    <row r="208" ht="10.5" customHeight="1" x14ac:dyDescent="0.35"/>
    <row r="209" ht="10.5" customHeight="1" x14ac:dyDescent="0.35"/>
    <row r="210" ht="10.5" customHeight="1" x14ac:dyDescent="0.35"/>
    <row r="211" ht="10.5" customHeight="1" x14ac:dyDescent="0.35"/>
    <row r="212" ht="10.5" customHeight="1" x14ac:dyDescent="0.35"/>
    <row r="213" ht="10.5" customHeight="1" x14ac:dyDescent="0.35"/>
    <row r="214" ht="10.5" customHeight="1" x14ac:dyDescent="0.35"/>
    <row r="215" ht="10.5" customHeight="1" x14ac:dyDescent="0.35"/>
    <row r="216" ht="10.5" customHeight="1" x14ac:dyDescent="0.35"/>
    <row r="217" ht="10.5" customHeight="1" x14ac:dyDescent="0.35"/>
    <row r="218" ht="10.5" customHeight="1" x14ac:dyDescent="0.35"/>
    <row r="219" ht="10.5" customHeight="1" x14ac:dyDescent="0.35"/>
    <row r="220" ht="10.5" customHeight="1" x14ac:dyDescent="0.35"/>
    <row r="221" ht="10.5" customHeight="1" x14ac:dyDescent="0.35"/>
    <row r="222" ht="10.5" customHeight="1" x14ac:dyDescent="0.35"/>
    <row r="223" ht="10.5" customHeight="1" x14ac:dyDescent="0.35"/>
    <row r="224" ht="10.5" customHeight="1" x14ac:dyDescent="0.35"/>
    <row r="225" ht="10.5" customHeight="1" x14ac:dyDescent="0.35"/>
    <row r="226" ht="10.5" customHeight="1" x14ac:dyDescent="0.35"/>
    <row r="227" ht="10.5" customHeight="1" x14ac:dyDescent="0.35"/>
    <row r="228" ht="10.5" customHeight="1" x14ac:dyDescent="0.35"/>
    <row r="229" ht="10.5" customHeight="1" x14ac:dyDescent="0.35"/>
    <row r="230" ht="10.5" customHeight="1" x14ac:dyDescent="0.35"/>
    <row r="231" ht="10.5" customHeight="1" x14ac:dyDescent="0.35"/>
    <row r="232" ht="10.5" customHeight="1" x14ac:dyDescent="0.35"/>
    <row r="233" ht="10.5" customHeight="1" x14ac:dyDescent="0.35"/>
    <row r="234" ht="10.5" customHeight="1" x14ac:dyDescent="0.35"/>
    <row r="235" ht="10.5" customHeight="1" x14ac:dyDescent="0.35"/>
    <row r="236" ht="10.5" customHeight="1" x14ac:dyDescent="0.35"/>
    <row r="237" ht="10.5" customHeight="1" x14ac:dyDescent="0.35"/>
    <row r="238" ht="10.5" customHeight="1" x14ac:dyDescent="0.35"/>
    <row r="239" ht="10.5" customHeight="1" x14ac:dyDescent="0.35"/>
    <row r="240" ht="10.5" customHeight="1" x14ac:dyDescent="0.35"/>
    <row r="241" ht="10.5" customHeight="1" x14ac:dyDescent="0.35"/>
    <row r="242" ht="10.5" customHeight="1" x14ac:dyDescent="0.35"/>
    <row r="243" ht="10.5" customHeight="1" x14ac:dyDescent="0.35"/>
    <row r="244" ht="10.5" customHeight="1" x14ac:dyDescent="0.35"/>
    <row r="245" ht="10.5" customHeight="1" x14ac:dyDescent="0.35"/>
    <row r="246" ht="10.5" customHeight="1" x14ac:dyDescent="0.35"/>
    <row r="247" ht="10.5" customHeight="1" x14ac:dyDescent="0.35"/>
    <row r="248" ht="10.5" customHeight="1" x14ac:dyDescent="0.35"/>
    <row r="249" ht="10.5" customHeight="1" x14ac:dyDescent="0.35"/>
    <row r="250" ht="10.5" customHeight="1" x14ac:dyDescent="0.35"/>
    <row r="251" ht="10.5" customHeight="1" x14ac:dyDescent="0.35"/>
    <row r="252" ht="10.5" customHeight="1" x14ac:dyDescent="0.35"/>
    <row r="253" ht="10.5" customHeight="1" x14ac:dyDescent="0.35"/>
    <row r="254" ht="10.5" customHeight="1" x14ac:dyDescent="0.35"/>
    <row r="255" ht="10.5" customHeight="1" x14ac:dyDescent="0.35"/>
    <row r="256" ht="10.5" customHeight="1" x14ac:dyDescent="0.35"/>
    <row r="257" ht="10.5" customHeight="1" x14ac:dyDescent="0.35"/>
    <row r="258" ht="10.5" customHeight="1" x14ac:dyDescent="0.35"/>
    <row r="259" ht="10.5" customHeight="1" x14ac:dyDescent="0.35"/>
    <row r="260" ht="10.5" customHeight="1" x14ac:dyDescent="0.35"/>
    <row r="261" ht="10.5" customHeight="1" x14ac:dyDescent="0.35"/>
    <row r="262" ht="10.5" customHeight="1" x14ac:dyDescent="0.35"/>
    <row r="263" ht="10.5" customHeight="1" x14ac:dyDescent="0.35"/>
    <row r="264" ht="10.5" customHeight="1" x14ac:dyDescent="0.35"/>
    <row r="265" ht="10.5" customHeight="1" x14ac:dyDescent="0.35"/>
    <row r="266" ht="10.5" customHeight="1" x14ac:dyDescent="0.35"/>
    <row r="267" ht="10.5" customHeight="1" x14ac:dyDescent="0.35"/>
    <row r="268" ht="10.5" customHeight="1" x14ac:dyDescent="0.35"/>
    <row r="269" ht="10.5" customHeight="1" x14ac:dyDescent="0.35"/>
    <row r="270" ht="10.5" customHeight="1" x14ac:dyDescent="0.35"/>
    <row r="271" ht="10.5" customHeight="1" x14ac:dyDescent="0.35"/>
    <row r="272" ht="10.5" customHeight="1" x14ac:dyDescent="0.35"/>
    <row r="273" ht="10.5" customHeight="1" x14ac:dyDescent="0.35"/>
    <row r="274" ht="10.5" customHeight="1" x14ac:dyDescent="0.35"/>
    <row r="275" ht="10.5" customHeight="1" x14ac:dyDescent="0.35"/>
    <row r="276" ht="10.5" customHeight="1" x14ac:dyDescent="0.35"/>
    <row r="277" ht="10.5" customHeight="1" x14ac:dyDescent="0.35"/>
    <row r="278" ht="10.5" customHeight="1" x14ac:dyDescent="0.35"/>
    <row r="279" ht="10.5" customHeight="1" x14ac:dyDescent="0.35"/>
    <row r="280" ht="10.5" customHeight="1" x14ac:dyDescent="0.35"/>
    <row r="281" ht="10.5" customHeight="1" x14ac:dyDescent="0.35"/>
    <row r="282" ht="10.5" customHeight="1" x14ac:dyDescent="0.35"/>
    <row r="283" ht="10.5" customHeight="1" x14ac:dyDescent="0.35"/>
    <row r="284" ht="10.5" customHeight="1" x14ac:dyDescent="0.35"/>
    <row r="285" ht="10.5" customHeight="1" x14ac:dyDescent="0.35"/>
    <row r="286" ht="10.5" customHeight="1" x14ac:dyDescent="0.35"/>
    <row r="287" ht="10.5" customHeight="1" x14ac:dyDescent="0.35"/>
    <row r="288" ht="10.5" customHeight="1" x14ac:dyDescent="0.35"/>
    <row r="289" ht="10.5" customHeight="1" x14ac:dyDescent="0.35"/>
    <row r="290" ht="10.5" customHeight="1" x14ac:dyDescent="0.35"/>
    <row r="291" ht="10.5" customHeight="1" x14ac:dyDescent="0.35"/>
    <row r="292" ht="10.5" customHeight="1" x14ac:dyDescent="0.35"/>
    <row r="293" ht="10.5" customHeight="1" x14ac:dyDescent="0.35"/>
    <row r="294" ht="10.5" customHeight="1" x14ac:dyDescent="0.35"/>
    <row r="295" ht="10.5" customHeight="1" x14ac:dyDescent="0.35"/>
    <row r="296" ht="10.5" customHeight="1" x14ac:dyDescent="0.35"/>
    <row r="297" ht="10.5" customHeight="1" x14ac:dyDescent="0.35"/>
    <row r="298" ht="10.5" customHeight="1" x14ac:dyDescent="0.35"/>
    <row r="299" ht="10.5" customHeight="1" x14ac:dyDescent="0.35"/>
    <row r="300" ht="10.5" customHeight="1" x14ac:dyDescent="0.35"/>
    <row r="301" ht="10.5" customHeight="1" x14ac:dyDescent="0.35"/>
    <row r="302" ht="10.5" customHeight="1" x14ac:dyDescent="0.35"/>
    <row r="303" ht="10.5" customHeight="1" x14ac:dyDescent="0.35"/>
    <row r="304" ht="10.5" customHeight="1" x14ac:dyDescent="0.35"/>
    <row r="305" ht="10.5" customHeight="1" x14ac:dyDescent="0.35"/>
    <row r="306" ht="10.5" customHeight="1" x14ac:dyDescent="0.35"/>
    <row r="307" ht="10.5" customHeight="1" x14ac:dyDescent="0.35"/>
    <row r="308" ht="10.5" customHeight="1" x14ac:dyDescent="0.35"/>
    <row r="309" ht="10.5" customHeight="1" x14ac:dyDescent="0.35"/>
    <row r="310" ht="10.5" customHeight="1" x14ac:dyDescent="0.35"/>
    <row r="311" ht="10.5" customHeight="1" x14ac:dyDescent="0.35"/>
    <row r="312" ht="10.5" customHeight="1" x14ac:dyDescent="0.35"/>
    <row r="313" ht="10.5" customHeight="1" x14ac:dyDescent="0.35"/>
    <row r="314" ht="10.5" customHeight="1" x14ac:dyDescent="0.35"/>
    <row r="315" ht="10.5" customHeight="1" x14ac:dyDescent="0.35"/>
    <row r="316" ht="10.5" customHeight="1" x14ac:dyDescent="0.35"/>
    <row r="317" ht="10.5" customHeight="1" x14ac:dyDescent="0.35"/>
    <row r="318" ht="10.5" customHeight="1" x14ac:dyDescent="0.35"/>
    <row r="319" ht="10.5" customHeight="1" x14ac:dyDescent="0.35"/>
    <row r="320" ht="10.5" customHeight="1" x14ac:dyDescent="0.35"/>
    <row r="321" ht="10.5" customHeight="1" x14ac:dyDescent="0.35"/>
    <row r="322" ht="10.5" customHeight="1" x14ac:dyDescent="0.35"/>
    <row r="323" ht="10.5" customHeight="1" x14ac:dyDescent="0.35"/>
    <row r="324" ht="10.5" customHeight="1" x14ac:dyDescent="0.35"/>
    <row r="325" ht="10.5" customHeight="1" x14ac:dyDescent="0.35"/>
    <row r="326" ht="10.5" customHeight="1" x14ac:dyDescent="0.35"/>
    <row r="327" ht="10.5" customHeight="1" x14ac:dyDescent="0.35"/>
    <row r="328" ht="10.5" customHeight="1" x14ac:dyDescent="0.35"/>
    <row r="329" ht="10.5" customHeight="1" x14ac:dyDescent="0.35"/>
    <row r="330" ht="10.5" customHeight="1" x14ac:dyDescent="0.35"/>
    <row r="331" ht="10.5" customHeight="1" x14ac:dyDescent="0.35"/>
    <row r="332" ht="10.5" customHeight="1" x14ac:dyDescent="0.35"/>
    <row r="333" ht="10.5" customHeight="1" x14ac:dyDescent="0.35"/>
    <row r="334" ht="10.5" customHeight="1" x14ac:dyDescent="0.35"/>
    <row r="335" ht="10.5" customHeight="1" x14ac:dyDescent="0.35"/>
    <row r="336" ht="10.5" customHeight="1" x14ac:dyDescent="0.35"/>
    <row r="337" ht="10.5" customHeight="1" x14ac:dyDescent="0.35"/>
    <row r="338" ht="10.5" customHeight="1" x14ac:dyDescent="0.35"/>
    <row r="339" ht="10.5" customHeight="1" x14ac:dyDescent="0.35"/>
    <row r="340" ht="10.5" customHeight="1" x14ac:dyDescent="0.35"/>
    <row r="341" ht="10.5" customHeight="1" x14ac:dyDescent="0.35"/>
    <row r="342" ht="10.5" customHeight="1" x14ac:dyDescent="0.35"/>
    <row r="343" ht="10.5" customHeight="1" x14ac:dyDescent="0.35"/>
    <row r="344" ht="10.5" customHeight="1" x14ac:dyDescent="0.35"/>
    <row r="345" ht="10.5" customHeight="1" x14ac:dyDescent="0.35"/>
    <row r="346" ht="10.5" customHeight="1" x14ac:dyDescent="0.35"/>
    <row r="347" ht="10.5" customHeight="1" x14ac:dyDescent="0.35"/>
    <row r="348" ht="10.5" customHeight="1" x14ac:dyDescent="0.35"/>
    <row r="349" ht="10.5" customHeight="1" x14ac:dyDescent="0.35"/>
    <row r="350" ht="10.5" customHeight="1" x14ac:dyDescent="0.35"/>
    <row r="351" ht="10.5" customHeight="1" x14ac:dyDescent="0.35"/>
    <row r="352" ht="10.5" customHeight="1" x14ac:dyDescent="0.35"/>
    <row r="353" ht="10.5" customHeight="1" x14ac:dyDescent="0.35"/>
    <row r="354" ht="10.5" customHeight="1" x14ac:dyDescent="0.35"/>
    <row r="355" ht="10.5" customHeight="1" x14ac:dyDescent="0.35"/>
    <row r="356" ht="10.5" customHeight="1" x14ac:dyDescent="0.35"/>
    <row r="357" ht="10.5" customHeight="1" x14ac:dyDescent="0.35"/>
    <row r="358" ht="10.5" customHeight="1" x14ac:dyDescent="0.35"/>
    <row r="359" ht="10.5" customHeight="1" x14ac:dyDescent="0.35"/>
    <row r="360" ht="10.5" customHeight="1" x14ac:dyDescent="0.35"/>
    <row r="361" ht="10.5" customHeight="1" x14ac:dyDescent="0.35"/>
    <row r="362" ht="10.5" customHeight="1" x14ac:dyDescent="0.35"/>
    <row r="363" ht="10.5" customHeight="1" x14ac:dyDescent="0.35"/>
    <row r="364" ht="10.5" customHeight="1" x14ac:dyDescent="0.35"/>
    <row r="365" ht="10.5" customHeight="1" x14ac:dyDescent="0.35"/>
    <row r="366" ht="10.5" customHeight="1" x14ac:dyDescent="0.35"/>
    <row r="367" ht="10.5" customHeight="1" x14ac:dyDescent="0.35"/>
    <row r="368" ht="10.5" customHeight="1" x14ac:dyDescent="0.35"/>
    <row r="369" ht="10.5" customHeight="1" x14ac:dyDescent="0.35"/>
    <row r="370" ht="10.5" customHeight="1" x14ac:dyDescent="0.35"/>
    <row r="371" ht="10.5" customHeight="1" x14ac:dyDescent="0.35"/>
    <row r="372" ht="10.5" customHeight="1" x14ac:dyDescent="0.35"/>
    <row r="373" ht="10.5" customHeight="1" x14ac:dyDescent="0.35"/>
    <row r="374" ht="10.5" customHeight="1" x14ac:dyDescent="0.35"/>
    <row r="375" ht="10.5" customHeight="1" x14ac:dyDescent="0.35"/>
    <row r="376" ht="10.5" customHeight="1" x14ac:dyDescent="0.35"/>
    <row r="377" ht="10.5" customHeight="1" x14ac:dyDescent="0.35"/>
    <row r="378" ht="10.5" customHeight="1" x14ac:dyDescent="0.35"/>
    <row r="379" ht="10.5" customHeight="1" x14ac:dyDescent="0.35"/>
    <row r="380" ht="10.5" customHeight="1" x14ac:dyDescent="0.35"/>
    <row r="381" ht="10.5" customHeight="1" x14ac:dyDescent="0.35"/>
    <row r="382" ht="10.5" customHeight="1" x14ac:dyDescent="0.35"/>
    <row r="383" ht="10.5" customHeight="1" x14ac:dyDescent="0.35"/>
    <row r="384" ht="10.5" customHeight="1" x14ac:dyDescent="0.35"/>
    <row r="385" ht="10.5" customHeight="1" x14ac:dyDescent="0.35"/>
    <row r="386" ht="10.5" customHeight="1" x14ac:dyDescent="0.35"/>
    <row r="387" ht="10.5" customHeight="1" x14ac:dyDescent="0.35"/>
    <row r="388" ht="10.5" customHeight="1" x14ac:dyDescent="0.35"/>
    <row r="389" ht="10.5" customHeight="1" x14ac:dyDescent="0.35"/>
    <row r="390" ht="10.5" customHeight="1" x14ac:dyDescent="0.35"/>
    <row r="391" ht="10.5" customHeight="1" x14ac:dyDescent="0.35"/>
    <row r="392" ht="10.5" customHeight="1" x14ac:dyDescent="0.35"/>
    <row r="393" ht="10.5" customHeight="1" x14ac:dyDescent="0.35"/>
    <row r="394" ht="10.5" customHeight="1" x14ac:dyDescent="0.35"/>
    <row r="395" ht="10.5" customHeight="1" x14ac:dyDescent="0.35"/>
    <row r="396" ht="10.5" customHeight="1" x14ac:dyDescent="0.35"/>
    <row r="397" ht="10.5" customHeight="1" x14ac:dyDescent="0.35"/>
    <row r="398" ht="10.5" customHeight="1" x14ac:dyDescent="0.35"/>
    <row r="399" ht="10.5" customHeight="1" x14ac:dyDescent="0.35"/>
    <row r="400" ht="10.5" customHeight="1" x14ac:dyDescent="0.35"/>
    <row r="401" ht="10.5" customHeight="1" x14ac:dyDescent="0.35"/>
    <row r="402" ht="10.5" customHeight="1" x14ac:dyDescent="0.35"/>
    <row r="403" ht="10.5" customHeight="1" x14ac:dyDescent="0.35"/>
    <row r="404" ht="10.5" customHeight="1" x14ac:dyDescent="0.35"/>
    <row r="405" ht="10.5" customHeight="1" x14ac:dyDescent="0.35"/>
    <row r="406" ht="10.5" customHeight="1" x14ac:dyDescent="0.35"/>
    <row r="407" ht="10.5" customHeight="1" x14ac:dyDescent="0.35"/>
    <row r="408" ht="10.5" customHeight="1" x14ac:dyDescent="0.35"/>
    <row r="409" ht="10.5" customHeight="1" x14ac:dyDescent="0.35"/>
    <row r="410" ht="10.5" customHeight="1" x14ac:dyDescent="0.35"/>
    <row r="411" ht="10.5" customHeight="1" x14ac:dyDescent="0.35"/>
    <row r="412" ht="10.5" customHeight="1" x14ac:dyDescent="0.35"/>
    <row r="413" ht="10.5" customHeight="1" x14ac:dyDescent="0.35"/>
    <row r="414" ht="10.5" customHeight="1" x14ac:dyDescent="0.35"/>
    <row r="415" ht="10.5" customHeight="1" x14ac:dyDescent="0.35"/>
    <row r="416" ht="10.5" customHeight="1" x14ac:dyDescent="0.35"/>
    <row r="417" ht="10.5" customHeight="1" x14ac:dyDescent="0.35"/>
    <row r="418" ht="10.5" customHeight="1" x14ac:dyDescent="0.35"/>
    <row r="419" ht="10.5" customHeight="1" x14ac:dyDescent="0.35"/>
    <row r="420" ht="10.5" customHeight="1" x14ac:dyDescent="0.35"/>
    <row r="421" ht="10.5" customHeight="1" x14ac:dyDescent="0.35"/>
    <row r="422" ht="10.5" customHeight="1" x14ac:dyDescent="0.35"/>
    <row r="423" ht="10.5" customHeight="1" x14ac:dyDescent="0.35"/>
    <row r="424" ht="10.5" customHeight="1" x14ac:dyDescent="0.35"/>
    <row r="425" ht="10.5" customHeight="1" x14ac:dyDescent="0.35"/>
    <row r="426" ht="10.5" customHeight="1" x14ac:dyDescent="0.35"/>
    <row r="427" ht="10.5" customHeight="1" x14ac:dyDescent="0.35"/>
    <row r="428" ht="10.5" customHeight="1" x14ac:dyDescent="0.35"/>
    <row r="429" ht="10.5" customHeight="1" x14ac:dyDescent="0.35"/>
    <row r="430" ht="10.5" customHeight="1" x14ac:dyDescent="0.35"/>
    <row r="431" ht="10.5" customHeight="1" x14ac:dyDescent="0.35"/>
    <row r="432" ht="10.5" customHeight="1" x14ac:dyDescent="0.35"/>
    <row r="433" ht="10.5" customHeight="1" x14ac:dyDescent="0.35"/>
    <row r="434" ht="10.5" customHeight="1" x14ac:dyDescent="0.35"/>
    <row r="435" ht="10.5" customHeight="1" x14ac:dyDescent="0.35"/>
    <row r="436" ht="10.5" customHeight="1" x14ac:dyDescent="0.35"/>
    <row r="437" ht="10.5" customHeight="1" x14ac:dyDescent="0.35"/>
    <row r="438" ht="10.5" customHeight="1" x14ac:dyDescent="0.35"/>
    <row r="439" ht="10.5" customHeight="1" x14ac:dyDescent="0.35"/>
    <row r="440" ht="10.5" customHeight="1" x14ac:dyDescent="0.35"/>
    <row r="441" ht="10.5" customHeight="1" x14ac:dyDescent="0.35"/>
    <row r="442" ht="10.5" customHeight="1" x14ac:dyDescent="0.35"/>
    <row r="443" ht="10.5" customHeight="1" x14ac:dyDescent="0.35"/>
    <row r="444" ht="10.5" customHeight="1" x14ac:dyDescent="0.35"/>
    <row r="445" ht="10.5" customHeight="1" x14ac:dyDescent="0.35"/>
    <row r="446" ht="10.5" customHeight="1" x14ac:dyDescent="0.35"/>
    <row r="447" ht="10.5" customHeight="1" x14ac:dyDescent="0.35"/>
    <row r="448" ht="10.5" customHeight="1" x14ac:dyDescent="0.35"/>
    <row r="449" ht="10.5" customHeight="1" x14ac:dyDescent="0.35"/>
    <row r="450" ht="10.5" customHeight="1" x14ac:dyDescent="0.35"/>
    <row r="451" ht="10.5" customHeight="1" x14ac:dyDescent="0.35"/>
    <row r="452" ht="10.5" customHeight="1" x14ac:dyDescent="0.35"/>
    <row r="453" ht="10.5" customHeight="1" x14ac:dyDescent="0.35"/>
    <row r="454" ht="10.5" customHeight="1" x14ac:dyDescent="0.35"/>
    <row r="455" ht="10.5" customHeight="1" x14ac:dyDescent="0.35"/>
    <row r="456" ht="10.5" customHeight="1" x14ac:dyDescent="0.35"/>
    <row r="457" ht="10.5" customHeight="1" x14ac:dyDescent="0.35"/>
    <row r="458" ht="10.5" customHeight="1" x14ac:dyDescent="0.35"/>
    <row r="459" ht="10.5" customHeight="1" x14ac:dyDescent="0.35"/>
    <row r="460" ht="10.5" customHeight="1" x14ac:dyDescent="0.35"/>
    <row r="461" ht="10.5" customHeight="1" x14ac:dyDescent="0.35"/>
    <row r="462" ht="10.5" customHeight="1" x14ac:dyDescent="0.35"/>
    <row r="463" ht="10.5" customHeight="1" x14ac:dyDescent="0.35"/>
    <row r="464" ht="10.5" customHeight="1" x14ac:dyDescent="0.35"/>
    <row r="465" ht="10.5" customHeight="1" x14ac:dyDescent="0.35"/>
    <row r="466" ht="10.5" customHeight="1" x14ac:dyDescent="0.35"/>
    <row r="467" ht="10.5" customHeight="1" x14ac:dyDescent="0.35"/>
    <row r="468" ht="10.5" customHeight="1" x14ac:dyDescent="0.35"/>
    <row r="469" ht="10.5" customHeight="1" x14ac:dyDescent="0.35"/>
    <row r="470" ht="10.5" customHeight="1" x14ac:dyDescent="0.35"/>
    <row r="471" ht="10.5" customHeight="1" x14ac:dyDescent="0.35"/>
    <row r="472" ht="10.5" customHeight="1" x14ac:dyDescent="0.35"/>
    <row r="473" ht="10.5" customHeight="1" x14ac:dyDescent="0.35"/>
    <row r="474" ht="10.5" customHeight="1" x14ac:dyDescent="0.35"/>
    <row r="475" ht="10.5" customHeight="1" x14ac:dyDescent="0.35"/>
    <row r="476" ht="10.5" customHeight="1" x14ac:dyDescent="0.35"/>
    <row r="477" ht="10.5" customHeight="1" x14ac:dyDescent="0.35"/>
    <row r="478" ht="10.5" customHeight="1" x14ac:dyDescent="0.35"/>
    <row r="479" ht="10.5" customHeight="1" x14ac:dyDescent="0.35"/>
    <row r="480" ht="10.5" customHeight="1" x14ac:dyDescent="0.35"/>
    <row r="481" ht="10.5" customHeight="1" x14ac:dyDescent="0.35"/>
    <row r="482" ht="10.5" customHeight="1" x14ac:dyDescent="0.35"/>
    <row r="483" ht="10.5" customHeight="1" x14ac:dyDescent="0.35"/>
    <row r="484" ht="10.5" customHeight="1" x14ac:dyDescent="0.35"/>
    <row r="485" ht="10.5" customHeight="1" x14ac:dyDescent="0.35"/>
    <row r="486" ht="10.5" customHeight="1" x14ac:dyDescent="0.35"/>
    <row r="487" ht="10.5" customHeight="1" x14ac:dyDescent="0.35"/>
    <row r="488" ht="10.5" customHeight="1" x14ac:dyDescent="0.35"/>
    <row r="489" ht="10.5" customHeight="1" x14ac:dyDescent="0.35"/>
    <row r="490" ht="10.5" customHeight="1" x14ac:dyDescent="0.35"/>
    <row r="491" ht="10.5" customHeight="1" x14ac:dyDescent="0.35"/>
    <row r="492" ht="10.5" customHeight="1" x14ac:dyDescent="0.35"/>
    <row r="493" ht="10.5" customHeight="1" x14ac:dyDescent="0.35"/>
    <row r="494" ht="10.5" customHeight="1" x14ac:dyDescent="0.35"/>
    <row r="495" ht="10.5" customHeight="1" x14ac:dyDescent="0.35"/>
    <row r="496" ht="10.5" customHeight="1" x14ac:dyDescent="0.35"/>
    <row r="497" ht="10.5" customHeight="1" x14ac:dyDescent="0.35"/>
    <row r="498" ht="10.5" customHeight="1" x14ac:dyDescent="0.35"/>
    <row r="499" ht="10.5" customHeight="1" x14ac:dyDescent="0.35"/>
    <row r="500" ht="10.5" customHeight="1" x14ac:dyDescent="0.35"/>
    <row r="501" ht="10.5" customHeight="1" x14ac:dyDescent="0.35"/>
    <row r="502" ht="10.5" customHeight="1" x14ac:dyDescent="0.35"/>
    <row r="503" ht="10.5" customHeight="1" x14ac:dyDescent="0.35"/>
    <row r="504" ht="10.5" customHeight="1" x14ac:dyDescent="0.35"/>
    <row r="505" ht="10.5" customHeight="1" x14ac:dyDescent="0.35"/>
    <row r="506" ht="10.5" customHeight="1" x14ac:dyDescent="0.35"/>
    <row r="507" ht="10.5" customHeight="1" x14ac:dyDescent="0.35"/>
    <row r="508" ht="10.5" customHeight="1" x14ac:dyDescent="0.35"/>
    <row r="509" ht="10.5" customHeight="1" x14ac:dyDescent="0.35"/>
    <row r="510" ht="10.5" customHeight="1" x14ac:dyDescent="0.35"/>
    <row r="511" ht="10.5" customHeight="1" x14ac:dyDescent="0.35"/>
    <row r="512" ht="10.5" customHeight="1" x14ac:dyDescent="0.35"/>
    <row r="513" ht="10.5" customHeight="1" x14ac:dyDescent="0.35"/>
    <row r="514" ht="10.5" customHeight="1" x14ac:dyDescent="0.35"/>
    <row r="515" ht="10.5" customHeight="1" x14ac:dyDescent="0.35"/>
    <row r="516" ht="10.5" customHeight="1" x14ac:dyDescent="0.35"/>
    <row r="517" ht="10.5" customHeight="1" x14ac:dyDescent="0.35"/>
    <row r="518" ht="10.5" customHeight="1" x14ac:dyDescent="0.35"/>
    <row r="519" ht="10.5" customHeight="1" x14ac:dyDescent="0.35"/>
    <row r="520" ht="10.5" customHeight="1" x14ac:dyDescent="0.35"/>
    <row r="521" ht="10.5" customHeight="1" x14ac:dyDescent="0.35"/>
    <row r="522" ht="10.5" customHeight="1" x14ac:dyDescent="0.35"/>
    <row r="523" ht="10.5" customHeight="1" x14ac:dyDescent="0.35"/>
    <row r="524" ht="10.5" customHeight="1" x14ac:dyDescent="0.35"/>
    <row r="525" ht="10.5" customHeight="1" x14ac:dyDescent="0.35"/>
    <row r="526" ht="10.5" customHeight="1" x14ac:dyDescent="0.35"/>
    <row r="527" ht="10.5" customHeight="1" x14ac:dyDescent="0.35"/>
    <row r="528" ht="10.5" customHeight="1" x14ac:dyDescent="0.35"/>
    <row r="529" ht="10.5" customHeight="1" x14ac:dyDescent="0.35"/>
    <row r="530" ht="10.5" customHeight="1" x14ac:dyDescent="0.35"/>
    <row r="531" ht="10.5" customHeight="1" x14ac:dyDescent="0.35"/>
    <row r="532" ht="10.5" customHeight="1" x14ac:dyDescent="0.35"/>
    <row r="533" ht="10.5" customHeight="1" x14ac:dyDescent="0.35"/>
    <row r="534" ht="10.5" customHeight="1" x14ac:dyDescent="0.35"/>
    <row r="535" ht="10.5" customHeight="1" x14ac:dyDescent="0.35"/>
    <row r="536" ht="10.5" customHeight="1" x14ac:dyDescent="0.35"/>
    <row r="537" ht="10.5" customHeight="1" x14ac:dyDescent="0.35"/>
    <row r="538" ht="10.5" customHeight="1" x14ac:dyDescent="0.35"/>
    <row r="539" ht="10.5" customHeight="1" x14ac:dyDescent="0.35"/>
    <row r="540" ht="10.5" customHeight="1" x14ac:dyDescent="0.35"/>
    <row r="541" ht="10.5" customHeight="1" x14ac:dyDescent="0.35"/>
    <row r="542" ht="10.5" customHeight="1" x14ac:dyDescent="0.35"/>
    <row r="543" ht="10.5" customHeight="1" x14ac:dyDescent="0.35"/>
    <row r="544" ht="10.5" customHeight="1" x14ac:dyDescent="0.35"/>
    <row r="545" ht="10.5" customHeight="1" x14ac:dyDescent="0.35"/>
    <row r="546" ht="10.5" customHeight="1" x14ac:dyDescent="0.35"/>
    <row r="547" ht="10.5" customHeight="1" x14ac:dyDescent="0.35"/>
    <row r="548" ht="10.5" customHeight="1" x14ac:dyDescent="0.35"/>
    <row r="549" ht="10.5" customHeight="1" x14ac:dyDescent="0.35"/>
    <row r="550" ht="10.5" customHeight="1" x14ac:dyDescent="0.35"/>
    <row r="551" ht="10.5" customHeight="1" x14ac:dyDescent="0.35"/>
    <row r="552" ht="10.5" customHeight="1" x14ac:dyDescent="0.35"/>
    <row r="553" ht="10.5" customHeight="1" x14ac:dyDescent="0.35"/>
    <row r="554" ht="10.5" customHeight="1" x14ac:dyDescent="0.35"/>
    <row r="555" ht="10.5" customHeight="1" x14ac:dyDescent="0.35"/>
    <row r="556" ht="10.5" customHeight="1" x14ac:dyDescent="0.35"/>
    <row r="557" ht="10.5" customHeight="1" x14ac:dyDescent="0.35"/>
    <row r="558" ht="10.5" customHeight="1" x14ac:dyDescent="0.35"/>
    <row r="559" ht="10.5" customHeight="1" x14ac:dyDescent="0.35"/>
    <row r="560" ht="10.5" customHeight="1" x14ac:dyDescent="0.35"/>
    <row r="561" ht="10.5" customHeight="1" x14ac:dyDescent="0.35"/>
    <row r="562" ht="10.5" customHeight="1" x14ac:dyDescent="0.35"/>
    <row r="563" ht="10.5" customHeight="1" x14ac:dyDescent="0.35"/>
    <row r="564" ht="10.5" customHeight="1" x14ac:dyDescent="0.35"/>
    <row r="565" ht="10.5" customHeight="1" x14ac:dyDescent="0.35"/>
    <row r="566" ht="10.5" customHeight="1" x14ac:dyDescent="0.35"/>
    <row r="567" ht="10.5" customHeight="1" x14ac:dyDescent="0.35"/>
    <row r="568" ht="10.5" customHeight="1" x14ac:dyDescent="0.35"/>
    <row r="569" ht="10.5" customHeight="1" x14ac:dyDescent="0.35"/>
    <row r="570" ht="10.5" customHeight="1" x14ac:dyDescent="0.35"/>
    <row r="571" ht="10.5" customHeight="1" x14ac:dyDescent="0.35"/>
    <row r="572" ht="10.5" customHeight="1" x14ac:dyDescent="0.35"/>
    <row r="573" ht="10.5" customHeight="1" x14ac:dyDescent="0.35"/>
    <row r="574" ht="10.5" customHeight="1" x14ac:dyDescent="0.35"/>
    <row r="575" ht="10.5" customHeight="1" x14ac:dyDescent="0.35"/>
    <row r="576" ht="10.5" customHeight="1" x14ac:dyDescent="0.35"/>
    <row r="577" ht="10.5" customHeight="1" x14ac:dyDescent="0.35"/>
    <row r="578" ht="10.5" customHeight="1" x14ac:dyDescent="0.35"/>
    <row r="579" ht="10.5" customHeight="1" x14ac:dyDescent="0.35"/>
    <row r="580" ht="10.5" customHeight="1" x14ac:dyDescent="0.35"/>
    <row r="581" ht="10.5" customHeight="1" x14ac:dyDescent="0.35"/>
    <row r="582" ht="10.5" customHeight="1" x14ac:dyDescent="0.35"/>
    <row r="583" ht="10.5" customHeight="1" x14ac:dyDescent="0.35"/>
    <row r="584" ht="10.5" customHeight="1" x14ac:dyDescent="0.35"/>
    <row r="585" ht="10.5" customHeight="1" x14ac:dyDescent="0.35"/>
    <row r="586" ht="10.5" customHeight="1" x14ac:dyDescent="0.35"/>
    <row r="587" ht="10.5" customHeight="1" x14ac:dyDescent="0.35"/>
    <row r="588" ht="10.5" customHeight="1" x14ac:dyDescent="0.35"/>
    <row r="589" ht="10.5" customHeight="1" x14ac:dyDescent="0.35"/>
    <row r="590" ht="10.5" customHeight="1" x14ac:dyDescent="0.35"/>
    <row r="591" ht="10.5" customHeight="1" x14ac:dyDescent="0.35"/>
    <row r="592" ht="10.5" customHeight="1" x14ac:dyDescent="0.35"/>
    <row r="593" ht="10.5" customHeight="1" x14ac:dyDescent="0.35"/>
    <row r="594" ht="10.5" customHeight="1" x14ac:dyDescent="0.35"/>
    <row r="595" ht="10.5" customHeight="1" x14ac:dyDescent="0.35"/>
    <row r="596" ht="10.5" customHeight="1" x14ac:dyDescent="0.35"/>
    <row r="597" ht="10.5" customHeight="1" x14ac:dyDescent="0.35"/>
    <row r="598" ht="10.5" customHeight="1" x14ac:dyDescent="0.35"/>
    <row r="599" ht="10.5" customHeight="1" x14ac:dyDescent="0.35"/>
    <row r="600" ht="10.5" customHeight="1" x14ac:dyDescent="0.35"/>
    <row r="601" ht="10.5" customHeight="1" x14ac:dyDescent="0.35"/>
    <row r="602" ht="10.5" customHeight="1" x14ac:dyDescent="0.35"/>
    <row r="603" ht="10.5" customHeight="1" x14ac:dyDescent="0.35"/>
    <row r="604" ht="10.5" customHeight="1" x14ac:dyDescent="0.35"/>
    <row r="605" ht="10.5" customHeight="1" x14ac:dyDescent="0.35"/>
    <row r="606" ht="10.5" customHeight="1" x14ac:dyDescent="0.35"/>
    <row r="607" ht="10.5" customHeight="1" x14ac:dyDescent="0.35"/>
    <row r="608" ht="10.5" customHeight="1" x14ac:dyDescent="0.35"/>
    <row r="609" ht="10.5" customHeight="1" x14ac:dyDescent="0.35"/>
    <row r="610" ht="10.5" customHeight="1" x14ac:dyDescent="0.35"/>
    <row r="611" ht="10.5" customHeight="1" x14ac:dyDescent="0.35"/>
    <row r="612" ht="10.5" customHeight="1" x14ac:dyDescent="0.35"/>
    <row r="613" ht="10.5" customHeight="1" x14ac:dyDescent="0.35"/>
    <row r="614" ht="10.5" customHeight="1" x14ac:dyDescent="0.35"/>
    <row r="615" ht="10.5" customHeight="1" x14ac:dyDescent="0.35"/>
    <row r="616" ht="10.5" customHeight="1" x14ac:dyDescent="0.35"/>
    <row r="617" ht="10.5" customHeight="1" x14ac:dyDescent="0.35"/>
    <row r="618" ht="10.5" customHeight="1" x14ac:dyDescent="0.35"/>
    <row r="619" ht="10.5" customHeight="1" x14ac:dyDescent="0.35"/>
    <row r="620" ht="10.5" customHeight="1" x14ac:dyDescent="0.35"/>
    <row r="621" ht="10.5" customHeight="1" x14ac:dyDescent="0.35"/>
    <row r="622" ht="10.5" customHeight="1" x14ac:dyDescent="0.35"/>
    <row r="623" ht="10.5" customHeight="1" x14ac:dyDescent="0.35"/>
    <row r="624" ht="10.5" customHeight="1" x14ac:dyDescent="0.35"/>
    <row r="625" ht="10.5" customHeight="1" x14ac:dyDescent="0.35"/>
    <row r="626" ht="10.5" customHeight="1" x14ac:dyDescent="0.35"/>
    <row r="627" ht="10.5" customHeight="1" x14ac:dyDescent="0.35"/>
    <row r="628" ht="10.5" customHeight="1" x14ac:dyDescent="0.35"/>
    <row r="629" ht="10.5" customHeight="1" x14ac:dyDescent="0.35"/>
    <row r="630" ht="10.5" customHeight="1" x14ac:dyDescent="0.35"/>
    <row r="631" ht="10.5" customHeight="1" x14ac:dyDescent="0.35"/>
    <row r="632" ht="10.5" customHeight="1" x14ac:dyDescent="0.35"/>
    <row r="633" ht="10.5" customHeight="1" x14ac:dyDescent="0.35"/>
    <row r="634" ht="10.5" customHeight="1" x14ac:dyDescent="0.35"/>
    <row r="635" ht="10.5" customHeight="1" x14ac:dyDescent="0.35"/>
    <row r="636" ht="10.5" customHeight="1" x14ac:dyDescent="0.35"/>
    <row r="637" ht="10.5" customHeight="1" x14ac:dyDescent="0.35"/>
    <row r="638" ht="10.5" customHeight="1" x14ac:dyDescent="0.35"/>
    <row r="639" ht="10.5" customHeight="1" x14ac:dyDescent="0.35"/>
    <row r="640" ht="10.5" customHeight="1" x14ac:dyDescent="0.35"/>
    <row r="641" ht="10.5" customHeight="1" x14ac:dyDescent="0.35"/>
    <row r="642" ht="10.5" customHeight="1" x14ac:dyDescent="0.35"/>
    <row r="643" ht="10.5" customHeight="1" x14ac:dyDescent="0.35"/>
    <row r="644" ht="10.5" customHeight="1" x14ac:dyDescent="0.35"/>
    <row r="645" ht="10.5" customHeight="1" x14ac:dyDescent="0.35"/>
    <row r="646" ht="10.5" customHeight="1" x14ac:dyDescent="0.35"/>
    <row r="647" ht="10.5" customHeight="1" x14ac:dyDescent="0.35"/>
    <row r="648" ht="10.5" customHeight="1" x14ac:dyDescent="0.35"/>
    <row r="649" ht="10.5" customHeight="1" x14ac:dyDescent="0.35"/>
    <row r="650" ht="10.5" customHeight="1" x14ac:dyDescent="0.35"/>
    <row r="651" ht="10.5" customHeight="1" x14ac:dyDescent="0.35"/>
    <row r="652" ht="10.5" customHeight="1" x14ac:dyDescent="0.35"/>
    <row r="653" ht="10.5" customHeight="1" x14ac:dyDescent="0.35"/>
    <row r="654" ht="10.5" customHeight="1" x14ac:dyDescent="0.35"/>
    <row r="655" ht="10.5" customHeight="1" x14ac:dyDescent="0.35"/>
    <row r="656" ht="10.5" customHeight="1" x14ac:dyDescent="0.35"/>
    <row r="657" ht="10.5" customHeight="1" x14ac:dyDescent="0.35"/>
    <row r="658" ht="10.5" customHeight="1" x14ac:dyDescent="0.35"/>
    <row r="659" ht="10.5" customHeight="1" x14ac:dyDescent="0.35"/>
    <row r="660" ht="10.5" customHeight="1" x14ac:dyDescent="0.35"/>
    <row r="661" ht="10.5" customHeight="1" x14ac:dyDescent="0.35"/>
    <row r="662" ht="10.5" customHeight="1" x14ac:dyDescent="0.35"/>
    <row r="663" ht="10.5" customHeight="1" x14ac:dyDescent="0.35"/>
    <row r="664" ht="10.5" customHeight="1" x14ac:dyDescent="0.35"/>
    <row r="665" ht="10.5" customHeight="1" x14ac:dyDescent="0.35"/>
    <row r="666" ht="10.5" customHeight="1" x14ac:dyDescent="0.35"/>
    <row r="667" ht="10.5" customHeight="1" x14ac:dyDescent="0.35"/>
    <row r="668" ht="10.5" customHeight="1" x14ac:dyDescent="0.35"/>
    <row r="669" ht="10.5" customHeight="1" x14ac:dyDescent="0.35"/>
    <row r="670" ht="10.5" customHeight="1" x14ac:dyDescent="0.35"/>
    <row r="671" ht="10.5" customHeight="1" x14ac:dyDescent="0.35"/>
    <row r="672" ht="10.5" customHeight="1" x14ac:dyDescent="0.35"/>
    <row r="673" ht="10.5" customHeight="1" x14ac:dyDescent="0.35"/>
    <row r="674" ht="10.5" customHeight="1" x14ac:dyDescent="0.35"/>
    <row r="675" ht="10.5" customHeight="1" x14ac:dyDescent="0.35"/>
    <row r="676" ht="10.5" customHeight="1" x14ac:dyDescent="0.35"/>
    <row r="677" ht="10.5" customHeight="1" x14ac:dyDescent="0.35"/>
    <row r="678" ht="10.5" customHeight="1" x14ac:dyDescent="0.35"/>
    <row r="679" ht="10.5" customHeight="1" x14ac:dyDescent="0.35"/>
    <row r="680" ht="10.5" customHeight="1" x14ac:dyDescent="0.35"/>
    <row r="681" ht="10.5" customHeight="1" x14ac:dyDescent="0.35"/>
    <row r="682" ht="10.5" customHeight="1" x14ac:dyDescent="0.35"/>
    <row r="683" ht="10.5" customHeight="1" x14ac:dyDescent="0.35"/>
    <row r="684" ht="10.5" customHeight="1" x14ac:dyDescent="0.35"/>
    <row r="685" ht="10.5" customHeight="1" x14ac:dyDescent="0.35"/>
    <row r="686" ht="10.5" customHeight="1" x14ac:dyDescent="0.35"/>
    <row r="687" ht="10.5" customHeight="1" x14ac:dyDescent="0.35"/>
    <row r="688" ht="10.5" customHeight="1" x14ac:dyDescent="0.35"/>
    <row r="689" ht="10.5" customHeight="1" x14ac:dyDescent="0.35"/>
    <row r="690" ht="10.5" customHeight="1" x14ac:dyDescent="0.35"/>
    <row r="691" ht="10.5" customHeight="1" x14ac:dyDescent="0.35"/>
    <row r="692" ht="10.5" customHeight="1" x14ac:dyDescent="0.35"/>
    <row r="693" ht="10.5" customHeight="1" x14ac:dyDescent="0.35"/>
    <row r="694" ht="10.5" customHeight="1" x14ac:dyDescent="0.35"/>
    <row r="695" ht="10.5" customHeight="1" x14ac:dyDescent="0.35"/>
    <row r="696" ht="10.5" customHeight="1" x14ac:dyDescent="0.35"/>
    <row r="697" ht="10.5" customHeight="1" x14ac:dyDescent="0.35"/>
    <row r="698" ht="10.5" customHeight="1" x14ac:dyDescent="0.35"/>
    <row r="699" ht="10.5" customHeight="1" x14ac:dyDescent="0.35"/>
    <row r="700" ht="10.5" customHeight="1" x14ac:dyDescent="0.35"/>
    <row r="701" ht="10.5" customHeight="1" x14ac:dyDescent="0.35"/>
    <row r="702" ht="10.5" customHeight="1" x14ac:dyDescent="0.35"/>
    <row r="703" ht="10.5" customHeight="1" x14ac:dyDescent="0.35"/>
    <row r="704" ht="10.5" customHeight="1" x14ac:dyDescent="0.35"/>
    <row r="705" ht="10.5" customHeight="1" x14ac:dyDescent="0.35"/>
    <row r="706" ht="10.5" customHeight="1" x14ac:dyDescent="0.35"/>
    <row r="707" ht="10.5" customHeight="1" x14ac:dyDescent="0.35"/>
    <row r="708" ht="10.5" customHeight="1" x14ac:dyDescent="0.35"/>
    <row r="709" ht="10.5" customHeight="1" x14ac:dyDescent="0.35"/>
    <row r="710" ht="10.5" customHeight="1" x14ac:dyDescent="0.35"/>
    <row r="711" ht="10.5" customHeight="1" x14ac:dyDescent="0.35"/>
    <row r="712" ht="10.5" customHeight="1" x14ac:dyDescent="0.35"/>
    <row r="713" ht="10.5" customHeight="1" x14ac:dyDescent="0.35"/>
    <row r="714" ht="10.5" customHeight="1" x14ac:dyDescent="0.35"/>
    <row r="715" ht="10.5" customHeight="1" x14ac:dyDescent="0.35"/>
    <row r="716" ht="10.5" customHeight="1" x14ac:dyDescent="0.35"/>
    <row r="717" ht="10.5" customHeight="1" x14ac:dyDescent="0.35"/>
    <row r="718" ht="10.5" customHeight="1" x14ac:dyDescent="0.35"/>
    <row r="719" ht="10.5" customHeight="1" x14ac:dyDescent="0.35"/>
    <row r="720" ht="10.5" customHeight="1" x14ac:dyDescent="0.35"/>
    <row r="721" ht="10.5" customHeight="1" x14ac:dyDescent="0.35"/>
    <row r="722" ht="10.5" customHeight="1" x14ac:dyDescent="0.35"/>
    <row r="723" ht="10.5" customHeight="1" x14ac:dyDescent="0.35"/>
    <row r="724" ht="10.5" customHeight="1" x14ac:dyDescent="0.35"/>
    <row r="725" ht="10.5" customHeight="1" x14ac:dyDescent="0.35"/>
    <row r="726" ht="10.5" customHeight="1" x14ac:dyDescent="0.35"/>
    <row r="727" ht="10.5" customHeight="1" x14ac:dyDescent="0.35"/>
    <row r="728" ht="10.5" customHeight="1" x14ac:dyDescent="0.35"/>
    <row r="729" ht="10.5" customHeight="1" x14ac:dyDescent="0.35"/>
    <row r="730" ht="10.5" customHeight="1" x14ac:dyDescent="0.35"/>
    <row r="731" ht="10.5" customHeight="1" x14ac:dyDescent="0.35"/>
    <row r="732" ht="10.5" customHeight="1" x14ac:dyDescent="0.35"/>
    <row r="733" ht="10.5" customHeight="1" x14ac:dyDescent="0.35"/>
    <row r="734" ht="10.5" customHeight="1" x14ac:dyDescent="0.35"/>
    <row r="735" ht="10.5" customHeight="1" x14ac:dyDescent="0.35"/>
    <row r="736" ht="10.5" customHeight="1" x14ac:dyDescent="0.35"/>
    <row r="737" ht="10.5" customHeight="1" x14ac:dyDescent="0.35"/>
    <row r="738" ht="10.5" customHeight="1" x14ac:dyDescent="0.35"/>
    <row r="739" ht="10.5" customHeight="1" x14ac:dyDescent="0.35"/>
    <row r="740" ht="10.5" customHeight="1" x14ac:dyDescent="0.35"/>
    <row r="741" ht="10.5" customHeight="1" x14ac:dyDescent="0.35"/>
    <row r="742" ht="10.5" customHeight="1" x14ac:dyDescent="0.35"/>
    <row r="743" ht="10.5" customHeight="1" x14ac:dyDescent="0.35"/>
    <row r="744" ht="10.5" customHeight="1" x14ac:dyDescent="0.35"/>
    <row r="745" ht="10.5" customHeight="1" x14ac:dyDescent="0.35"/>
    <row r="746" ht="10.5" customHeight="1" x14ac:dyDescent="0.35"/>
    <row r="747" ht="10.5" customHeight="1" x14ac:dyDescent="0.35"/>
    <row r="748" ht="10.5" customHeight="1" x14ac:dyDescent="0.35"/>
    <row r="749" ht="10.5" customHeight="1" x14ac:dyDescent="0.35"/>
    <row r="750" ht="10.5" customHeight="1" x14ac:dyDescent="0.35"/>
    <row r="751" ht="10.5" customHeight="1" x14ac:dyDescent="0.35"/>
    <row r="752" ht="10.5" customHeight="1" x14ac:dyDescent="0.35"/>
    <row r="753" ht="10.5" customHeight="1" x14ac:dyDescent="0.35"/>
    <row r="754" ht="10.5" customHeight="1" x14ac:dyDescent="0.35"/>
    <row r="755" ht="10.5" customHeight="1" x14ac:dyDescent="0.35"/>
    <row r="756" ht="10.5" customHeight="1" x14ac:dyDescent="0.35"/>
    <row r="757" ht="10.5" customHeight="1" x14ac:dyDescent="0.35"/>
    <row r="758" ht="10.5" customHeight="1" x14ac:dyDescent="0.35"/>
    <row r="759" ht="10.5" customHeight="1" x14ac:dyDescent="0.35"/>
    <row r="760" ht="10.5" customHeight="1" x14ac:dyDescent="0.35"/>
    <row r="761" ht="10.5" customHeight="1" x14ac:dyDescent="0.35"/>
    <row r="762" ht="10.5" customHeight="1" x14ac:dyDescent="0.35"/>
    <row r="763" ht="10.5" customHeight="1" x14ac:dyDescent="0.35"/>
    <row r="764" ht="10.5" customHeight="1" x14ac:dyDescent="0.35"/>
    <row r="765" ht="10.5" customHeight="1" x14ac:dyDescent="0.35"/>
    <row r="766" ht="10.5" customHeight="1" x14ac:dyDescent="0.35"/>
    <row r="767" ht="10.5" customHeight="1" x14ac:dyDescent="0.35"/>
    <row r="768" ht="10.5" customHeight="1" x14ac:dyDescent="0.35"/>
    <row r="769" ht="10.5" customHeight="1" x14ac:dyDescent="0.35"/>
    <row r="770" ht="10.5" customHeight="1" x14ac:dyDescent="0.35"/>
    <row r="771" ht="10.5" customHeight="1" x14ac:dyDescent="0.35"/>
    <row r="772" ht="10.5" customHeight="1" x14ac:dyDescent="0.35"/>
    <row r="773" ht="10.5" customHeight="1" x14ac:dyDescent="0.35"/>
    <row r="774" ht="10.5" customHeight="1" x14ac:dyDescent="0.35"/>
    <row r="775" ht="10.5" customHeight="1" x14ac:dyDescent="0.35"/>
    <row r="776" ht="10.5" customHeight="1" x14ac:dyDescent="0.35"/>
    <row r="777" ht="10.5" customHeight="1" x14ac:dyDescent="0.35"/>
    <row r="778" ht="10.5" customHeight="1" x14ac:dyDescent="0.35"/>
    <row r="779" ht="10.5" customHeight="1" x14ac:dyDescent="0.35"/>
    <row r="780" ht="10.5" customHeight="1" x14ac:dyDescent="0.35"/>
    <row r="781" ht="10.5" customHeight="1" x14ac:dyDescent="0.35"/>
    <row r="782" ht="10.5" customHeight="1" x14ac:dyDescent="0.35"/>
    <row r="783" ht="10.5" customHeight="1" x14ac:dyDescent="0.35"/>
    <row r="784" ht="10.5" customHeight="1" x14ac:dyDescent="0.35"/>
    <row r="785" ht="10.5" customHeight="1" x14ac:dyDescent="0.35"/>
    <row r="786" ht="10.5" customHeight="1" x14ac:dyDescent="0.35"/>
    <row r="787" ht="10.5" customHeight="1" x14ac:dyDescent="0.35"/>
    <row r="788" ht="10.5" customHeight="1" x14ac:dyDescent="0.35"/>
    <row r="789" ht="10.5" customHeight="1" x14ac:dyDescent="0.35"/>
    <row r="790" ht="10.5" customHeight="1" x14ac:dyDescent="0.35"/>
    <row r="791" ht="10.5" customHeight="1" x14ac:dyDescent="0.35"/>
    <row r="792" ht="10.5" customHeight="1" x14ac:dyDescent="0.35"/>
    <row r="793" ht="10.5" customHeight="1" x14ac:dyDescent="0.35"/>
    <row r="794" ht="10.5" customHeight="1" x14ac:dyDescent="0.35"/>
    <row r="795" ht="10.5" customHeight="1" x14ac:dyDescent="0.35"/>
    <row r="796" ht="10.5" customHeight="1" x14ac:dyDescent="0.35"/>
    <row r="797" ht="10.5" customHeight="1" x14ac:dyDescent="0.35"/>
    <row r="798" ht="10.5" customHeight="1" x14ac:dyDescent="0.35"/>
    <row r="799" ht="10.5" customHeight="1" x14ac:dyDescent="0.35"/>
    <row r="800" ht="10.5" customHeight="1" x14ac:dyDescent="0.35"/>
    <row r="801" ht="10.5" customHeight="1" x14ac:dyDescent="0.35"/>
    <row r="802" ht="10.5" customHeight="1" x14ac:dyDescent="0.35"/>
    <row r="803" ht="10.5" customHeight="1" x14ac:dyDescent="0.35"/>
    <row r="804" ht="10.5" customHeight="1" x14ac:dyDescent="0.35"/>
    <row r="805" ht="10.5" customHeight="1" x14ac:dyDescent="0.35"/>
    <row r="806" ht="10.5" customHeight="1" x14ac:dyDescent="0.35"/>
    <row r="807" ht="10.5" customHeight="1" x14ac:dyDescent="0.35"/>
    <row r="808" ht="10.5" customHeight="1" x14ac:dyDescent="0.35"/>
    <row r="809" ht="10.5" customHeight="1" x14ac:dyDescent="0.35"/>
    <row r="810" ht="10.5" customHeight="1" x14ac:dyDescent="0.35"/>
    <row r="811" ht="10.5" customHeight="1" x14ac:dyDescent="0.35"/>
    <row r="812" ht="10.5" customHeight="1" x14ac:dyDescent="0.35"/>
    <row r="813" ht="10.5" customHeight="1" x14ac:dyDescent="0.35"/>
    <row r="814" ht="10.5" customHeight="1" x14ac:dyDescent="0.35"/>
    <row r="815" ht="10.5" customHeight="1" x14ac:dyDescent="0.35"/>
    <row r="816" ht="10.5" customHeight="1" x14ac:dyDescent="0.35"/>
    <row r="817" ht="10.5" customHeight="1" x14ac:dyDescent="0.35"/>
    <row r="818" ht="10.5" customHeight="1" x14ac:dyDescent="0.35"/>
    <row r="819" ht="10.5" customHeight="1" x14ac:dyDescent="0.35"/>
    <row r="820" ht="10.5" customHeight="1" x14ac:dyDescent="0.35"/>
    <row r="821" ht="10.5" customHeight="1" x14ac:dyDescent="0.35"/>
    <row r="822" ht="10.5" customHeight="1" x14ac:dyDescent="0.35"/>
    <row r="823" ht="10.5" customHeight="1" x14ac:dyDescent="0.35"/>
    <row r="824" ht="10.5" customHeight="1" x14ac:dyDescent="0.35"/>
    <row r="825" ht="10.5" customHeight="1" x14ac:dyDescent="0.35"/>
    <row r="826" ht="10.5" customHeight="1" x14ac:dyDescent="0.35"/>
    <row r="827" ht="10.5" customHeight="1" x14ac:dyDescent="0.35"/>
    <row r="828" ht="10.5" customHeight="1" x14ac:dyDescent="0.35"/>
    <row r="829" ht="10.5" customHeight="1" x14ac:dyDescent="0.35"/>
    <row r="830" ht="10.5" customHeight="1" x14ac:dyDescent="0.35"/>
    <row r="831" ht="10.5" customHeight="1" x14ac:dyDescent="0.35"/>
    <row r="832" ht="10.5" customHeight="1" x14ac:dyDescent="0.35"/>
    <row r="833" ht="10.5" customHeight="1" x14ac:dyDescent="0.35"/>
    <row r="834" ht="10.5" customHeight="1" x14ac:dyDescent="0.35"/>
    <row r="835" ht="10.5" customHeight="1" x14ac:dyDescent="0.35"/>
    <row r="836" ht="10.5" customHeight="1" x14ac:dyDescent="0.35"/>
    <row r="837" ht="10.5" customHeight="1" x14ac:dyDescent="0.35"/>
    <row r="838" ht="10.5" customHeight="1" x14ac:dyDescent="0.35"/>
    <row r="839" ht="10.5" customHeight="1" x14ac:dyDescent="0.35"/>
    <row r="840" ht="10.5" customHeight="1" x14ac:dyDescent="0.35"/>
    <row r="841" ht="10.5" customHeight="1" x14ac:dyDescent="0.35"/>
    <row r="842" ht="10.5" customHeight="1" x14ac:dyDescent="0.35"/>
    <row r="843" ht="10.5" customHeight="1" x14ac:dyDescent="0.35"/>
    <row r="844" ht="10.5" customHeight="1" x14ac:dyDescent="0.35"/>
    <row r="845" ht="10.5" customHeight="1" x14ac:dyDescent="0.35"/>
    <row r="846" ht="10.5" customHeight="1" x14ac:dyDescent="0.35"/>
    <row r="847" ht="10.5" customHeight="1" x14ac:dyDescent="0.35"/>
    <row r="848" ht="10.5" customHeight="1" x14ac:dyDescent="0.35"/>
    <row r="849" ht="10.5" customHeight="1" x14ac:dyDescent="0.35"/>
    <row r="850" ht="10.5" customHeight="1" x14ac:dyDescent="0.35"/>
    <row r="851" ht="10.5" customHeight="1" x14ac:dyDescent="0.35"/>
    <row r="852" ht="10.5" customHeight="1" x14ac:dyDescent="0.35"/>
    <row r="853" ht="10.5" customHeight="1" x14ac:dyDescent="0.35"/>
    <row r="854" ht="10.5" customHeight="1" x14ac:dyDescent="0.35"/>
    <row r="855" ht="10.5" customHeight="1" x14ac:dyDescent="0.35"/>
    <row r="856" ht="10.5" customHeight="1" x14ac:dyDescent="0.35"/>
    <row r="857" ht="10.5" customHeight="1" x14ac:dyDescent="0.35"/>
    <row r="858" ht="10.5" customHeight="1" x14ac:dyDescent="0.35"/>
    <row r="859" ht="10.5" customHeight="1" x14ac:dyDescent="0.35"/>
    <row r="860" ht="10.5" customHeight="1" x14ac:dyDescent="0.35"/>
    <row r="861" ht="10.5" customHeight="1" x14ac:dyDescent="0.35"/>
    <row r="862" ht="10.5" customHeight="1" x14ac:dyDescent="0.35"/>
    <row r="863" ht="10.5" customHeight="1" x14ac:dyDescent="0.35"/>
    <row r="864" ht="10.5" customHeight="1" x14ac:dyDescent="0.35"/>
    <row r="865" ht="10.5" customHeight="1" x14ac:dyDescent="0.35"/>
    <row r="866" ht="10.5" customHeight="1" x14ac:dyDescent="0.35"/>
    <row r="867" ht="10.5" customHeight="1" x14ac:dyDescent="0.35"/>
    <row r="868" ht="10.5" customHeight="1" x14ac:dyDescent="0.35"/>
    <row r="869" ht="10.5" customHeight="1" x14ac:dyDescent="0.35"/>
    <row r="870" ht="10.5" customHeight="1" x14ac:dyDescent="0.35"/>
    <row r="871" ht="10.5" customHeight="1" x14ac:dyDescent="0.35"/>
    <row r="872" ht="10.5" customHeight="1" x14ac:dyDescent="0.35"/>
    <row r="873" ht="10.5" customHeight="1" x14ac:dyDescent="0.35"/>
    <row r="874" ht="10.5" customHeight="1" x14ac:dyDescent="0.35"/>
    <row r="875" ht="10.5" customHeight="1" x14ac:dyDescent="0.35"/>
    <row r="876" ht="10.5" customHeight="1" x14ac:dyDescent="0.35"/>
    <row r="877" ht="10.5" customHeight="1" x14ac:dyDescent="0.35"/>
    <row r="878" ht="10.5" customHeight="1" x14ac:dyDescent="0.35"/>
    <row r="879" ht="10.5" customHeight="1" x14ac:dyDescent="0.35"/>
    <row r="880" ht="10.5" customHeight="1" x14ac:dyDescent="0.35"/>
    <row r="881" ht="10.5" customHeight="1" x14ac:dyDescent="0.35"/>
    <row r="882" ht="10.5" customHeight="1" x14ac:dyDescent="0.35"/>
    <row r="883" ht="10.5" customHeight="1" x14ac:dyDescent="0.35"/>
    <row r="884" ht="10.5" customHeight="1" x14ac:dyDescent="0.35"/>
    <row r="885" ht="10.5" customHeight="1" x14ac:dyDescent="0.35"/>
    <row r="886" ht="10.5" customHeight="1" x14ac:dyDescent="0.35"/>
    <row r="887" ht="10.5" customHeight="1" x14ac:dyDescent="0.35"/>
    <row r="888" ht="10.5" customHeight="1" x14ac:dyDescent="0.35"/>
    <row r="889" ht="10.5" customHeight="1" x14ac:dyDescent="0.35"/>
    <row r="890" ht="10.5" customHeight="1" x14ac:dyDescent="0.35"/>
    <row r="891" ht="10.5" customHeight="1" x14ac:dyDescent="0.35"/>
    <row r="892" ht="10.5" customHeight="1" x14ac:dyDescent="0.35"/>
    <row r="893" ht="10.5" customHeight="1" x14ac:dyDescent="0.35"/>
    <row r="894" ht="10.5" customHeight="1" x14ac:dyDescent="0.35"/>
    <row r="895" ht="10.5" customHeight="1" x14ac:dyDescent="0.35"/>
    <row r="896" ht="10.5" customHeight="1" x14ac:dyDescent="0.35"/>
    <row r="897" ht="10.5" customHeight="1" x14ac:dyDescent="0.35"/>
    <row r="898" ht="10.5" customHeight="1" x14ac:dyDescent="0.35"/>
    <row r="899" ht="10.5" customHeight="1" x14ac:dyDescent="0.35"/>
    <row r="900" ht="10.5" customHeight="1" x14ac:dyDescent="0.35"/>
    <row r="901" ht="10.5" customHeight="1" x14ac:dyDescent="0.35"/>
    <row r="902" ht="10.5" customHeight="1" x14ac:dyDescent="0.35"/>
    <row r="903" ht="10.5" customHeight="1" x14ac:dyDescent="0.35"/>
    <row r="904" ht="10.5" customHeight="1" x14ac:dyDescent="0.35"/>
    <row r="905" ht="10.5" customHeight="1" x14ac:dyDescent="0.35"/>
    <row r="906" ht="10.5" customHeight="1" x14ac:dyDescent="0.35"/>
    <row r="907" ht="10.5" customHeight="1" x14ac:dyDescent="0.35"/>
    <row r="908" ht="10.5" customHeight="1" x14ac:dyDescent="0.35"/>
    <row r="909" ht="10.5" customHeight="1" x14ac:dyDescent="0.35"/>
    <row r="910" ht="10.5" customHeight="1" x14ac:dyDescent="0.35"/>
    <row r="911" ht="10.5" customHeight="1" x14ac:dyDescent="0.35"/>
    <row r="912" ht="10.5" customHeight="1" x14ac:dyDescent="0.35"/>
    <row r="913" ht="10.5" customHeight="1" x14ac:dyDescent="0.35"/>
    <row r="914" ht="10.5" customHeight="1" x14ac:dyDescent="0.35"/>
    <row r="915" ht="10.5" customHeight="1" x14ac:dyDescent="0.35"/>
    <row r="916" ht="10.5" customHeight="1" x14ac:dyDescent="0.35"/>
    <row r="917" ht="10.5" customHeight="1" x14ac:dyDescent="0.35"/>
    <row r="918" ht="10.5" customHeight="1" x14ac:dyDescent="0.35"/>
    <row r="919" ht="10.5" customHeight="1" x14ac:dyDescent="0.35"/>
    <row r="920" ht="10.5" customHeight="1" x14ac:dyDescent="0.35"/>
    <row r="921" ht="10.5" customHeight="1" x14ac:dyDescent="0.35"/>
    <row r="922" ht="10.5" customHeight="1" x14ac:dyDescent="0.35"/>
    <row r="923" ht="10.5" customHeight="1" x14ac:dyDescent="0.35"/>
    <row r="924" ht="10.5" customHeight="1" x14ac:dyDescent="0.35"/>
    <row r="925" ht="10.5" customHeight="1" x14ac:dyDescent="0.35"/>
    <row r="926" ht="10.5" customHeight="1" x14ac:dyDescent="0.35"/>
    <row r="927" ht="10.5" customHeight="1" x14ac:dyDescent="0.35"/>
    <row r="928" ht="10.5" customHeight="1" x14ac:dyDescent="0.35"/>
    <row r="929" ht="10.5" customHeight="1" x14ac:dyDescent="0.35"/>
    <row r="930" ht="10.5" customHeight="1" x14ac:dyDescent="0.35"/>
    <row r="931" ht="10.5" customHeight="1" x14ac:dyDescent="0.35"/>
    <row r="932" ht="10.5" customHeight="1" x14ac:dyDescent="0.35"/>
    <row r="933" ht="10.5" customHeight="1" x14ac:dyDescent="0.35"/>
    <row r="934" ht="10.5" customHeight="1" x14ac:dyDescent="0.35"/>
    <row r="935" ht="10.5" customHeight="1" x14ac:dyDescent="0.35"/>
    <row r="936" ht="10.5" customHeight="1" x14ac:dyDescent="0.35"/>
    <row r="937" ht="10.5" customHeight="1" x14ac:dyDescent="0.35"/>
    <row r="938" ht="10.5" customHeight="1" x14ac:dyDescent="0.35"/>
    <row r="939" ht="10.5" customHeight="1" x14ac:dyDescent="0.35"/>
    <row r="940" ht="10.5" customHeight="1" x14ac:dyDescent="0.35"/>
    <row r="941" ht="10.5" customHeight="1" x14ac:dyDescent="0.35"/>
    <row r="942" ht="10.5" customHeight="1" x14ac:dyDescent="0.35"/>
    <row r="943" ht="10.5" customHeight="1" x14ac:dyDescent="0.35"/>
    <row r="944" ht="10.5" customHeight="1" x14ac:dyDescent="0.35"/>
    <row r="945" ht="10.5" customHeight="1" x14ac:dyDescent="0.35"/>
    <row r="946" ht="10.5" customHeight="1" x14ac:dyDescent="0.35"/>
    <row r="947" ht="10.5" customHeight="1" x14ac:dyDescent="0.35"/>
    <row r="948" ht="10.5" customHeight="1" x14ac:dyDescent="0.35"/>
    <row r="949" ht="10.5" customHeight="1" x14ac:dyDescent="0.35"/>
    <row r="950" ht="10.5" customHeight="1" x14ac:dyDescent="0.35"/>
    <row r="951" ht="10.5" customHeight="1" x14ac:dyDescent="0.35"/>
    <row r="952" ht="10.5" customHeight="1" x14ac:dyDescent="0.35"/>
    <row r="953" ht="10.5" customHeight="1" x14ac:dyDescent="0.35"/>
    <row r="954" ht="10.5" customHeight="1" x14ac:dyDescent="0.35"/>
    <row r="955" ht="10.5" customHeight="1" x14ac:dyDescent="0.35"/>
    <row r="956" ht="10.5" customHeight="1" x14ac:dyDescent="0.35"/>
    <row r="957" ht="10.5" customHeight="1" x14ac:dyDescent="0.35"/>
    <row r="958" ht="10.5" customHeight="1" x14ac:dyDescent="0.35"/>
    <row r="959" ht="10.5" customHeight="1" x14ac:dyDescent="0.35"/>
    <row r="960" ht="10.5" customHeight="1" x14ac:dyDescent="0.35"/>
    <row r="961" ht="10.5" customHeight="1" x14ac:dyDescent="0.35"/>
    <row r="962" ht="10.5" customHeight="1" x14ac:dyDescent="0.35"/>
    <row r="963" ht="10.5" customHeight="1" x14ac:dyDescent="0.35"/>
    <row r="964" ht="10.5" customHeight="1" x14ac:dyDescent="0.35"/>
    <row r="965" ht="10.5" customHeight="1" x14ac:dyDescent="0.35"/>
    <row r="966" ht="10.5" customHeight="1" x14ac:dyDescent="0.35"/>
    <row r="967" ht="10.5" customHeight="1" x14ac:dyDescent="0.35"/>
    <row r="968" ht="10.5" customHeight="1" x14ac:dyDescent="0.35"/>
    <row r="969" ht="10.5" customHeight="1" x14ac:dyDescent="0.35"/>
    <row r="970" ht="10.5" customHeight="1" x14ac:dyDescent="0.35"/>
    <row r="971" ht="10.5" customHeight="1" x14ac:dyDescent="0.35"/>
    <row r="972" ht="10.5" customHeight="1" x14ac:dyDescent="0.35"/>
    <row r="973" ht="10.5" customHeight="1" x14ac:dyDescent="0.35"/>
    <row r="974" ht="10.5" customHeight="1" x14ac:dyDescent="0.35"/>
    <row r="975" ht="10.5" customHeight="1" x14ac:dyDescent="0.35"/>
    <row r="976" ht="10.5" customHeight="1" x14ac:dyDescent="0.35"/>
    <row r="977" ht="10.5" customHeight="1" x14ac:dyDescent="0.35"/>
    <row r="978" ht="10.5" customHeight="1" x14ac:dyDescent="0.35"/>
    <row r="979" ht="10.5" customHeight="1" x14ac:dyDescent="0.35"/>
    <row r="980" ht="10.5" customHeight="1" x14ac:dyDescent="0.35"/>
    <row r="981" ht="10.5" customHeight="1" x14ac:dyDescent="0.35"/>
    <row r="982" ht="10.5" customHeight="1" x14ac:dyDescent="0.35"/>
    <row r="983" ht="10.5" customHeight="1" x14ac:dyDescent="0.35"/>
    <row r="984" ht="10.5" customHeight="1" x14ac:dyDescent="0.35"/>
    <row r="985" ht="10.5" customHeight="1" x14ac:dyDescent="0.35"/>
    <row r="986" ht="10.5" customHeight="1" x14ac:dyDescent="0.35"/>
    <row r="987" ht="10.5" customHeight="1" x14ac:dyDescent="0.35"/>
    <row r="988" ht="10.5" customHeight="1" x14ac:dyDescent="0.35"/>
    <row r="989" ht="10.5" customHeight="1" x14ac:dyDescent="0.35"/>
    <row r="990" ht="10.5" customHeight="1" x14ac:dyDescent="0.35"/>
    <row r="991" ht="10.5" customHeight="1" x14ac:dyDescent="0.35"/>
    <row r="992" ht="10.5" customHeight="1" x14ac:dyDescent="0.35"/>
    <row r="993" ht="10.5" customHeight="1" x14ac:dyDescent="0.35"/>
    <row r="994" ht="10.5" customHeight="1" x14ac:dyDescent="0.35"/>
  </sheetData>
  <mergeCells count="11">
    <mergeCell ref="B1:J2"/>
    <mergeCell ref="B3:J3"/>
    <mergeCell ref="B39:B40"/>
    <mergeCell ref="C39:C40"/>
    <mergeCell ref="D5:J5"/>
    <mergeCell ref="D22:J22"/>
    <mergeCell ref="D39:J39"/>
    <mergeCell ref="B22:B23"/>
    <mergeCell ref="C22:C23"/>
    <mergeCell ref="B5:B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994"/>
  <sheetViews>
    <sheetView workbookViewId="0"/>
  </sheetViews>
  <sheetFormatPr defaultColWidth="14.453125" defaultRowHeight="14.5" x14ac:dyDescent="0.35"/>
  <cols>
    <col min="1" max="1" width="8.7265625" style="88" customWidth="1"/>
    <col min="2" max="2" width="7.81640625" style="88" customWidth="1"/>
    <col min="3" max="3" width="19.08984375" style="88" customWidth="1"/>
    <col min="4" max="4" width="19.7265625" style="88" customWidth="1"/>
    <col min="5" max="5" width="20.81640625" style="88" customWidth="1"/>
    <col min="6" max="6" width="15.54296875" style="88" customWidth="1"/>
    <col min="7" max="7" width="14.453125" style="88" customWidth="1"/>
    <col min="8" max="8" width="17.81640625" style="88" customWidth="1"/>
    <col min="9" max="9" width="14.453125" style="88" customWidth="1"/>
    <col min="10" max="10" width="16.54296875" style="88" customWidth="1"/>
    <col min="11" max="13" width="14.453125" style="88" customWidth="1"/>
    <col min="14" max="25" width="8.7265625" style="88" customWidth="1"/>
    <col min="26" max="16384" width="14.453125" style="88"/>
  </cols>
  <sheetData>
    <row r="1" spans="2:6" ht="10" customHeight="1" x14ac:dyDescent="0.35">
      <c r="B1" s="172" t="s">
        <v>64</v>
      </c>
      <c r="C1" s="173"/>
      <c r="D1" s="173"/>
      <c r="E1" s="173"/>
      <c r="F1" s="173"/>
    </row>
    <row r="2" spans="2:6" ht="12" customHeight="1" x14ac:dyDescent="0.35">
      <c r="B2" s="173"/>
      <c r="C2" s="173"/>
      <c r="D2" s="173"/>
      <c r="E2" s="173"/>
      <c r="F2" s="173"/>
    </row>
    <row r="3" spans="2:6" ht="18" x14ac:dyDescent="0.4">
      <c r="B3" s="173" t="s">
        <v>37</v>
      </c>
      <c r="C3" s="173"/>
      <c r="D3" s="173"/>
      <c r="E3" s="173"/>
      <c r="F3" s="173"/>
    </row>
    <row r="5" spans="2:6" ht="15.5" x14ac:dyDescent="0.35">
      <c r="B5" s="168" t="s">
        <v>38</v>
      </c>
      <c r="C5" s="175" t="s">
        <v>39</v>
      </c>
      <c r="D5" s="176" t="s">
        <v>65</v>
      </c>
      <c r="E5" s="176"/>
      <c r="F5" s="176"/>
    </row>
    <row r="6" spans="2:6" ht="37" customHeight="1" x14ac:dyDescent="0.35">
      <c r="B6" s="174"/>
      <c r="C6" s="174"/>
      <c r="D6" s="89" t="s">
        <v>66</v>
      </c>
      <c r="E6" s="90" t="s">
        <v>67</v>
      </c>
      <c r="F6" s="91" t="s">
        <v>68</v>
      </c>
    </row>
    <row r="7" spans="2:6" ht="15.5" x14ac:dyDescent="0.35">
      <c r="B7" s="92">
        <v>1</v>
      </c>
      <c r="C7" s="92" t="s">
        <v>47</v>
      </c>
      <c r="D7" s="92">
        <v>8998</v>
      </c>
      <c r="E7" s="93">
        <v>1117</v>
      </c>
      <c r="F7" s="94">
        <f>E7/D7*100</f>
        <v>12.413869748833074</v>
      </c>
    </row>
    <row r="8" spans="2:6" ht="15.5" x14ac:dyDescent="0.35">
      <c r="B8" s="92">
        <v>2</v>
      </c>
      <c r="C8" s="92" t="s">
        <v>48</v>
      </c>
      <c r="D8" s="92">
        <v>3234</v>
      </c>
      <c r="E8" s="93">
        <v>940</v>
      </c>
      <c r="F8" s="94">
        <f t="shared" ref="F8:F19" si="0">E8/D8*100</f>
        <v>29.066171923314783</v>
      </c>
    </row>
    <row r="9" spans="2:6" ht="15.5" x14ac:dyDescent="0.35">
      <c r="B9" s="92">
        <v>3</v>
      </c>
      <c r="C9" s="92" t="s">
        <v>49</v>
      </c>
      <c r="D9" s="92">
        <v>5429</v>
      </c>
      <c r="E9" s="93">
        <v>634</v>
      </c>
      <c r="F9" s="94">
        <f t="shared" si="0"/>
        <v>11.678025419045865</v>
      </c>
    </row>
    <row r="10" spans="2:6" ht="15.5" x14ac:dyDescent="0.35">
      <c r="B10" s="92">
        <v>4</v>
      </c>
      <c r="C10" s="92" t="s">
        <v>50</v>
      </c>
      <c r="D10" s="92">
        <v>3480</v>
      </c>
      <c r="E10" s="93">
        <v>1069</v>
      </c>
      <c r="F10" s="94">
        <f t="shared" si="0"/>
        <v>30.7183908045977</v>
      </c>
    </row>
    <row r="11" spans="2:6" ht="15.5" x14ac:dyDescent="0.35">
      <c r="B11" s="92">
        <v>5</v>
      </c>
      <c r="C11" s="92" t="s">
        <v>51</v>
      </c>
      <c r="D11" s="92">
        <v>5856</v>
      </c>
      <c r="E11" s="93">
        <v>1357</v>
      </c>
      <c r="F11" s="94">
        <f t="shared" si="0"/>
        <v>23.172814207650273</v>
      </c>
    </row>
    <row r="12" spans="2:6" ht="15.5" x14ac:dyDescent="0.35">
      <c r="B12" s="92">
        <v>6</v>
      </c>
      <c r="C12" s="92" t="s">
        <v>52</v>
      </c>
      <c r="D12" s="92">
        <v>19105</v>
      </c>
      <c r="E12" s="93">
        <v>4989</v>
      </c>
      <c r="F12" s="94">
        <f t="shared" si="0"/>
        <v>26.113582831719444</v>
      </c>
    </row>
    <row r="13" spans="2:6" ht="15.5" x14ac:dyDescent="0.35">
      <c r="B13" s="92">
        <v>7</v>
      </c>
      <c r="C13" s="92" t="s">
        <v>53</v>
      </c>
      <c r="D13" s="92">
        <v>3923</v>
      </c>
      <c r="E13" s="93">
        <v>972</v>
      </c>
      <c r="F13" s="94">
        <f t="shared" si="0"/>
        <v>24.776956410910017</v>
      </c>
    </row>
    <row r="14" spans="2:6" ht="15.5" x14ac:dyDescent="0.35">
      <c r="B14" s="92">
        <v>8</v>
      </c>
      <c r="C14" s="92" t="s">
        <v>54</v>
      </c>
      <c r="D14" s="92">
        <v>10052</v>
      </c>
      <c r="E14" s="93">
        <v>1553</v>
      </c>
      <c r="F14" s="94">
        <f t="shared" si="0"/>
        <v>15.449661758853958</v>
      </c>
    </row>
    <row r="15" spans="2:6" ht="15.5" x14ac:dyDescent="0.35">
      <c r="B15" s="104">
        <v>9</v>
      </c>
      <c r="C15" s="104" t="s">
        <v>55</v>
      </c>
      <c r="D15" s="104">
        <v>7502</v>
      </c>
      <c r="E15" s="105">
        <v>4157</v>
      </c>
      <c r="F15" s="103">
        <f t="shared" si="0"/>
        <v>55.411890162623301</v>
      </c>
    </row>
    <row r="16" spans="2:6" ht="15.5" x14ac:dyDescent="0.35">
      <c r="B16" s="92">
        <v>10</v>
      </c>
      <c r="C16" s="92" t="s">
        <v>56</v>
      </c>
      <c r="D16" s="92">
        <v>16392</v>
      </c>
      <c r="E16" s="93">
        <v>1940</v>
      </c>
      <c r="F16" s="94">
        <f t="shared" si="0"/>
        <v>11.835041483650562</v>
      </c>
    </row>
    <row r="17" spans="2:6" ht="15.5" x14ac:dyDescent="0.35">
      <c r="B17" s="92">
        <v>11</v>
      </c>
      <c r="C17" s="92" t="s">
        <v>57</v>
      </c>
      <c r="D17" s="92">
        <v>6154</v>
      </c>
      <c r="E17" s="93">
        <v>1538</v>
      </c>
      <c r="F17" s="94">
        <f t="shared" si="0"/>
        <v>24.991875203119925</v>
      </c>
    </row>
    <row r="18" spans="2:6" ht="15.5" x14ac:dyDescent="0.35">
      <c r="B18" s="106">
        <v>12</v>
      </c>
      <c r="C18" s="106" t="s">
        <v>58</v>
      </c>
      <c r="D18" s="106">
        <v>2274</v>
      </c>
      <c r="E18" s="107">
        <v>170</v>
      </c>
      <c r="F18" s="108">
        <f t="shared" si="0"/>
        <v>7.4758135444151277</v>
      </c>
    </row>
    <row r="19" spans="2:6" ht="15.5" x14ac:dyDescent="0.35">
      <c r="B19" s="95"/>
      <c r="C19" s="96" t="s">
        <v>59</v>
      </c>
      <c r="D19" s="96">
        <f>SUM(D7:D18)</f>
        <v>92399</v>
      </c>
      <c r="E19" s="97">
        <f>SUM(E7:E18)</f>
        <v>20436</v>
      </c>
      <c r="F19" s="98">
        <f t="shared" si="0"/>
        <v>22.117122479680514</v>
      </c>
    </row>
    <row r="21" spans="2:6" ht="10.5" customHeight="1" x14ac:dyDescent="0.35"/>
    <row r="22" spans="2:6" ht="10.5" customHeight="1" x14ac:dyDescent="0.35">
      <c r="B22" s="168" t="s">
        <v>38</v>
      </c>
      <c r="C22" s="175" t="s">
        <v>39</v>
      </c>
      <c r="D22" s="176" t="s">
        <v>69</v>
      </c>
      <c r="E22" s="176"/>
      <c r="F22" s="176"/>
    </row>
    <row r="23" spans="2:6" ht="29.65" customHeight="1" x14ac:dyDescent="0.35">
      <c r="B23" s="169"/>
      <c r="C23" s="169"/>
      <c r="D23" s="89" t="s">
        <v>66</v>
      </c>
      <c r="E23" s="89" t="s">
        <v>67</v>
      </c>
      <c r="F23" s="89" t="s">
        <v>68</v>
      </c>
    </row>
    <row r="24" spans="2:6" ht="10.5" customHeight="1" x14ac:dyDescent="0.35">
      <c r="B24" s="92">
        <v>1</v>
      </c>
      <c r="C24" s="92" t="s">
        <v>47</v>
      </c>
      <c r="D24" s="92">
        <v>444</v>
      </c>
      <c r="E24" s="93">
        <v>41</v>
      </c>
      <c r="F24" s="94">
        <f>E24/D24*100</f>
        <v>9.2342342342342345</v>
      </c>
    </row>
    <row r="25" spans="2:6" ht="10.5" customHeight="1" x14ac:dyDescent="0.35">
      <c r="B25" s="104">
        <v>2</v>
      </c>
      <c r="C25" s="104" t="s">
        <v>48</v>
      </c>
      <c r="D25" s="104">
        <v>160</v>
      </c>
      <c r="E25" s="105">
        <v>203</v>
      </c>
      <c r="F25" s="103">
        <f t="shared" ref="F25:F36" si="1">E25/D25*100</f>
        <v>126.875</v>
      </c>
    </row>
    <row r="26" spans="2:6" ht="10.5" customHeight="1" x14ac:dyDescent="0.35">
      <c r="B26" s="92">
        <v>3</v>
      </c>
      <c r="C26" s="92" t="s">
        <v>49</v>
      </c>
      <c r="D26" s="92">
        <v>271</v>
      </c>
      <c r="E26" s="93">
        <v>15</v>
      </c>
      <c r="F26" s="94">
        <f t="shared" si="1"/>
        <v>5.5350553505535052</v>
      </c>
    </row>
    <row r="27" spans="2:6" ht="10.5" customHeight="1" x14ac:dyDescent="0.35">
      <c r="B27" s="92">
        <v>4</v>
      </c>
      <c r="C27" s="92" t="s">
        <v>50</v>
      </c>
      <c r="D27" s="92">
        <v>170</v>
      </c>
      <c r="E27" s="93">
        <v>23</v>
      </c>
      <c r="F27" s="94">
        <f t="shared" si="1"/>
        <v>13.529411764705882</v>
      </c>
    </row>
    <row r="28" spans="2:6" ht="10.5" customHeight="1" x14ac:dyDescent="0.35">
      <c r="B28" s="92">
        <v>5</v>
      </c>
      <c r="C28" s="92" t="s">
        <v>51</v>
      </c>
      <c r="D28" s="92">
        <v>284</v>
      </c>
      <c r="E28" s="93">
        <v>117</v>
      </c>
      <c r="F28" s="94">
        <f t="shared" si="1"/>
        <v>41.197183098591552</v>
      </c>
    </row>
    <row r="29" spans="2:6" ht="10.5" customHeight="1" x14ac:dyDescent="0.35">
      <c r="B29" s="92">
        <v>6</v>
      </c>
      <c r="C29" s="92" t="s">
        <v>52</v>
      </c>
      <c r="D29" s="92">
        <v>909</v>
      </c>
      <c r="E29" s="93">
        <v>595</v>
      </c>
      <c r="F29" s="94">
        <f t="shared" si="1"/>
        <v>65.45654565456546</v>
      </c>
    </row>
    <row r="30" spans="2:6" ht="10.5" customHeight="1" x14ac:dyDescent="0.35">
      <c r="B30" s="92">
        <v>7</v>
      </c>
      <c r="C30" s="92" t="s">
        <v>53</v>
      </c>
      <c r="D30" s="92">
        <v>188</v>
      </c>
      <c r="E30" s="93">
        <v>83</v>
      </c>
      <c r="F30" s="94">
        <f t="shared" si="1"/>
        <v>44.148936170212764</v>
      </c>
    </row>
    <row r="31" spans="2:6" ht="10.5" customHeight="1" x14ac:dyDescent="0.35">
      <c r="B31" s="92">
        <v>8</v>
      </c>
      <c r="C31" s="92" t="s">
        <v>54</v>
      </c>
      <c r="D31" s="92">
        <v>459</v>
      </c>
      <c r="E31" s="93">
        <v>119</v>
      </c>
      <c r="F31" s="94">
        <f t="shared" si="1"/>
        <v>25.925925925925924</v>
      </c>
    </row>
    <row r="32" spans="2:6" ht="10.5" customHeight="1" x14ac:dyDescent="0.35">
      <c r="B32" s="92">
        <v>9</v>
      </c>
      <c r="C32" s="92" t="s">
        <v>55</v>
      </c>
      <c r="D32" s="92">
        <v>341</v>
      </c>
      <c r="E32" s="93">
        <v>85</v>
      </c>
      <c r="F32" s="94">
        <f t="shared" si="1"/>
        <v>24.926686217008797</v>
      </c>
    </row>
    <row r="33" spans="2:6" ht="10.5" customHeight="1" x14ac:dyDescent="0.35">
      <c r="B33" s="106">
        <v>10</v>
      </c>
      <c r="C33" s="106" t="s">
        <v>56</v>
      </c>
      <c r="D33" s="106">
        <v>726</v>
      </c>
      <c r="E33" s="107">
        <v>18</v>
      </c>
      <c r="F33" s="108">
        <f t="shared" si="1"/>
        <v>2.4793388429752068</v>
      </c>
    </row>
    <row r="34" spans="2:6" ht="10.5" customHeight="1" x14ac:dyDescent="0.35">
      <c r="B34" s="92">
        <v>11</v>
      </c>
      <c r="C34" s="92" t="s">
        <v>57</v>
      </c>
      <c r="D34" s="92">
        <v>282</v>
      </c>
      <c r="E34" s="93">
        <v>189</v>
      </c>
      <c r="F34" s="94">
        <f t="shared" si="1"/>
        <v>67.021276595744681</v>
      </c>
    </row>
    <row r="35" spans="2:6" ht="10.5" customHeight="1" x14ac:dyDescent="0.35">
      <c r="B35" s="92">
        <v>12</v>
      </c>
      <c r="C35" s="92" t="s">
        <v>58</v>
      </c>
      <c r="D35" s="92">
        <v>112</v>
      </c>
      <c r="E35" s="93">
        <v>19</v>
      </c>
      <c r="F35" s="94">
        <f t="shared" si="1"/>
        <v>16.964285714285715</v>
      </c>
    </row>
    <row r="36" spans="2:6" ht="10.5" customHeight="1" x14ac:dyDescent="0.35">
      <c r="B36" s="95"/>
      <c r="C36" s="96" t="s">
        <v>59</v>
      </c>
      <c r="D36" s="96">
        <f t="shared" ref="D36" si="2">SUM(D24:D35)</f>
        <v>4346</v>
      </c>
      <c r="E36" s="100">
        <f>SUM(E24:E35)</f>
        <v>1507</v>
      </c>
      <c r="F36" s="98">
        <f t="shared" si="1"/>
        <v>34.67556373676944</v>
      </c>
    </row>
    <row r="37" spans="2:6" ht="10.5" customHeight="1" x14ac:dyDescent="0.35"/>
    <row r="38" spans="2:6" ht="10.5" customHeight="1" x14ac:dyDescent="0.35"/>
    <row r="39" spans="2:6" ht="10.5" customHeight="1" x14ac:dyDescent="0.35">
      <c r="B39" s="168" t="s">
        <v>38</v>
      </c>
      <c r="C39" s="168" t="s">
        <v>39</v>
      </c>
      <c r="D39" s="170" t="s">
        <v>70</v>
      </c>
      <c r="E39" s="171"/>
      <c r="F39" s="171"/>
    </row>
    <row r="40" spans="2:6" ht="28" customHeight="1" x14ac:dyDescent="0.35">
      <c r="B40" s="169"/>
      <c r="C40" s="169"/>
      <c r="D40" s="99" t="s">
        <v>66</v>
      </c>
      <c r="E40" s="99" t="s">
        <v>67</v>
      </c>
      <c r="F40" s="99" t="s">
        <v>68</v>
      </c>
    </row>
    <row r="41" spans="2:6" ht="10.5" customHeight="1" x14ac:dyDescent="0.35">
      <c r="B41" s="92">
        <v>1</v>
      </c>
      <c r="C41" s="92" t="s">
        <v>47</v>
      </c>
      <c r="D41" s="92">
        <v>111</v>
      </c>
      <c r="E41" s="101">
        <v>20</v>
      </c>
      <c r="F41" s="94">
        <f>E41/D41*100</f>
        <v>18.018018018018019</v>
      </c>
    </row>
    <row r="42" spans="2:6" ht="10.5" customHeight="1" x14ac:dyDescent="0.35">
      <c r="B42" s="104">
        <v>2</v>
      </c>
      <c r="C42" s="104" t="s">
        <v>48</v>
      </c>
      <c r="D42" s="104">
        <v>40</v>
      </c>
      <c r="E42" s="109">
        <v>34</v>
      </c>
      <c r="F42" s="103">
        <f t="shared" ref="F42:F53" si="3">E42/D42*100</f>
        <v>85</v>
      </c>
    </row>
    <row r="43" spans="2:6" ht="10.5" customHeight="1" x14ac:dyDescent="0.35">
      <c r="B43" s="92">
        <v>3</v>
      </c>
      <c r="C43" s="92" t="s">
        <v>49</v>
      </c>
      <c r="D43" s="92">
        <v>67</v>
      </c>
      <c r="E43" s="101">
        <v>3</v>
      </c>
      <c r="F43" s="94">
        <f t="shared" si="3"/>
        <v>4.4776119402985071</v>
      </c>
    </row>
    <row r="44" spans="2:6" ht="10.5" customHeight="1" x14ac:dyDescent="0.35">
      <c r="B44" s="92">
        <v>4</v>
      </c>
      <c r="C44" s="92" t="s">
        <v>50</v>
      </c>
      <c r="D44" s="92">
        <v>43</v>
      </c>
      <c r="E44" s="101">
        <v>9</v>
      </c>
      <c r="F44" s="94">
        <f t="shared" si="3"/>
        <v>20.930232558139537</v>
      </c>
    </row>
    <row r="45" spans="2:6" ht="10.5" customHeight="1" x14ac:dyDescent="0.35">
      <c r="B45" s="92">
        <v>5</v>
      </c>
      <c r="C45" s="92" t="s">
        <v>51</v>
      </c>
      <c r="D45" s="92">
        <v>71</v>
      </c>
      <c r="E45" s="101">
        <v>51</v>
      </c>
      <c r="F45" s="94">
        <f t="shared" si="3"/>
        <v>71.83098591549296</v>
      </c>
    </row>
    <row r="46" spans="2:6" ht="10.5" customHeight="1" x14ac:dyDescent="0.35">
      <c r="B46" s="92">
        <v>6</v>
      </c>
      <c r="C46" s="92" t="s">
        <v>52</v>
      </c>
      <c r="D46" s="92">
        <v>227</v>
      </c>
      <c r="E46" s="101">
        <v>170</v>
      </c>
      <c r="F46" s="94">
        <f t="shared" si="3"/>
        <v>74.889867841409696</v>
      </c>
    </row>
    <row r="47" spans="2:6" ht="10.5" customHeight="1" x14ac:dyDescent="0.35">
      <c r="B47" s="92">
        <v>7</v>
      </c>
      <c r="C47" s="92" t="s">
        <v>53</v>
      </c>
      <c r="D47" s="92">
        <v>47</v>
      </c>
      <c r="E47" s="101">
        <v>19</v>
      </c>
      <c r="F47" s="94">
        <f t="shared" si="3"/>
        <v>40.425531914893611</v>
      </c>
    </row>
    <row r="48" spans="2:6" ht="10.5" customHeight="1" x14ac:dyDescent="0.35">
      <c r="B48" s="106">
        <v>8</v>
      </c>
      <c r="C48" s="106" t="s">
        <v>54</v>
      </c>
      <c r="D48" s="106">
        <v>115</v>
      </c>
      <c r="E48" s="110">
        <v>10</v>
      </c>
      <c r="F48" s="108">
        <f t="shared" si="3"/>
        <v>8.695652173913043</v>
      </c>
    </row>
    <row r="49" spans="2:6" ht="10.5" customHeight="1" x14ac:dyDescent="0.35">
      <c r="B49" s="92">
        <v>9</v>
      </c>
      <c r="C49" s="92" t="s">
        <v>55</v>
      </c>
      <c r="D49" s="92">
        <v>85</v>
      </c>
      <c r="E49" s="101">
        <v>19</v>
      </c>
      <c r="F49" s="94">
        <f t="shared" si="3"/>
        <v>22.352941176470591</v>
      </c>
    </row>
    <row r="50" spans="2:6" ht="10.5" customHeight="1" x14ac:dyDescent="0.35">
      <c r="B50" s="92">
        <v>10</v>
      </c>
      <c r="C50" s="92" t="s">
        <v>56</v>
      </c>
      <c r="D50" s="92">
        <v>182</v>
      </c>
      <c r="E50" s="101">
        <v>24</v>
      </c>
      <c r="F50" s="94">
        <f t="shared" si="3"/>
        <v>13.186813186813188</v>
      </c>
    </row>
    <row r="51" spans="2:6" ht="10.5" customHeight="1" x14ac:dyDescent="0.35">
      <c r="B51" s="92">
        <v>11</v>
      </c>
      <c r="C51" s="92" t="s">
        <v>57</v>
      </c>
      <c r="D51" s="92">
        <v>70</v>
      </c>
      <c r="E51" s="101">
        <v>33</v>
      </c>
      <c r="F51" s="94">
        <f t="shared" si="3"/>
        <v>47.142857142857139</v>
      </c>
    </row>
    <row r="52" spans="2:6" ht="10.5" customHeight="1" x14ac:dyDescent="0.35">
      <c r="B52" s="92">
        <v>12</v>
      </c>
      <c r="C52" s="92" t="s">
        <v>58</v>
      </c>
      <c r="D52" s="92">
        <v>28</v>
      </c>
      <c r="E52" s="101">
        <v>3</v>
      </c>
      <c r="F52" s="94">
        <f t="shared" si="3"/>
        <v>10.714285714285714</v>
      </c>
    </row>
    <row r="53" spans="2:6" ht="10.5" customHeight="1" x14ac:dyDescent="0.35">
      <c r="B53" s="95"/>
      <c r="C53" s="96" t="s">
        <v>59</v>
      </c>
      <c r="D53" s="96">
        <f t="shared" ref="D53" si="4">SUM(D41:D52)</f>
        <v>1086</v>
      </c>
      <c r="E53" s="102">
        <f>SUM(E41:E52)</f>
        <v>395</v>
      </c>
      <c r="F53" s="98">
        <f t="shared" si="3"/>
        <v>36.372007366482507</v>
      </c>
    </row>
    <row r="54" spans="2:6" ht="10.5" customHeight="1" x14ac:dyDescent="0.35"/>
    <row r="55" spans="2:6" ht="10.5" customHeight="1" x14ac:dyDescent="0.35"/>
    <row r="56" spans="2:6" ht="10.5" customHeight="1" x14ac:dyDescent="0.35"/>
    <row r="57" spans="2:6" ht="10.5" customHeight="1" x14ac:dyDescent="0.35"/>
    <row r="58" spans="2:6" ht="10.5" customHeight="1" x14ac:dyDescent="0.35"/>
    <row r="59" spans="2:6" ht="10.5" customHeight="1" x14ac:dyDescent="0.35"/>
    <row r="60" spans="2:6" ht="10.5" customHeight="1" x14ac:dyDescent="0.35"/>
    <row r="61" spans="2:6" ht="10.5" customHeight="1" x14ac:dyDescent="0.35"/>
    <row r="62" spans="2:6" ht="10.5" customHeight="1" x14ac:dyDescent="0.35"/>
    <row r="63" spans="2:6" ht="10.5" customHeight="1" x14ac:dyDescent="0.35"/>
    <row r="64" spans="2:6" ht="10.5" customHeight="1" x14ac:dyDescent="0.35"/>
    <row r="65" ht="10.5" customHeight="1" x14ac:dyDescent="0.35"/>
    <row r="66" ht="10.5" customHeight="1" x14ac:dyDescent="0.35"/>
    <row r="67" ht="10.5" customHeight="1" x14ac:dyDescent="0.35"/>
    <row r="68" ht="10.5" customHeight="1" x14ac:dyDescent="0.35"/>
    <row r="69" ht="10.5" customHeight="1" x14ac:dyDescent="0.35"/>
    <row r="70" ht="10.5" customHeight="1" x14ac:dyDescent="0.35"/>
    <row r="71" ht="10.5" customHeight="1" x14ac:dyDescent="0.35"/>
    <row r="72" ht="10.5" customHeight="1" x14ac:dyDescent="0.35"/>
    <row r="73" ht="10.5" customHeight="1" x14ac:dyDescent="0.35"/>
    <row r="74" ht="10.5" customHeight="1" x14ac:dyDescent="0.35"/>
    <row r="75" ht="10.5" customHeight="1" x14ac:dyDescent="0.35"/>
    <row r="76" ht="10.5" customHeight="1" x14ac:dyDescent="0.35"/>
    <row r="77" ht="10.5" customHeight="1" x14ac:dyDescent="0.35"/>
    <row r="78" ht="10.5" customHeight="1" x14ac:dyDescent="0.35"/>
    <row r="79" ht="10.5" customHeight="1" x14ac:dyDescent="0.35"/>
    <row r="80" ht="10.5" customHeight="1" x14ac:dyDescent="0.35"/>
    <row r="81" ht="10.5" customHeight="1" x14ac:dyDescent="0.35"/>
    <row r="82" ht="10.5" customHeight="1" x14ac:dyDescent="0.35"/>
    <row r="83" ht="10.5" customHeight="1" x14ac:dyDescent="0.35"/>
    <row r="84" ht="10.5" customHeight="1" x14ac:dyDescent="0.35"/>
    <row r="85" ht="10.5" customHeight="1" x14ac:dyDescent="0.35"/>
    <row r="86" ht="10.5" customHeight="1" x14ac:dyDescent="0.35"/>
    <row r="87" ht="10.5" customHeight="1" x14ac:dyDescent="0.35"/>
    <row r="88" ht="10.5" customHeight="1" x14ac:dyDescent="0.35"/>
    <row r="89" ht="10.5" customHeight="1" x14ac:dyDescent="0.35"/>
    <row r="90" ht="10.5" customHeight="1" x14ac:dyDescent="0.35"/>
    <row r="91" ht="10.5" customHeight="1" x14ac:dyDescent="0.35"/>
    <row r="92" ht="10.5" customHeight="1" x14ac:dyDescent="0.35"/>
    <row r="93" ht="10.5" customHeight="1" x14ac:dyDescent="0.35"/>
    <row r="94" ht="10.5" customHeight="1" x14ac:dyDescent="0.35"/>
    <row r="95" ht="10.5" customHeight="1" x14ac:dyDescent="0.35"/>
    <row r="96" ht="10.5" customHeight="1" x14ac:dyDescent="0.35"/>
    <row r="97" ht="10.5" customHeight="1" x14ac:dyDescent="0.35"/>
    <row r="98" ht="10.5" customHeight="1" x14ac:dyDescent="0.35"/>
    <row r="99" ht="10.5" customHeight="1" x14ac:dyDescent="0.35"/>
    <row r="100" ht="10.5" customHeight="1" x14ac:dyDescent="0.35"/>
    <row r="101" ht="10.5" customHeight="1" x14ac:dyDescent="0.35"/>
    <row r="102" ht="10.5" customHeight="1" x14ac:dyDescent="0.35"/>
    <row r="103" ht="10.5" customHeight="1" x14ac:dyDescent="0.35"/>
    <row r="104" ht="10.5" customHeight="1" x14ac:dyDescent="0.35"/>
    <row r="105" ht="10.5" customHeight="1" x14ac:dyDescent="0.35"/>
    <row r="106" ht="10.5" customHeight="1" x14ac:dyDescent="0.35"/>
    <row r="107" ht="10.5" customHeight="1" x14ac:dyDescent="0.35"/>
    <row r="108" ht="10.5" customHeight="1" x14ac:dyDescent="0.35"/>
    <row r="109" ht="10.5" customHeight="1" x14ac:dyDescent="0.35"/>
    <row r="110" ht="10.5" customHeight="1" x14ac:dyDescent="0.35"/>
    <row r="111" ht="10.5" customHeight="1" x14ac:dyDescent="0.35"/>
    <row r="112" ht="10.5" customHeight="1" x14ac:dyDescent="0.35"/>
    <row r="113" ht="10.5" customHeight="1" x14ac:dyDescent="0.35"/>
    <row r="114" ht="10.5" customHeight="1" x14ac:dyDescent="0.35"/>
    <row r="115" ht="10.5" customHeight="1" x14ac:dyDescent="0.35"/>
    <row r="116" ht="10.5" customHeight="1" x14ac:dyDescent="0.35"/>
    <row r="117" ht="10.5" customHeight="1" x14ac:dyDescent="0.35"/>
    <row r="118" ht="10.5" customHeight="1" x14ac:dyDescent="0.35"/>
    <row r="119" ht="10.5" customHeight="1" x14ac:dyDescent="0.35"/>
    <row r="120" ht="10.5" customHeight="1" x14ac:dyDescent="0.35"/>
    <row r="121" ht="10.5" customHeight="1" x14ac:dyDescent="0.35"/>
    <row r="122" ht="10.5" customHeight="1" x14ac:dyDescent="0.35"/>
    <row r="123" ht="10.5" customHeight="1" x14ac:dyDescent="0.35"/>
    <row r="124" ht="10.5" customHeight="1" x14ac:dyDescent="0.35"/>
    <row r="125" ht="10.5" customHeight="1" x14ac:dyDescent="0.35"/>
    <row r="126" ht="10.5" customHeight="1" x14ac:dyDescent="0.35"/>
    <row r="127" ht="10.5" customHeight="1" x14ac:dyDescent="0.35"/>
    <row r="128" ht="10.5" customHeight="1" x14ac:dyDescent="0.35"/>
    <row r="129" ht="10.5" customHeight="1" x14ac:dyDescent="0.35"/>
    <row r="130" ht="10.5" customHeight="1" x14ac:dyDescent="0.35"/>
    <row r="131" ht="10.5" customHeight="1" x14ac:dyDescent="0.35"/>
    <row r="132" ht="10.5" customHeight="1" x14ac:dyDescent="0.35"/>
    <row r="133" ht="10.5" customHeight="1" x14ac:dyDescent="0.35"/>
    <row r="134" ht="10.5" customHeight="1" x14ac:dyDescent="0.35"/>
    <row r="135" ht="10.5" customHeight="1" x14ac:dyDescent="0.35"/>
    <row r="136" ht="10.5" customHeight="1" x14ac:dyDescent="0.35"/>
    <row r="137" ht="10.5" customHeight="1" x14ac:dyDescent="0.35"/>
    <row r="138" ht="10.5" customHeight="1" x14ac:dyDescent="0.35"/>
    <row r="139" ht="10.5" customHeight="1" x14ac:dyDescent="0.35"/>
    <row r="140" ht="10.5" customHeight="1" x14ac:dyDescent="0.35"/>
    <row r="141" ht="10.5" customHeight="1" x14ac:dyDescent="0.35"/>
    <row r="142" ht="10.5" customHeight="1" x14ac:dyDescent="0.35"/>
    <row r="143" ht="10.5" customHeight="1" x14ac:dyDescent="0.35"/>
    <row r="144" ht="10.5" customHeight="1" x14ac:dyDescent="0.35"/>
    <row r="145" ht="10.5" customHeight="1" x14ac:dyDescent="0.35"/>
    <row r="146" ht="10.5" customHeight="1" x14ac:dyDescent="0.35"/>
    <row r="147" ht="10.5" customHeight="1" x14ac:dyDescent="0.35"/>
    <row r="148" ht="10.5" customHeight="1" x14ac:dyDescent="0.35"/>
    <row r="149" ht="10.5" customHeight="1" x14ac:dyDescent="0.35"/>
    <row r="150" ht="10.5" customHeight="1" x14ac:dyDescent="0.35"/>
    <row r="151" ht="10.5" customHeight="1" x14ac:dyDescent="0.35"/>
    <row r="152" ht="10.5" customHeight="1" x14ac:dyDescent="0.35"/>
    <row r="153" ht="10.5" customHeight="1" x14ac:dyDescent="0.35"/>
    <row r="154" ht="10.5" customHeight="1" x14ac:dyDescent="0.35"/>
    <row r="155" ht="10.5" customHeight="1" x14ac:dyDescent="0.35"/>
    <row r="156" ht="10.5" customHeight="1" x14ac:dyDescent="0.35"/>
    <row r="157" ht="10.5" customHeight="1" x14ac:dyDescent="0.35"/>
    <row r="158" ht="10.5" customHeight="1" x14ac:dyDescent="0.35"/>
    <row r="159" ht="10.5" customHeight="1" x14ac:dyDescent="0.35"/>
    <row r="160" ht="10.5" customHeight="1" x14ac:dyDescent="0.35"/>
    <row r="161" ht="10.5" customHeight="1" x14ac:dyDescent="0.35"/>
    <row r="162" ht="10.5" customHeight="1" x14ac:dyDescent="0.35"/>
    <row r="163" ht="10.5" customHeight="1" x14ac:dyDescent="0.35"/>
    <row r="164" ht="10.5" customHeight="1" x14ac:dyDescent="0.35"/>
    <row r="165" ht="10.5" customHeight="1" x14ac:dyDescent="0.35"/>
    <row r="166" ht="10.5" customHeight="1" x14ac:dyDescent="0.35"/>
    <row r="167" ht="10.5" customHeight="1" x14ac:dyDescent="0.35"/>
    <row r="168" ht="10.5" customHeight="1" x14ac:dyDescent="0.35"/>
    <row r="169" ht="10.5" customHeight="1" x14ac:dyDescent="0.35"/>
    <row r="170" ht="10.5" customHeight="1" x14ac:dyDescent="0.35"/>
    <row r="171" ht="10.5" customHeight="1" x14ac:dyDescent="0.35"/>
    <row r="172" ht="10.5" customHeight="1" x14ac:dyDescent="0.35"/>
    <row r="173" ht="10.5" customHeight="1" x14ac:dyDescent="0.35"/>
    <row r="174" ht="10.5" customHeight="1" x14ac:dyDescent="0.35"/>
    <row r="175" ht="10.5" customHeight="1" x14ac:dyDescent="0.35"/>
    <row r="176" ht="10.5" customHeight="1" x14ac:dyDescent="0.35"/>
    <row r="177" ht="10.5" customHeight="1" x14ac:dyDescent="0.35"/>
    <row r="178" ht="10.5" customHeight="1" x14ac:dyDescent="0.35"/>
    <row r="179" ht="10.5" customHeight="1" x14ac:dyDescent="0.35"/>
    <row r="180" ht="10.5" customHeight="1" x14ac:dyDescent="0.35"/>
    <row r="181" ht="10.5" customHeight="1" x14ac:dyDescent="0.35"/>
    <row r="182" ht="10.5" customHeight="1" x14ac:dyDescent="0.35"/>
    <row r="183" ht="10.5" customHeight="1" x14ac:dyDescent="0.35"/>
    <row r="184" ht="10.5" customHeight="1" x14ac:dyDescent="0.35"/>
    <row r="185" ht="10.5" customHeight="1" x14ac:dyDescent="0.35"/>
    <row r="186" ht="10.5" customHeight="1" x14ac:dyDescent="0.35"/>
    <row r="187" ht="10.5" customHeight="1" x14ac:dyDescent="0.35"/>
    <row r="188" ht="10.5" customHeight="1" x14ac:dyDescent="0.35"/>
    <row r="189" ht="10.5" customHeight="1" x14ac:dyDescent="0.35"/>
    <row r="190" ht="10.5" customHeight="1" x14ac:dyDescent="0.35"/>
    <row r="191" ht="10.5" customHeight="1" x14ac:dyDescent="0.35"/>
    <row r="192" ht="10.5" customHeight="1" x14ac:dyDescent="0.35"/>
    <row r="193" ht="10.5" customHeight="1" x14ac:dyDescent="0.35"/>
    <row r="194" ht="10.5" customHeight="1" x14ac:dyDescent="0.35"/>
    <row r="195" ht="10.5" customHeight="1" x14ac:dyDescent="0.35"/>
    <row r="196" ht="10.5" customHeight="1" x14ac:dyDescent="0.35"/>
    <row r="197" ht="10.5" customHeight="1" x14ac:dyDescent="0.35"/>
    <row r="198" ht="10.5" customHeight="1" x14ac:dyDescent="0.35"/>
    <row r="199" ht="10.5" customHeight="1" x14ac:dyDescent="0.35"/>
    <row r="200" ht="10.5" customHeight="1" x14ac:dyDescent="0.35"/>
    <row r="201" ht="10.5" customHeight="1" x14ac:dyDescent="0.35"/>
    <row r="202" ht="10.5" customHeight="1" x14ac:dyDescent="0.35"/>
    <row r="203" ht="10.5" customHeight="1" x14ac:dyDescent="0.35"/>
    <row r="204" ht="10.5" customHeight="1" x14ac:dyDescent="0.35"/>
    <row r="205" ht="10.5" customHeight="1" x14ac:dyDescent="0.35"/>
    <row r="206" ht="10.5" customHeight="1" x14ac:dyDescent="0.35"/>
    <row r="207" ht="10.5" customHeight="1" x14ac:dyDescent="0.35"/>
    <row r="208" ht="10.5" customHeight="1" x14ac:dyDescent="0.35"/>
    <row r="209" ht="10.5" customHeight="1" x14ac:dyDescent="0.35"/>
    <row r="210" ht="10.5" customHeight="1" x14ac:dyDescent="0.35"/>
    <row r="211" ht="10.5" customHeight="1" x14ac:dyDescent="0.35"/>
    <row r="212" ht="10.5" customHeight="1" x14ac:dyDescent="0.35"/>
    <row r="213" ht="10.5" customHeight="1" x14ac:dyDescent="0.35"/>
    <row r="214" ht="10.5" customHeight="1" x14ac:dyDescent="0.35"/>
    <row r="215" ht="10.5" customHeight="1" x14ac:dyDescent="0.35"/>
    <row r="216" ht="10.5" customHeight="1" x14ac:dyDescent="0.35"/>
    <row r="217" ht="10.5" customHeight="1" x14ac:dyDescent="0.35"/>
    <row r="218" ht="10.5" customHeight="1" x14ac:dyDescent="0.35"/>
    <row r="219" ht="10.5" customHeight="1" x14ac:dyDescent="0.35"/>
    <row r="220" ht="10.5" customHeight="1" x14ac:dyDescent="0.35"/>
    <row r="221" ht="10.5" customHeight="1" x14ac:dyDescent="0.35"/>
    <row r="222" ht="10.5" customHeight="1" x14ac:dyDescent="0.35"/>
    <row r="223" ht="10.5" customHeight="1" x14ac:dyDescent="0.35"/>
    <row r="224" ht="10.5" customHeight="1" x14ac:dyDescent="0.35"/>
    <row r="225" ht="10.5" customHeight="1" x14ac:dyDescent="0.35"/>
    <row r="226" ht="10.5" customHeight="1" x14ac:dyDescent="0.35"/>
    <row r="227" ht="10.5" customHeight="1" x14ac:dyDescent="0.35"/>
    <row r="228" ht="10.5" customHeight="1" x14ac:dyDescent="0.35"/>
    <row r="229" ht="10.5" customHeight="1" x14ac:dyDescent="0.35"/>
    <row r="230" ht="10.5" customHeight="1" x14ac:dyDescent="0.35"/>
    <row r="231" ht="10.5" customHeight="1" x14ac:dyDescent="0.35"/>
    <row r="232" ht="10.5" customHeight="1" x14ac:dyDescent="0.35"/>
    <row r="233" ht="10.5" customHeight="1" x14ac:dyDescent="0.35"/>
    <row r="234" ht="10.5" customHeight="1" x14ac:dyDescent="0.35"/>
    <row r="235" ht="10.5" customHeight="1" x14ac:dyDescent="0.35"/>
    <row r="236" ht="10.5" customHeight="1" x14ac:dyDescent="0.35"/>
    <row r="237" ht="10.5" customHeight="1" x14ac:dyDescent="0.35"/>
    <row r="238" ht="10.5" customHeight="1" x14ac:dyDescent="0.35"/>
    <row r="239" ht="10.5" customHeight="1" x14ac:dyDescent="0.35"/>
    <row r="240" ht="10.5" customHeight="1" x14ac:dyDescent="0.35"/>
    <row r="241" ht="10.5" customHeight="1" x14ac:dyDescent="0.35"/>
    <row r="242" ht="10.5" customHeight="1" x14ac:dyDescent="0.35"/>
    <row r="243" ht="10.5" customHeight="1" x14ac:dyDescent="0.35"/>
    <row r="244" ht="10.5" customHeight="1" x14ac:dyDescent="0.35"/>
    <row r="245" ht="10.5" customHeight="1" x14ac:dyDescent="0.35"/>
    <row r="246" ht="10.5" customHeight="1" x14ac:dyDescent="0.35"/>
    <row r="247" ht="10.5" customHeight="1" x14ac:dyDescent="0.35"/>
    <row r="248" ht="10.5" customHeight="1" x14ac:dyDescent="0.35"/>
    <row r="249" ht="10.5" customHeight="1" x14ac:dyDescent="0.35"/>
    <row r="250" ht="10.5" customHeight="1" x14ac:dyDescent="0.35"/>
    <row r="251" ht="10.5" customHeight="1" x14ac:dyDescent="0.35"/>
    <row r="252" ht="10.5" customHeight="1" x14ac:dyDescent="0.35"/>
    <row r="253" ht="10.5" customHeight="1" x14ac:dyDescent="0.35"/>
    <row r="254" ht="10.5" customHeight="1" x14ac:dyDescent="0.35"/>
    <row r="255" ht="10.5" customHeight="1" x14ac:dyDescent="0.35"/>
    <row r="256" ht="10.5" customHeight="1" x14ac:dyDescent="0.35"/>
    <row r="257" ht="10.5" customHeight="1" x14ac:dyDescent="0.35"/>
    <row r="258" ht="10.5" customHeight="1" x14ac:dyDescent="0.35"/>
    <row r="259" ht="10.5" customHeight="1" x14ac:dyDescent="0.35"/>
    <row r="260" ht="10.5" customHeight="1" x14ac:dyDescent="0.35"/>
    <row r="261" ht="10.5" customHeight="1" x14ac:dyDescent="0.35"/>
    <row r="262" ht="10.5" customHeight="1" x14ac:dyDescent="0.35"/>
    <row r="263" ht="10.5" customHeight="1" x14ac:dyDescent="0.35"/>
    <row r="264" ht="10.5" customHeight="1" x14ac:dyDescent="0.35"/>
    <row r="265" ht="10.5" customHeight="1" x14ac:dyDescent="0.35"/>
    <row r="266" ht="10.5" customHeight="1" x14ac:dyDescent="0.35"/>
    <row r="267" ht="10.5" customHeight="1" x14ac:dyDescent="0.35"/>
    <row r="268" ht="10.5" customHeight="1" x14ac:dyDescent="0.35"/>
    <row r="269" ht="10.5" customHeight="1" x14ac:dyDescent="0.35"/>
    <row r="270" ht="10.5" customHeight="1" x14ac:dyDescent="0.35"/>
    <row r="271" ht="10.5" customHeight="1" x14ac:dyDescent="0.35"/>
    <row r="272" ht="10.5" customHeight="1" x14ac:dyDescent="0.35"/>
    <row r="273" ht="10.5" customHeight="1" x14ac:dyDescent="0.35"/>
    <row r="274" ht="10.5" customHeight="1" x14ac:dyDescent="0.35"/>
    <row r="275" ht="10.5" customHeight="1" x14ac:dyDescent="0.35"/>
    <row r="276" ht="10.5" customHeight="1" x14ac:dyDescent="0.35"/>
    <row r="277" ht="10.5" customHeight="1" x14ac:dyDescent="0.35"/>
    <row r="278" ht="10.5" customHeight="1" x14ac:dyDescent="0.35"/>
    <row r="279" ht="10.5" customHeight="1" x14ac:dyDescent="0.35"/>
    <row r="280" ht="10.5" customHeight="1" x14ac:dyDescent="0.35"/>
    <row r="281" ht="10.5" customHeight="1" x14ac:dyDescent="0.35"/>
    <row r="282" ht="10.5" customHeight="1" x14ac:dyDescent="0.35"/>
    <row r="283" ht="10.5" customHeight="1" x14ac:dyDescent="0.35"/>
    <row r="284" ht="10.5" customHeight="1" x14ac:dyDescent="0.35"/>
    <row r="285" ht="10.5" customHeight="1" x14ac:dyDescent="0.35"/>
    <row r="286" ht="10.5" customHeight="1" x14ac:dyDescent="0.35"/>
    <row r="287" ht="10.5" customHeight="1" x14ac:dyDescent="0.35"/>
    <row r="288" ht="10.5" customHeight="1" x14ac:dyDescent="0.35"/>
    <row r="289" ht="10.5" customHeight="1" x14ac:dyDescent="0.35"/>
    <row r="290" ht="10.5" customHeight="1" x14ac:dyDescent="0.35"/>
    <row r="291" ht="10.5" customHeight="1" x14ac:dyDescent="0.35"/>
    <row r="292" ht="10.5" customHeight="1" x14ac:dyDescent="0.35"/>
    <row r="293" ht="10.5" customHeight="1" x14ac:dyDescent="0.35"/>
    <row r="294" ht="10.5" customHeight="1" x14ac:dyDescent="0.35"/>
    <row r="295" ht="10.5" customHeight="1" x14ac:dyDescent="0.35"/>
    <row r="296" ht="10.5" customHeight="1" x14ac:dyDescent="0.35"/>
    <row r="297" ht="10.5" customHeight="1" x14ac:dyDescent="0.35"/>
    <row r="298" ht="10.5" customHeight="1" x14ac:dyDescent="0.35"/>
    <row r="299" ht="10.5" customHeight="1" x14ac:dyDescent="0.35"/>
    <row r="300" ht="10.5" customHeight="1" x14ac:dyDescent="0.35"/>
    <row r="301" ht="10.5" customHeight="1" x14ac:dyDescent="0.35"/>
    <row r="302" ht="10.5" customHeight="1" x14ac:dyDescent="0.35"/>
    <row r="303" ht="10.5" customHeight="1" x14ac:dyDescent="0.35"/>
    <row r="304" ht="10.5" customHeight="1" x14ac:dyDescent="0.35"/>
    <row r="305" ht="10.5" customHeight="1" x14ac:dyDescent="0.35"/>
    <row r="306" ht="10.5" customHeight="1" x14ac:dyDescent="0.35"/>
    <row r="307" ht="10.5" customHeight="1" x14ac:dyDescent="0.35"/>
    <row r="308" ht="10.5" customHeight="1" x14ac:dyDescent="0.35"/>
    <row r="309" ht="10.5" customHeight="1" x14ac:dyDescent="0.35"/>
    <row r="310" ht="10.5" customHeight="1" x14ac:dyDescent="0.35"/>
    <row r="311" ht="10.5" customHeight="1" x14ac:dyDescent="0.35"/>
    <row r="312" ht="10.5" customHeight="1" x14ac:dyDescent="0.35"/>
    <row r="313" ht="10.5" customHeight="1" x14ac:dyDescent="0.35"/>
    <row r="314" ht="10.5" customHeight="1" x14ac:dyDescent="0.35"/>
    <row r="315" ht="10.5" customHeight="1" x14ac:dyDescent="0.35"/>
    <row r="316" ht="10.5" customHeight="1" x14ac:dyDescent="0.35"/>
    <row r="317" ht="10.5" customHeight="1" x14ac:dyDescent="0.35"/>
    <row r="318" ht="10.5" customHeight="1" x14ac:dyDescent="0.35"/>
    <row r="319" ht="10.5" customHeight="1" x14ac:dyDescent="0.35"/>
    <row r="320" ht="10.5" customHeight="1" x14ac:dyDescent="0.35"/>
    <row r="321" ht="10.5" customHeight="1" x14ac:dyDescent="0.35"/>
    <row r="322" ht="10.5" customHeight="1" x14ac:dyDescent="0.35"/>
    <row r="323" ht="10.5" customHeight="1" x14ac:dyDescent="0.35"/>
    <row r="324" ht="10.5" customHeight="1" x14ac:dyDescent="0.35"/>
    <row r="325" ht="10.5" customHeight="1" x14ac:dyDescent="0.35"/>
    <row r="326" ht="10.5" customHeight="1" x14ac:dyDescent="0.35"/>
    <row r="327" ht="10.5" customHeight="1" x14ac:dyDescent="0.35"/>
    <row r="328" ht="10.5" customHeight="1" x14ac:dyDescent="0.35"/>
    <row r="329" ht="10.5" customHeight="1" x14ac:dyDescent="0.35"/>
    <row r="330" ht="10.5" customHeight="1" x14ac:dyDescent="0.35"/>
    <row r="331" ht="10.5" customHeight="1" x14ac:dyDescent="0.35"/>
    <row r="332" ht="10.5" customHeight="1" x14ac:dyDescent="0.35"/>
    <row r="333" ht="10.5" customHeight="1" x14ac:dyDescent="0.35"/>
    <row r="334" ht="10.5" customHeight="1" x14ac:dyDescent="0.35"/>
    <row r="335" ht="10.5" customHeight="1" x14ac:dyDescent="0.35"/>
    <row r="336" ht="10.5" customHeight="1" x14ac:dyDescent="0.35"/>
    <row r="337" ht="10.5" customHeight="1" x14ac:dyDescent="0.35"/>
    <row r="338" ht="10.5" customHeight="1" x14ac:dyDescent="0.35"/>
    <row r="339" ht="10.5" customHeight="1" x14ac:dyDescent="0.35"/>
    <row r="340" ht="10.5" customHeight="1" x14ac:dyDescent="0.35"/>
    <row r="341" ht="10.5" customHeight="1" x14ac:dyDescent="0.35"/>
    <row r="342" ht="10.5" customHeight="1" x14ac:dyDescent="0.35"/>
    <row r="343" ht="10.5" customHeight="1" x14ac:dyDescent="0.35"/>
    <row r="344" ht="10.5" customHeight="1" x14ac:dyDescent="0.35"/>
    <row r="345" ht="10.5" customHeight="1" x14ac:dyDescent="0.35"/>
    <row r="346" ht="10.5" customHeight="1" x14ac:dyDescent="0.35"/>
    <row r="347" ht="10.5" customHeight="1" x14ac:dyDescent="0.35"/>
    <row r="348" ht="10.5" customHeight="1" x14ac:dyDescent="0.35"/>
    <row r="349" ht="10.5" customHeight="1" x14ac:dyDescent="0.35"/>
    <row r="350" ht="10.5" customHeight="1" x14ac:dyDescent="0.35"/>
    <row r="351" ht="10.5" customHeight="1" x14ac:dyDescent="0.35"/>
    <row r="352" ht="10.5" customHeight="1" x14ac:dyDescent="0.35"/>
    <row r="353" ht="10.5" customHeight="1" x14ac:dyDescent="0.35"/>
    <row r="354" ht="10.5" customHeight="1" x14ac:dyDescent="0.35"/>
    <row r="355" ht="10.5" customHeight="1" x14ac:dyDescent="0.35"/>
    <row r="356" ht="10.5" customHeight="1" x14ac:dyDescent="0.35"/>
    <row r="357" ht="10.5" customHeight="1" x14ac:dyDescent="0.35"/>
    <row r="358" ht="10.5" customHeight="1" x14ac:dyDescent="0.35"/>
    <row r="359" ht="10.5" customHeight="1" x14ac:dyDescent="0.35"/>
    <row r="360" ht="10.5" customHeight="1" x14ac:dyDescent="0.35"/>
    <row r="361" ht="10.5" customHeight="1" x14ac:dyDescent="0.35"/>
    <row r="362" ht="10.5" customHeight="1" x14ac:dyDescent="0.35"/>
    <row r="363" ht="10.5" customHeight="1" x14ac:dyDescent="0.35"/>
    <row r="364" ht="10.5" customHeight="1" x14ac:dyDescent="0.35"/>
    <row r="365" ht="10.5" customHeight="1" x14ac:dyDescent="0.35"/>
    <row r="366" ht="10.5" customHeight="1" x14ac:dyDescent="0.35"/>
    <row r="367" ht="10.5" customHeight="1" x14ac:dyDescent="0.35"/>
    <row r="368" ht="10.5" customHeight="1" x14ac:dyDescent="0.35"/>
    <row r="369" ht="10.5" customHeight="1" x14ac:dyDescent="0.35"/>
    <row r="370" ht="10.5" customHeight="1" x14ac:dyDescent="0.35"/>
    <row r="371" ht="10.5" customHeight="1" x14ac:dyDescent="0.35"/>
    <row r="372" ht="10.5" customHeight="1" x14ac:dyDescent="0.35"/>
    <row r="373" ht="10.5" customHeight="1" x14ac:dyDescent="0.35"/>
    <row r="374" ht="10.5" customHeight="1" x14ac:dyDescent="0.35"/>
    <row r="375" ht="10.5" customHeight="1" x14ac:dyDescent="0.35"/>
    <row r="376" ht="10.5" customHeight="1" x14ac:dyDescent="0.35"/>
    <row r="377" ht="10.5" customHeight="1" x14ac:dyDescent="0.35"/>
    <row r="378" ht="10.5" customHeight="1" x14ac:dyDescent="0.35"/>
    <row r="379" ht="10.5" customHeight="1" x14ac:dyDescent="0.35"/>
    <row r="380" ht="10.5" customHeight="1" x14ac:dyDescent="0.35"/>
    <row r="381" ht="10.5" customHeight="1" x14ac:dyDescent="0.35"/>
    <row r="382" ht="10.5" customHeight="1" x14ac:dyDescent="0.35"/>
    <row r="383" ht="10.5" customHeight="1" x14ac:dyDescent="0.35"/>
    <row r="384" ht="10.5" customHeight="1" x14ac:dyDescent="0.35"/>
    <row r="385" ht="10.5" customHeight="1" x14ac:dyDescent="0.35"/>
    <row r="386" ht="10.5" customHeight="1" x14ac:dyDescent="0.35"/>
    <row r="387" ht="10.5" customHeight="1" x14ac:dyDescent="0.35"/>
    <row r="388" ht="10.5" customHeight="1" x14ac:dyDescent="0.35"/>
    <row r="389" ht="10.5" customHeight="1" x14ac:dyDescent="0.35"/>
    <row r="390" ht="10.5" customHeight="1" x14ac:dyDescent="0.35"/>
    <row r="391" ht="10.5" customHeight="1" x14ac:dyDescent="0.35"/>
    <row r="392" ht="10.5" customHeight="1" x14ac:dyDescent="0.35"/>
    <row r="393" ht="10.5" customHeight="1" x14ac:dyDescent="0.35"/>
    <row r="394" ht="10.5" customHeight="1" x14ac:dyDescent="0.35"/>
    <row r="395" ht="10.5" customHeight="1" x14ac:dyDescent="0.35"/>
    <row r="396" ht="10.5" customHeight="1" x14ac:dyDescent="0.35"/>
    <row r="397" ht="10.5" customHeight="1" x14ac:dyDescent="0.35"/>
    <row r="398" ht="10.5" customHeight="1" x14ac:dyDescent="0.35"/>
    <row r="399" ht="10.5" customHeight="1" x14ac:dyDescent="0.35"/>
    <row r="400" ht="10.5" customHeight="1" x14ac:dyDescent="0.35"/>
    <row r="401" ht="10.5" customHeight="1" x14ac:dyDescent="0.35"/>
    <row r="402" ht="10.5" customHeight="1" x14ac:dyDescent="0.35"/>
    <row r="403" ht="10.5" customHeight="1" x14ac:dyDescent="0.35"/>
    <row r="404" ht="10.5" customHeight="1" x14ac:dyDescent="0.35"/>
    <row r="405" ht="10.5" customHeight="1" x14ac:dyDescent="0.35"/>
    <row r="406" ht="10.5" customHeight="1" x14ac:dyDescent="0.35"/>
    <row r="407" ht="10.5" customHeight="1" x14ac:dyDescent="0.35"/>
    <row r="408" ht="10.5" customHeight="1" x14ac:dyDescent="0.35"/>
    <row r="409" ht="10.5" customHeight="1" x14ac:dyDescent="0.35"/>
    <row r="410" ht="10.5" customHeight="1" x14ac:dyDescent="0.35"/>
    <row r="411" ht="10.5" customHeight="1" x14ac:dyDescent="0.35"/>
    <row r="412" ht="10.5" customHeight="1" x14ac:dyDescent="0.35"/>
    <row r="413" ht="10.5" customHeight="1" x14ac:dyDescent="0.35"/>
    <row r="414" ht="10.5" customHeight="1" x14ac:dyDescent="0.35"/>
    <row r="415" ht="10.5" customHeight="1" x14ac:dyDescent="0.35"/>
    <row r="416" ht="10.5" customHeight="1" x14ac:dyDescent="0.35"/>
    <row r="417" ht="10.5" customHeight="1" x14ac:dyDescent="0.35"/>
    <row r="418" ht="10.5" customHeight="1" x14ac:dyDescent="0.35"/>
    <row r="419" ht="10.5" customHeight="1" x14ac:dyDescent="0.35"/>
    <row r="420" ht="10.5" customHeight="1" x14ac:dyDescent="0.35"/>
    <row r="421" ht="10.5" customHeight="1" x14ac:dyDescent="0.35"/>
    <row r="422" ht="10.5" customHeight="1" x14ac:dyDescent="0.35"/>
    <row r="423" ht="10.5" customHeight="1" x14ac:dyDescent="0.35"/>
    <row r="424" ht="10.5" customHeight="1" x14ac:dyDescent="0.35"/>
    <row r="425" ht="10.5" customHeight="1" x14ac:dyDescent="0.35"/>
    <row r="426" ht="10.5" customHeight="1" x14ac:dyDescent="0.35"/>
    <row r="427" ht="10.5" customHeight="1" x14ac:dyDescent="0.35"/>
    <row r="428" ht="10.5" customHeight="1" x14ac:dyDescent="0.35"/>
    <row r="429" ht="10.5" customHeight="1" x14ac:dyDescent="0.35"/>
    <row r="430" ht="10.5" customHeight="1" x14ac:dyDescent="0.35"/>
    <row r="431" ht="10.5" customHeight="1" x14ac:dyDescent="0.35"/>
    <row r="432" ht="10.5" customHeight="1" x14ac:dyDescent="0.35"/>
    <row r="433" ht="10.5" customHeight="1" x14ac:dyDescent="0.35"/>
    <row r="434" ht="10.5" customHeight="1" x14ac:dyDescent="0.35"/>
    <row r="435" ht="10.5" customHeight="1" x14ac:dyDescent="0.35"/>
    <row r="436" ht="10.5" customHeight="1" x14ac:dyDescent="0.35"/>
    <row r="437" ht="10.5" customHeight="1" x14ac:dyDescent="0.35"/>
    <row r="438" ht="10.5" customHeight="1" x14ac:dyDescent="0.35"/>
    <row r="439" ht="10.5" customHeight="1" x14ac:dyDescent="0.35"/>
    <row r="440" ht="10.5" customHeight="1" x14ac:dyDescent="0.35"/>
    <row r="441" ht="10.5" customHeight="1" x14ac:dyDescent="0.35"/>
    <row r="442" ht="10.5" customHeight="1" x14ac:dyDescent="0.35"/>
    <row r="443" ht="10.5" customHeight="1" x14ac:dyDescent="0.35"/>
    <row r="444" ht="10.5" customHeight="1" x14ac:dyDescent="0.35"/>
    <row r="445" ht="10.5" customHeight="1" x14ac:dyDescent="0.35"/>
    <row r="446" ht="10.5" customHeight="1" x14ac:dyDescent="0.35"/>
    <row r="447" ht="10.5" customHeight="1" x14ac:dyDescent="0.35"/>
    <row r="448" ht="10.5" customHeight="1" x14ac:dyDescent="0.35"/>
    <row r="449" ht="10.5" customHeight="1" x14ac:dyDescent="0.35"/>
    <row r="450" ht="10.5" customHeight="1" x14ac:dyDescent="0.35"/>
    <row r="451" ht="10.5" customHeight="1" x14ac:dyDescent="0.35"/>
    <row r="452" ht="10.5" customHeight="1" x14ac:dyDescent="0.35"/>
    <row r="453" ht="10.5" customHeight="1" x14ac:dyDescent="0.35"/>
    <row r="454" ht="10.5" customHeight="1" x14ac:dyDescent="0.35"/>
    <row r="455" ht="10.5" customHeight="1" x14ac:dyDescent="0.35"/>
    <row r="456" ht="10.5" customHeight="1" x14ac:dyDescent="0.35"/>
    <row r="457" ht="10.5" customHeight="1" x14ac:dyDescent="0.35"/>
    <row r="458" ht="10.5" customHeight="1" x14ac:dyDescent="0.35"/>
    <row r="459" ht="10.5" customHeight="1" x14ac:dyDescent="0.35"/>
    <row r="460" ht="10.5" customHeight="1" x14ac:dyDescent="0.35"/>
    <row r="461" ht="10.5" customHeight="1" x14ac:dyDescent="0.35"/>
    <row r="462" ht="10.5" customHeight="1" x14ac:dyDescent="0.35"/>
    <row r="463" ht="10.5" customHeight="1" x14ac:dyDescent="0.35"/>
    <row r="464" ht="10.5" customHeight="1" x14ac:dyDescent="0.35"/>
    <row r="465" ht="10.5" customHeight="1" x14ac:dyDescent="0.35"/>
    <row r="466" ht="10.5" customHeight="1" x14ac:dyDescent="0.35"/>
    <row r="467" ht="10.5" customHeight="1" x14ac:dyDescent="0.35"/>
    <row r="468" ht="10.5" customHeight="1" x14ac:dyDescent="0.35"/>
    <row r="469" ht="10.5" customHeight="1" x14ac:dyDescent="0.35"/>
    <row r="470" ht="10.5" customHeight="1" x14ac:dyDescent="0.35"/>
    <row r="471" ht="10.5" customHeight="1" x14ac:dyDescent="0.35"/>
    <row r="472" ht="10.5" customHeight="1" x14ac:dyDescent="0.35"/>
    <row r="473" ht="10.5" customHeight="1" x14ac:dyDescent="0.35"/>
    <row r="474" ht="10.5" customHeight="1" x14ac:dyDescent="0.35"/>
    <row r="475" ht="10.5" customHeight="1" x14ac:dyDescent="0.35"/>
    <row r="476" ht="10.5" customHeight="1" x14ac:dyDescent="0.35"/>
    <row r="477" ht="10.5" customHeight="1" x14ac:dyDescent="0.35"/>
    <row r="478" ht="10.5" customHeight="1" x14ac:dyDescent="0.35"/>
    <row r="479" ht="10.5" customHeight="1" x14ac:dyDescent="0.35"/>
    <row r="480" ht="10.5" customHeight="1" x14ac:dyDescent="0.35"/>
    <row r="481" ht="10.5" customHeight="1" x14ac:dyDescent="0.35"/>
    <row r="482" ht="10.5" customHeight="1" x14ac:dyDescent="0.35"/>
    <row r="483" ht="10.5" customHeight="1" x14ac:dyDescent="0.35"/>
    <row r="484" ht="10.5" customHeight="1" x14ac:dyDescent="0.35"/>
    <row r="485" ht="10.5" customHeight="1" x14ac:dyDescent="0.35"/>
    <row r="486" ht="10.5" customHeight="1" x14ac:dyDescent="0.35"/>
    <row r="487" ht="10.5" customHeight="1" x14ac:dyDescent="0.35"/>
    <row r="488" ht="10.5" customHeight="1" x14ac:dyDescent="0.35"/>
    <row r="489" ht="10.5" customHeight="1" x14ac:dyDescent="0.35"/>
    <row r="490" ht="10.5" customHeight="1" x14ac:dyDescent="0.35"/>
    <row r="491" ht="10.5" customHeight="1" x14ac:dyDescent="0.35"/>
    <row r="492" ht="10.5" customHeight="1" x14ac:dyDescent="0.35"/>
    <row r="493" ht="10.5" customHeight="1" x14ac:dyDescent="0.35"/>
    <row r="494" ht="10.5" customHeight="1" x14ac:dyDescent="0.35"/>
    <row r="495" ht="10.5" customHeight="1" x14ac:dyDescent="0.35"/>
    <row r="496" ht="10.5" customHeight="1" x14ac:dyDescent="0.35"/>
    <row r="497" ht="10.5" customHeight="1" x14ac:dyDescent="0.35"/>
    <row r="498" ht="10.5" customHeight="1" x14ac:dyDescent="0.35"/>
    <row r="499" ht="10.5" customHeight="1" x14ac:dyDescent="0.35"/>
    <row r="500" ht="10.5" customHeight="1" x14ac:dyDescent="0.35"/>
    <row r="501" ht="10.5" customHeight="1" x14ac:dyDescent="0.35"/>
    <row r="502" ht="10.5" customHeight="1" x14ac:dyDescent="0.35"/>
    <row r="503" ht="10.5" customHeight="1" x14ac:dyDescent="0.35"/>
    <row r="504" ht="10.5" customHeight="1" x14ac:dyDescent="0.35"/>
    <row r="505" ht="10.5" customHeight="1" x14ac:dyDescent="0.35"/>
    <row r="506" ht="10.5" customHeight="1" x14ac:dyDescent="0.35"/>
    <row r="507" ht="10.5" customHeight="1" x14ac:dyDescent="0.35"/>
    <row r="508" ht="10.5" customHeight="1" x14ac:dyDescent="0.35"/>
    <row r="509" ht="10.5" customHeight="1" x14ac:dyDescent="0.35"/>
    <row r="510" ht="10.5" customHeight="1" x14ac:dyDescent="0.35"/>
    <row r="511" ht="10.5" customHeight="1" x14ac:dyDescent="0.35"/>
    <row r="512" ht="10.5" customHeight="1" x14ac:dyDescent="0.35"/>
    <row r="513" ht="10.5" customHeight="1" x14ac:dyDescent="0.35"/>
    <row r="514" ht="10.5" customHeight="1" x14ac:dyDescent="0.35"/>
    <row r="515" ht="10.5" customHeight="1" x14ac:dyDescent="0.35"/>
    <row r="516" ht="10.5" customHeight="1" x14ac:dyDescent="0.35"/>
    <row r="517" ht="10.5" customHeight="1" x14ac:dyDescent="0.35"/>
    <row r="518" ht="10.5" customHeight="1" x14ac:dyDescent="0.35"/>
    <row r="519" ht="10.5" customHeight="1" x14ac:dyDescent="0.35"/>
    <row r="520" ht="10.5" customHeight="1" x14ac:dyDescent="0.35"/>
    <row r="521" ht="10.5" customHeight="1" x14ac:dyDescent="0.35"/>
    <row r="522" ht="10.5" customHeight="1" x14ac:dyDescent="0.35"/>
    <row r="523" ht="10.5" customHeight="1" x14ac:dyDescent="0.35"/>
    <row r="524" ht="10.5" customHeight="1" x14ac:dyDescent="0.35"/>
    <row r="525" ht="10.5" customHeight="1" x14ac:dyDescent="0.35"/>
    <row r="526" ht="10.5" customHeight="1" x14ac:dyDescent="0.35"/>
    <row r="527" ht="10.5" customHeight="1" x14ac:dyDescent="0.35"/>
    <row r="528" ht="10.5" customHeight="1" x14ac:dyDescent="0.35"/>
    <row r="529" ht="10.5" customHeight="1" x14ac:dyDescent="0.35"/>
    <row r="530" ht="10.5" customHeight="1" x14ac:dyDescent="0.35"/>
    <row r="531" ht="10.5" customHeight="1" x14ac:dyDescent="0.35"/>
    <row r="532" ht="10.5" customHeight="1" x14ac:dyDescent="0.35"/>
    <row r="533" ht="10.5" customHeight="1" x14ac:dyDescent="0.35"/>
    <row r="534" ht="10.5" customHeight="1" x14ac:dyDescent="0.35"/>
    <row r="535" ht="10.5" customHeight="1" x14ac:dyDescent="0.35"/>
    <row r="536" ht="10.5" customHeight="1" x14ac:dyDescent="0.35"/>
    <row r="537" ht="10.5" customHeight="1" x14ac:dyDescent="0.35"/>
    <row r="538" ht="10.5" customHeight="1" x14ac:dyDescent="0.35"/>
    <row r="539" ht="10.5" customHeight="1" x14ac:dyDescent="0.35"/>
    <row r="540" ht="10.5" customHeight="1" x14ac:dyDescent="0.35"/>
    <row r="541" ht="10.5" customHeight="1" x14ac:dyDescent="0.35"/>
    <row r="542" ht="10.5" customHeight="1" x14ac:dyDescent="0.35"/>
    <row r="543" ht="10.5" customHeight="1" x14ac:dyDescent="0.35"/>
    <row r="544" ht="10.5" customHeight="1" x14ac:dyDescent="0.35"/>
    <row r="545" ht="10.5" customHeight="1" x14ac:dyDescent="0.35"/>
    <row r="546" ht="10.5" customHeight="1" x14ac:dyDescent="0.35"/>
    <row r="547" ht="10.5" customHeight="1" x14ac:dyDescent="0.35"/>
    <row r="548" ht="10.5" customHeight="1" x14ac:dyDescent="0.35"/>
    <row r="549" ht="10.5" customHeight="1" x14ac:dyDescent="0.35"/>
    <row r="550" ht="10.5" customHeight="1" x14ac:dyDescent="0.35"/>
    <row r="551" ht="10.5" customHeight="1" x14ac:dyDescent="0.35"/>
    <row r="552" ht="10.5" customHeight="1" x14ac:dyDescent="0.35"/>
    <row r="553" ht="10.5" customHeight="1" x14ac:dyDescent="0.35"/>
    <row r="554" ht="10.5" customHeight="1" x14ac:dyDescent="0.35"/>
    <row r="555" ht="10.5" customHeight="1" x14ac:dyDescent="0.35"/>
    <row r="556" ht="10.5" customHeight="1" x14ac:dyDescent="0.35"/>
    <row r="557" ht="10.5" customHeight="1" x14ac:dyDescent="0.35"/>
    <row r="558" ht="10.5" customHeight="1" x14ac:dyDescent="0.35"/>
    <row r="559" ht="10.5" customHeight="1" x14ac:dyDescent="0.35"/>
    <row r="560" ht="10.5" customHeight="1" x14ac:dyDescent="0.35"/>
    <row r="561" ht="10.5" customHeight="1" x14ac:dyDescent="0.35"/>
    <row r="562" ht="10.5" customHeight="1" x14ac:dyDescent="0.35"/>
    <row r="563" ht="10.5" customHeight="1" x14ac:dyDescent="0.35"/>
    <row r="564" ht="10.5" customHeight="1" x14ac:dyDescent="0.35"/>
    <row r="565" ht="10.5" customHeight="1" x14ac:dyDescent="0.35"/>
    <row r="566" ht="10.5" customHeight="1" x14ac:dyDescent="0.35"/>
    <row r="567" ht="10.5" customHeight="1" x14ac:dyDescent="0.35"/>
    <row r="568" ht="10.5" customHeight="1" x14ac:dyDescent="0.35"/>
    <row r="569" ht="10.5" customHeight="1" x14ac:dyDescent="0.35"/>
    <row r="570" ht="10.5" customHeight="1" x14ac:dyDescent="0.35"/>
    <row r="571" ht="10.5" customHeight="1" x14ac:dyDescent="0.35"/>
    <row r="572" ht="10.5" customHeight="1" x14ac:dyDescent="0.35"/>
    <row r="573" ht="10.5" customHeight="1" x14ac:dyDescent="0.35"/>
    <row r="574" ht="10.5" customHeight="1" x14ac:dyDescent="0.35"/>
    <row r="575" ht="10.5" customHeight="1" x14ac:dyDescent="0.35"/>
    <row r="576" ht="10.5" customHeight="1" x14ac:dyDescent="0.35"/>
    <row r="577" ht="10.5" customHeight="1" x14ac:dyDescent="0.35"/>
    <row r="578" ht="10.5" customHeight="1" x14ac:dyDescent="0.35"/>
    <row r="579" ht="10.5" customHeight="1" x14ac:dyDescent="0.35"/>
    <row r="580" ht="10.5" customHeight="1" x14ac:dyDescent="0.35"/>
    <row r="581" ht="10.5" customHeight="1" x14ac:dyDescent="0.35"/>
    <row r="582" ht="10.5" customHeight="1" x14ac:dyDescent="0.35"/>
    <row r="583" ht="10.5" customHeight="1" x14ac:dyDescent="0.35"/>
    <row r="584" ht="10.5" customHeight="1" x14ac:dyDescent="0.35"/>
    <row r="585" ht="10.5" customHeight="1" x14ac:dyDescent="0.35"/>
    <row r="586" ht="10.5" customHeight="1" x14ac:dyDescent="0.35"/>
    <row r="587" ht="10.5" customHeight="1" x14ac:dyDescent="0.35"/>
    <row r="588" ht="10.5" customHeight="1" x14ac:dyDescent="0.35"/>
    <row r="589" ht="10.5" customHeight="1" x14ac:dyDescent="0.35"/>
    <row r="590" ht="10.5" customHeight="1" x14ac:dyDescent="0.35"/>
    <row r="591" ht="10.5" customHeight="1" x14ac:dyDescent="0.35"/>
    <row r="592" ht="10.5" customHeight="1" x14ac:dyDescent="0.35"/>
    <row r="593" ht="10.5" customHeight="1" x14ac:dyDescent="0.35"/>
    <row r="594" ht="10.5" customHeight="1" x14ac:dyDescent="0.35"/>
    <row r="595" ht="10.5" customHeight="1" x14ac:dyDescent="0.35"/>
    <row r="596" ht="10.5" customHeight="1" x14ac:dyDescent="0.35"/>
    <row r="597" ht="10.5" customHeight="1" x14ac:dyDescent="0.35"/>
    <row r="598" ht="10.5" customHeight="1" x14ac:dyDescent="0.35"/>
    <row r="599" ht="10.5" customHeight="1" x14ac:dyDescent="0.35"/>
    <row r="600" ht="10.5" customHeight="1" x14ac:dyDescent="0.35"/>
    <row r="601" ht="10.5" customHeight="1" x14ac:dyDescent="0.35"/>
    <row r="602" ht="10.5" customHeight="1" x14ac:dyDescent="0.35"/>
    <row r="603" ht="10.5" customHeight="1" x14ac:dyDescent="0.35"/>
    <row r="604" ht="10.5" customHeight="1" x14ac:dyDescent="0.35"/>
    <row r="605" ht="10.5" customHeight="1" x14ac:dyDescent="0.35"/>
    <row r="606" ht="10.5" customHeight="1" x14ac:dyDescent="0.35"/>
    <row r="607" ht="10.5" customHeight="1" x14ac:dyDescent="0.35"/>
    <row r="608" ht="10.5" customHeight="1" x14ac:dyDescent="0.35"/>
    <row r="609" ht="10.5" customHeight="1" x14ac:dyDescent="0.35"/>
    <row r="610" ht="10.5" customHeight="1" x14ac:dyDescent="0.35"/>
    <row r="611" ht="10.5" customHeight="1" x14ac:dyDescent="0.35"/>
    <row r="612" ht="10.5" customHeight="1" x14ac:dyDescent="0.35"/>
    <row r="613" ht="10.5" customHeight="1" x14ac:dyDescent="0.35"/>
    <row r="614" ht="10.5" customHeight="1" x14ac:dyDescent="0.35"/>
    <row r="615" ht="10.5" customHeight="1" x14ac:dyDescent="0.35"/>
    <row r="616" ht="10.5" customHeight="1" x14ac:dyDescent="0.35"/>
    <row r="617" ht="10.5" customHeight="1" x14ac:dyDescent="0.35"/>
    <row r="618" ht="10.5" customHeight="1" x14ac:dyDescent="0.35"/>
    <row r="619" ht="10.5" customHeight="1" x14ac:dyDescent="0.35"/>
    <row r="620" ht="10.5" customHeight="1" x14ac:dyDescent="0.35"/>
    <row r="621" ht="10.5" customHeight="1" x14ac:dyDescent="0.35"/>
    <row r="622" ht="10.5" customHeight="1" x14ac:dyDescent="0.35"/>
    <row r="623" ht="10.5" customHeight="1" x14ac:dyDescent="0.35"/>
    <row r="624" ht="10.5" customHeight="1" x14ac:dyDescent="0.35"/>
    <row r="625" ht="10.5" customHeight="1" x14ac:dyDescent="0.35"/>
    <row r="626" ht="10.5" customHeight="1" x14ac:dyDescent="0.35"/>
    <row r="627" ht="10.5" customHeight="1" x14ac:dyDescent="0.35"/>
    <row r="628" ht="10.5" customHeight="1" x14ac:dyDescent="0.35"/>
    <row r="629" ht="10.5" customHeight="1" x14ac:dyDescent="0.35"/>
    <row r="630" ht="10.5" customHeight="1" x14ac:dyDescent="0.35"/>
    <row r="631" ht="10.5" customHeight="1" x14ac:dyDescent="0.35"/>
    <row r="632" ht="10.5" customHeight="1" x14ac:dyDescent="0.35"/>
    <row r="633" ht="10.5" customHeight="1" x14ac:dyDescent="0.35"/>
    <row r="634" ht="10.5" customHeight="1" x14ac:dyDescent="0.35"/>
    <row r="635" ht="10.5" customHeight="1" x14ac:dyDescent="0.35"/>
    <row r="636" ht="10.5" customHeight="1" x14ac:dyDescent="0.35"/>
    <row r="637" ht="10.5" customHeight="1" x14ac:dyDescent="0.35"/>
    <row r="638" ht="10.5" customHeight="1" x14ac:dyDescent="0.35"/>
    <row r="639" ht="10.5" customHeight="1" x14ac:dyDescent="0.35"/>
    <row r="640" ht="10.5" customHeight="1" x14ac:dyDescent="0.35"/>
    <row r="641" ht="10.5" customHeight="1" x14ac:dyDescent="0.35"/>
    <row r="642" ht="10.5" customHeight="1" x14ac:dyDescent="0.35"/>
    <row r="643" ht="10.5" customHeight="1" x14ac:dyDescent="0.35"/>
    <row r="644" ht="10.5" customHeight="1" x14ac:dyDescent="0.35"/>
    <row r="645" ht="10.5" customHeight="1" x14ac:dyDescent="0.35"/>
    <row r="646" ht="10.5" customHeight="1" x14ac:dyDescent="0.35"/>
    <row r="647" ht="10.5" customHeight="1" x14ac:dyDescent="0.35"/>
    <row r="648" ht="10.5" customHeight="1" x14ac:dyDescent="0.35"/>
    <row r="649" ht="10.5" customHeight="1" x14ac:dyDescent="0.35"/>
    <row r="650" ht="10.5" customHeight="1" x14ac:dyDescent="0.35"/>
    <row r="651" ht="10.5" customHeight="1" x14ac:dyDescent="0.35"/>
    <row r="652" ht="10.5" customHeight="1" x14ac:dyDescent="0.35"/>
    <row r="653" ht="10.5" customHeight="1" x14ac:dyDescent="0.35"/>
    <row r="654" ht="10.5" customHeight="1" x14ac:dyDescent="0.35"/>
    <row r="655" ht="10.5" customHeight="1" x14ac:dyDescent="0.35"/>
    <row r="656" ht="10.5" customHeight="1" x14ac:dyDescent="0.35"/>
    <row r="657" ht="10.5" customHeight="1" x14ac:dyDescent="0.35"/>
    <row r="658" ht="10.5" customHeight="1" x14ac:dyDescent="0.35"/>
    <row r="659" ht="10.5" customHeight="1" x14ac:dyDescent="0.35"/>
    <row r="660" ht="10.5" customHeight="1" x14ac:dyDescent="0.35"/>
    <row r="661" ht="10.5" customHeight="1" x14ac:dyDescent="0.35"/>
    <row r="662" ht="10.5" customHeight="1" x14ac:dyDescent="0.35"/>
    <row r="663" ht="10.5" customHeight="1" x14ac:dyDescent="0.35"/>
    <row r="664" ht="10.5" customHeight="1" x14ac:dyDescent="0.35"/>
    <row r="665" ht="10.5" customHeight="1" x14ac:dyDescent="0.35"/>
    <row r="666" ht="10.5" customHeight="1" x14ac:dyDescent="0.35"/>
    <row r="667" ht="10.5" customHeight="1" x14ac:dyDescent="0.35"/>
    <row r="668" ht="10.5" customHeight="1" x14ac:dyDescent="0.35"/>
    <row r="669" ht="10.5" customHeight="1" x14ac:dyDescent="0.35"/>
    <row r="670" ht="10.5" customHeight="1" x14ac:dyDescent="0.35"/>
    <row r="671" ht="10.5" customHeight="1" x14ac:dyDescent="0.35"/>
    <row r="672" ht="10.5" customHeight="1" x14ac:dyDescent="0.35"/>
    <row r="673" ht="10.5" customHeight="1" x14ac:dyDescent="0.35"/>
    <row r="674" ht="10.5" customHeight="1" x14ac:dyDescent="0.35"/>
    <row r="675" ht="10.5" customHeight="1" x14ac:dyDescent="0.35"/>
    <row r="676" ht="10.5" customHeight="1" x14ac:dyDescent="0.35"/>
    <row r="677" ht="10.5" customHeight="1" x14ac:dyDescent="0.35"/>
    <row r="678" ht="10.5" customHeight="1" x14ac:dyDescent="0.35"/>
    <row r="679" ht="10.5" customHeight="1" x14ac:dyDescent="0.35"/>
    <row r="680" ht="10.5" customHeight="1" x14ac:dyDescent="0.35"/>
    <row r="681" ht="10.5" customHeight="1" x14ac:dyDescent="0.35"/>
    <row r="682" ht="10.5" customHeight="1" x14ac:dyDescent="0.35"/>
    <row r="683" ht="10.5" customHeight="1" x14ac:dyDescent="0.35"/>
    <row r="684" ht="10.5" customHeight="1" x14ac:dyDescent="0.35"/>
    <row r="685" ht="10.5" customHeight="1" x14ac:dyDescent="0.35"/>
    <row r="686" ht="10.5" customHeight="1" x14ac:dyDescent="0.35"/>
    <row r="687" ht="10.5" customHeight="1" x14ac:dyDescent="0.35"/>
    <row r="688" ht="10.5" customHeight="1" x14ac:dyDescent="0.35"/>
    <row r="689" ht="10.5" customHeight="1" x14ac:dyDescent="0.35"/>
    <row r="690" ht="10.5" customHeight="1" x14ac:dyDescent="0.35"/>
    <row r="691" ht="10.5" customHeight="1" x14ac:dyDescent="0.35"/>
    <row r="692" ht="10.5" customHeight="1" x14ac:dyDescent="0.35"/>
    <row r="693" ht="10.5" customHeight="1" x14ac:dyDescent="0.35"/>
    <row r="694" ht="10.5" customHeight="1" x14ac:dyDescent="0.35"/>
    <row r="695" ht="10.5" customHeight="1" x14ac:dyDescent="0.35"/>
    <row r="696" ht="10.5" customHeight="1" x14ac:dyDescent="0.35"/>
    <row r="697" ht="10.5" customHeight="1" x14ac:dyDescent="0.35"/>
    <row r="698" ht="10.5" customHeight="1" x14ac:dyDescent="0.35"/>
    <row r="699" ht="10.5" customHeight="1" x14ac:dyDescent="0.35"/>
    <row r="700" ht="10.5" customHeight="1" x14ac:dyDescent="0.35"/>
    <row r="701" ht="10.5" customHeight="1" x14ac:dyDescent="0.35"/>
    <row r="702" ht="10.5" customHeight="1" x14ac:dyDescent="0.35"/>
    <row r="703" ht="10.5" customHeight="1" x14ac:dyDescent="0.35"/>
    <row r="704" ht="10.5" customHeight="1" x14ac:dyDescent="0.35"/>
    <row r="705" ht="10.5" customHeight="1" x14ac:dyDescent="0.35"/>
    <row r="706" ht="10.5" customHeight="1" x14ac:dyDescent="0.35"/>
    <row r="707" ht="10.5" customHeight="1" x14ac:dyDescent="0.35"/>
    <row r="708" ht="10.5" customHeight="1" x14ac:dyDescent="0.35"/>
    <row r="709" ht="10.5" customHeight="1" x14ac:dyDescent="0.35"/>
    <row r="710" ht="10.5" customHeight="1" x14ac:dyDescent="0.35"/>
    <row r="711" ht="10.5" customHeight="1" x14ac:dyDescent="0.35"/>
    <row r="712" ht="10.5" customHeight="1" x14ac:dyDescent="0.35"/>
    <row r="713" ht="10.5" customHeight="1" x14ac:dyDescent="0.35"/>
    <row r="714" ht="10.5" customHeight="1" x14ac:dyDescent="0.35"/>
    <row r="715" ht="10.5" customHeight="1" x14ac:dyDescent="0.35"/>
    <row r="716" ht="10.5" customHeight="1" x14ac:dyDescent="0.35"/>
    <row r="717" ht="10.5" customHeight="1" x14ac:dyDescent="0.35"/>
    <row r="718" ht="10.5" customHeight="1" x14ac:dyDescent="0.35"/>
    <row r="719" ht="10.5" customHeight="1" x14ac:dyDescent="0.35"/>
    <row r="720" ht="10.5" customHeight="1" x14ac:dyDescent="0.35"/>
    <row r="721" ht="10.5" customHeight="1" x14ac:dyDescent="0.35"/>
    <row r="722" ht="10.5" customHeight="1" x14ac:dyDescent="0.35"/>
    <row r="723" ht="10.5" customHeight="1" x14ac:dyDescent="0.35"/>
    <row r="724" ht="10.5" customHeight="1" x14ac:dyDescent="0.35"/>
    <row r="725" ht="10.5" customHeight="1" x14ac:dyDescent="0.35"/>
    <row r="726" ht="10.5" customHeight="1" x14ac:dyDescent="0.35"/>
    <row r="727" ht="10.5" customHeight="1" x14ac:dyDescent="0.35"/>
    <row r="728" ht="10.5" customHeight="1" x14ac:dyDescent="0.35"/>
    <row r="729" ht="10.5" customHeight="1" x14ac:dyDescent="0.35"/>
    <row r="730" ht="10.5" customHeight="1" x14ac:dyDescent="0.35"/>
    <row r="731" ht="10.5" customHeight="1" x14ac:dyDescent="0.35"/>
    <row r="732" ht="10.5" customHeight="1" x14ac:dyDescent="0.35"/>
    <row r="733" ht="10.5" customHeight="1" x14ac:dyDescent="0.35"/>
    <row r="734" ht="10.5" customHeight="1" x14ac:dyDescent="0.35"/>
    <row r="735" ht="10.5" customHeight="1" x14ac:dyDescent="0.35"/>
    <row r="736" ht="10.5" customHeight="1" x14ac:dyDescent="0.35"/>
    <row r="737" ht="10.5" customHeight="1" x14ac:dyDescent="0.35"/>
    <row r="738" ht="10.5" customHeight="1" x14ac:dyDescent="0.35"/>
    <row r="739" ht="10.5" customHeight="1" x14ac:dyDescent="0.35"/>
    <row r="740" ht="10.5" customHeight="1" x14ac:dyDescent="0.35"/>
    <row r="741" ht="10.5" customHeight="1" x14ac:dyDescent="0.35"/>
    <row r="742" ht="10.5" customHeight="1" x14ac:dyDescent="0.35"/>
    <row r="743" ht="10.5" customHeight="1" x14ac:dyDescent="0.35"/>
    <row r="744" ht="10.5" customHeight="1" x14ac:dyDescent="0.35"/>
    <row r="745" ht="10.5" customHeight="1" x14ac:dyDescent="0.35"/>
    <row r="746" ht="10.5" customHeight="1" x14ac:dyDescent="0.35"/>
    <row r="747" ht="10.5" customHeight="1" x14ac:dyDescent="0.35"/>
    <row r="748" ht="10.5" customHeight="1" x14ac:dyDescent="0.35"/>
    <row r="749" ht="10.5" customHeight="1" x14ac:dyDescent="0.35"/>
    <row r="750" ht="10.5" customHeight="1" x14ac:dyDescent="0.35"/>
    <row r="751" ht="10.5" customHeight="1" x14ac:dyDescent="0.35"/>
    <row r="752" ht="10.5" customHeight="1" x14ac:dyDescent="0.35"/>
    <row r="753" ht="10.5" customHeight="1" x14ac:dyDescent="0.35"/>
    <row r="754" ht="10.5" customHeight="1" x14ac:dyDescent="0.35"/>
    <row r="755" ht="10.5" customHeight="1" x14ac:dyDescent="0.35"/>
    <row r="756" ht="10.5" customHeight="1" x14ac:dyDescent="0.35"/>
    <row r="757" ht="10.5" customHeight="1" x14ac:dyDescent="0.35"/>
    <row r="758" ht="10.5" customHeight="1" x14ac:dyDescent="0.35"/>
    <row r="759" ht="10.5" customHeight="1" x14ac:dyDescent="0.35"/>
    <row r="760" ht="10.5" customHeight="1" x14ac:dyDescent="0.35"/>
    <row r="761" ht="10.5" customHeight="1" x14ac:dyDescent="0.35"/>
    <row r="762" ht="10.5" customHeight="1" x14ac:dyDescent="0.35"/>
    <row r="763" ht="10.5" customHeight="1" x14ac:dyDescent="0.35"/>
    <row r="764" ht="10.5" customHeight="1" x14ac:dyDescent="0.35"/>
    <row r="765" ht="10.5" customHeight="1" x14ac:dyDescent="0.35"/>
    <row r="766" ht="10.5" customHeight="1" x14ac:dyDescent="0.35"/>
    <row r="767" ht="10.5" customHeight="1" x14ac:dyDescent="0.35"/>
    <row r="768" ht="10.5" customHeight="1" x14ac:dyDescent="0.35"/>
    <row r="769" ht="10.5" customHeight="1" x14ac:dyDescent="0.35"/>
    <row r="770" ht="10.5" customHeight="1" x14ac:dyDescent="0.35"/>
    <row r="771" ht="10.5" customHeight="1" x14ac:dyDescent="0.35"/>
    <row r="772" ht="10.5" customHeight="1" x14ac:dyDescent="0.35"/>
    <row r="773" ht="10.5" customHeight="1" x14ac:dyDescent="0.35"/>
    <row r="774" ht="10.5" customHeight="1" x14ac:dyDescent="0.35"/>
    <row r="775" ht="10.5" customHeight="1" x14ac:dyDescent="0.35"/>
    <row r="776" ht="10.5" customHeight="1" x14ac:dyDescent="0.35"/>
    <row r="777" ht="10.5" customHeight="1" x14ac:dyDescent="0.35"/>
    <row r="778" ht="10.5" customHeight="1" x14ac:dyDescent="0.35"/>
    <row r="779" ht="10.5" customHeight="1" x14ac:dyDescent="0.35"/>
    <row r="780" ht="10.5" customHeight="1" x14ac:dyDescent="0.35"/>
    <row r="781" ht="10.5" customHeight="1" x14ac:dyDescent="0.35"/>
    <row r="782" ht="10.5" customHeight="1" x14ac:dyDescent="0.35"/>
    <row r="783" ht="10.5" customHeight="1" x14ac:dyDescent="0.35"/>
    <row r="784" ht="10.5" customHeight="1" x14ac:dyDescent="0.35"/>
    <row r="785" ht="10.5" customHeight="1" x14ac:dyDescent="0.35"/>
    <row r="786" ht="10.5" customHeight="1" x14ac:dyDescent="0.35"/>
    <row r="787" ht="10.5" customHeight="1" x14ac:dyDescent="0.35"/>
    <row r="788" ht="10.5" customHeight="1" x14ac:dyDescent="0.35"/>
    <row r="789" ht="10.5" customHeight="1" x14ac:dyDescent="0.35"/>
    <row r="790" ht="10.5" customHeight="1" x14ac:dyDescent="0.35"/>
    <row r="791" ht="10.5" customHeight="1" x14ac:dyDescent="0.35"/>
    <row r="792" ht="10.5" customHeight="1" x14ac:dyDescent="0.35"/>
    <row r="793" ht="10.5" customHeight="1" x14ac:dyDescent="0.35"/>
    <row r="794" ht="10.5" customHeight="1" x14ac:dyDescent="0.35"/>
    <row r="795" ht="10.5" customHeight="1" x14ac:dyDescent="0.35"/>
    <row r="796" ht="10.5" customHeight="1" x14ac:dyDescent="0.35"/>
    <row r="797" ht="10.5" customHeight="1" x14ac:dyDescent="0.35"/>
    <row r="798" ht="10.5" customHeight="1" x14ac:dyDescent="0.35"/>
    <row r="799" ht="10.5" customHeight="1" x14ac:dyDescent="0.35"/>
    <row r="800" ht="10.5" customHeight="1" x14ac:dyDescent="0.35"/>
    <row r="801" ht="10.5" customHeight="1" x14ac:dyDescent="0.35"/>
    <row r="802" ht="10.5" customHeight="1" x14ac:dyDescent="0.35"/>
    <row r="803" ht="10.5" customHeight="1" x14ac:dyDescent="0.35"/>
    <row r="804" ht="10.5" customHeight="1" x14ac:dyDescent="0.35"/>
    <row r="805" ht="10.5" customHeight="1" x14ac:dyDescent="0.35"/>
    <row r="806" ht="10.5" customHeight="1" x14ac:dyDescent="0.35"/>
    <row r="807" ht="10.5" customHeight="1" x14ac:dyDescent="0.35"/>
    <row r="808" ht="10.5" customHeight="1" x14ac:dyDescent="0.35"/>
    <row r="809" ht="10.5" customHeight="1" x14ac:dyDescent="0.35"/>
    <row r="810" ht="10.5" customHeight="1" x14ac:dyDescent="0.35"/>
    <row r="811" ht="10.5" customHeight="1" x14ac:dyDescent="0.35"/>
    <row r="812" ht="10.5" customHeight="1" x14ac:dyDescent="0.35"/>
    <row r="813" ht="10.5" customHeight="1" x14ac:dyDescent="0.35"/>
    <row r="814" ht="10.5" customHeight="1" x14ac:dyDescent="0.35"/>
    <row r="815" ht="10.5" customHeight="1" x14ac:dyDescent="0.35"/>
    <row r="816" ht="10.5" customHeight="1" x14ac:dyDescent="0.35"/>
    <row r="817" ht="10.5" customHeight="1" x14ac:dyDescent="0.35"/>
    <row r="818" ht="10.5" customHeight="1" x14ac:dyDescent="0.35"/>
    <row r="819" ht="10.5" customHeight="1" x14ac:dyDescent="0.35"/>
    <row r="820" ht="10.5" customHeight="1" x14ac:dyDescent="0.35"/>
    <row r="821" ht="10.5" customHeight="1" x14ac:dyDescent="0.35"/>
    <row r="822" ht="10.5" customHeight="1" x14ac:dyDescent="0.35"/>
    <row r="823" ht="10.5" customHeight="1" x14ac:dyDescent="0.35"/>
    <row r="824" ht="10.5" customHeight="1" x14ac:dyDescent="0.35"/>
    <row r="825" ht="10.5" customHeight="1" x14ac:dyDescent="0.35"/>
    <row r="826" ht="10.5" customHeight="1" x14ac:dyDescent="0.35"/>
    <row r="827" ht="10.5" customHeight="1" x14ac:dyDescent="0.35"/>
    <row r="828" ht="10.5" customHeight="1" x14ac:dyDescent="0.35"/>
    <row r="829" ht="10.5" customHeight="1" x14ac:dyDescent="0.35"/>
    <row r="830" ht="10.5" customHeight="1" x14ac:dyDescent="0.35"/>
    <row r="831" ht="10.5" customHeight="1" x14ac:dyDescent="0.35"/>
    <row r="832" ht="10.5" customHeight="1" x14ac:dyDescent="0.35"/>
    <row r="833" ht="10.5" customHeight="1" x14ac:dyDescent="0.35"/>
    <row r="834" ht="10.5" customHeight="1" x14ac:dyDescent="0.35"/>
    <row r="835" ht="10.5" customHeight="1" x14ac:dyDescent="0.35"/>
    <row r="836" ht="10.5" customHeight="1" x14ac:dyDescent="0.35"/>
    <row r="837" ht="10.5" customHeight="1" x14ac:dyDescent="0.35"/>
    <row r="838" ht="10.5" customHeight="1" x14ac:dyDescent="0.35"/>
    <row r="839" ht="10.5" customHeight="1" x14ac:dyDescent="0.35"/>
    <row r="840" ht="10.5" customHeight="1" x14ac:dyDescent="0.35"/>
    <row r="841" ht="10.5" customHeight="1" x14ac:dyDescent="0.35"/>
    <row r="842" ht="10.5" customHeight="1" x14ac:dyDescent="0.35"/>
    <row r="843" ht="10.5" customHeight="1" x14ac:dyDescent="0.35"/>
    <row r="844" ht="10.5" customHeight="1" x14ac:dyDescent="0.35"/>
    <row r="845" ht="10.5" customHeight="1" x14ac:dyDescent="0.35"/>
    <row r="846" ht="10.5" customHeight="1" x14ac:dyDescent="0.35"/>
    <row r="847" ht="10.5" customHeight="1" x14ac:dyDescent="0.35"/>
    <row r="848" ht="10.5" customHeight="1" x14ac:dyDescent="0.35"/>
    <row r="849" ht="10.5" customHeight="1" x14ac:dyDescent="0.35"/>
    <row r="850" ht="10.5" customHeight="1" x14ac:dyDescent="0.35"/>
    <row r="851" ht="10.5" customHeight="1" x14ac:dyDescent="0.35"/>
    <row r="852" ht="10.5" customHeight="1" x14ac:dyDescent="0.35"/>
    <row r="853" ht="10.5" customHeight="1" x14ac:dyDescent="0.35"/>
    <row r="854" ht="10.5" customHeight="1" x14ac:dyDescent="0.35"/>
    <row r="855" ht="10.5" customHeight="1" x14ac:dyDescent="0.35"/>
    <row r="856" ht="10.5" customHeight="1" x14ac:dyDescent="0.35"/>
    <row r="857" ht="10.5" customHeight="1" x14ac:dyDescent="0.35"/>
    <row r="858" ht="10.5" customHeight="1" x14ac:dyDescent="0.35"/>
    <row r="859" ht="10.5" customHeight="1" x14ac:dyDescent="0.35"/>
    <row r="860" ht="10.5" customHeight="1" x14ac:dyDescent="0.35"/>
    <row r="861" ht="10.5" customHeight="1" x14ac:dyDescent="0.35"/>
    <row r="862" ht="10.5" customHeight="1" x14ac:dyDescent="0.35"/>
    <row r="863" ht="10.5" customHeight="1" x14ac:dyDescent="0.35"/>
    <row r="864" ht="10.5" customHeight="1" x14ac:dyDescent="0.35"/>
    <row r="865" ht="10.5" customHeight="1" x14ac:dyDescent="0.35"/>
    <row r="866" ht="10.5" customHeight="1" x14ac:dyDescent="0.35"/>
    <row r="867" ht="10.5" customHeight="1" x14ac:dyDescent="0.35"/>
    <row r="868" ht="10.5" customHeight="1" x14ac:dyDescent="0.35"/>
    <row r="869" ht="10.5" customHeight="1" x14ac:dyDescent="0.35"/>
    <row r="870" ht="10.5" customHeight="1" x14ac:dyDescent="0.35"/>
    <row r="871" ht="10.5" customHeight="1" x14ac:dyDescent="0.35"/>
    <row r="872" ht="10.5" customHeight="1" x14ac:dyDescent="0.35"/>
    <row r="873" ht="10.5" customHeight="1" x14ac:dyDescent="0.35"/>
    <row r="874" ht="10.5" customHeight="1" x14ac:dyDescent="0.35"/>
    <row r="875" ht="10.5" customHeight="1" x14ac:dyDescent="0.35"/>
    <row r="876" ht="10.5" customHeight="1" x14ac:dyDescent="0.35"/>
    <row r="877" ht="10.5" customHeight="1" x14ac:dyDescent="0.35"/>
    <row r="878" ht="10.5" customHeight="1" x14ac:dyDescent="0.35"/>
    <row r="879" ht="10.5" customHeight="1" x14ac:dyDescent="0.35"/>
    <row r="880" ht="10.5" customHeight="1" x14ac:dyDescent="0.35"/>
    <row r="881" ht="10.5" customHeight="1" x14ac:dyDescent="0.35"/>
    <row r="882" ht="10.5" customHeight="1" x14ac:dyDescent="0.35"/>
    <row r="883" ht="10.5" customHeight="1" x14ac:dyDescent="0.35"/>
    <row r="884" ht="10.5" customHeight="1" x14ac:dyDescent="0.35"/>
    <row r="885" ht="10.5" customHeight="1" x14ac:dyDescent="0.35"/>
    <row r="886" ht="10.5" customHeight="1" x14ac:dyDescent="0.35"/>
    <row r="887" ht="10.5" customHeight="1" x14ac:dyDescent="0.35"/>
    <row r="888" ht="10.5" customHeight="1" x14ac:dyDescent="0.35"/>
    <row r="889" ht="10.5" customHeight="1" x14ac:dyDescent="0.35"/>
    <row r="890" ht="10.5" customHeight="1" x14ac:dyDescent="0.35"/>
    <row r="891" ht="10.5" customHeight="1" x14ac:dyDescent="0.35"/>
    <row r="892" ht="10.5" customHeight="1" x14ac:dyDescent="0.35"/>
    <row r="893" ht="10.5" customHeight="1" x14ac:dyDescent="0.35"/>
    <row r="894" ht="10.5" customHeight="1" x14ac:dyDescent="0.35"/>
    <row r="895" ht="10.5" customHeight="1" x14ac:dyDescent="0.35"/>
    <row r="896" ht="10.5" customHeight="1" x14ac:dyDescent="0.35"/>
    <row r="897" ht="10.5" customHeight="1" x14ac:dyDescent="0.35"/>
    <row r="898" ht="10.5" customHeight="1" x14ac:dyDescent="0.35"/>
    <row r="899" ht="10.5" customHeight="1" x14ac:dyDescent="0.35"/>
    <row r="900" ht="10.5" customHeight="1" x14ac:dyDescent="0.35"/>
    <row r="901" ht="10.5" customHeight="1" x14ac:dyDescent="0.35"/>
    <row r="902" ht="10.5" customHeight="1" x14ac:dyDescent="0.35"/>
    <row r="903" ht="10.5" customHeight="1" x14ac:dyDescent="0.35"/>
    <row r="904" ht="10.5" customHeight="1" x14ac:dyDescent="0.35"/>
    <row r="905" ht="10.5" customHeight="1" x14ac:dyDescent="0.35"/>
    <row r="906" ht="10.5" customHeight="1" x14ac:dyDescent="0.35"/>
    <row r="907" ht="10.5" customHeight="1" x14ac:dyDescent="0.35"/>
    <row r="908" ht="10.5" customHeight="1" x14ac:dyDescent="0.35"/>
    <row r="909" ht="10.5" customHeight="1" x14ac:dyDescent="0.35"/>
    <row r="910" ht="10.5" customHeight="1" x14ac:dyDescent="0.35"/>
    <row r="911" ht="10.5" customHeight="1" x14ac:dyDescent="0.35"/>
    <row r="912" ht="10.5" customHeight="1" x14ac:dyDescent="0.35"/>
    <row r="913" ht="10.5" customHeight="1" x14ac:dyDescent="0.35"/>
    <row r="914" ht="10.5" customHeight="1" x14ac:dyDescent="0.35"/>
    <row r="915" ht="10.5" customHeight="1" x14ac:dyDescent="0.35"/>
    <row r="916" ht="10.5" customHeight="1" x14ac:dyDescent="0.35"/>
    <row r="917" ht="10.5" customHeight="1" x14ac:dyDescent="0.35"/>
    <row r="918" ht="10.5" customHeight="1" x14ac:dyDescent="0.35"/>
    <row r="919" ht="10.5" customHeight="1" x14ac:dyDescent="0.35"/>
    <row r="920" ht="10.5" customHeight="1" x14ac:dyDescent="0.35"/>
    <row r="921" ht="10.5" customHeight="1" x14ac:dyDescent="0.35"/>
    <row r="922" ht="10.5" customHeight="1" x14ac:dyDescent="0.35"/>
    <row r="923" ht="10.5" customHeight="1" x14ac:dyDescent="0.35"/>
    <row r="924" ht="10.5" customHeight="1" x14ac:dyDescent="0.35"/>
    <row r="925" ht="10.5" customHeight="1" x14ac:dyDescent="0.35"/>
    <row r="926" ht="10.5" customHeight="1" x14ac:dyDescent="0.35"/>
    <row r="927" ht="10.5" customHeight="1" x14ac:dyDescent="0.35"/>
    <row r="928" ht="10.5" customHeight="1" x14ac:dyDescent="0.35"/>
    <row r="929" ht="10.5" customHeight="1" x14ac:dyDescent="0.35"/>
    <row r="930" ht="10.5" customHeight="1" x14ac:dyDescent="0.35"/>
    <row r="931" ht="10.5" customHeight="1" x14ac:dyDescent="0.35"/>
    <row r="932" ht="10.5" customHeight="1" x14ac:dyDescent="0.35"/>
    <row r="933" ht="10.5" customHeight="1" x14ac:dyDescent="0.35"/>
    <row r="934" ht="10.5" customHeight="1" x14ac:dyDescent="0.35"/>
    <row r="935" ht="10.5" customHeight="1" x14ac:dyDescent="0.35"/>
    <row r="936" ht="10.5" customHeight="1" x14ac:dyDescent="0.35"/>
    <row r="937" ht="10.5" customHeight="1" x14ac:dyDescent="0.35"/>
    <row r="938" ht="10.5" customHeight="1" x14ac:dyDescent="0.35"/>
    <row r="939" ht="10.5" customHeight="1" x14ac:dyDescent="0.35"/>
    <row r="940" ht="10.5" customHeight="1" x14ac:dyDescent="0.35"/>
    <row r="941" ht="10.5" customHeight="1" x14ac:dyDescent="0.35"/>
    <row r="942" ht="10.5" customHeight="1" x14ac:dyDescent="0.35"/>
    <row r="943" ht="10.5" customHeight="1" x14ac:dyDescent="0.35"/>
    <row r="944" ht="10.5" customHeight="1" x14ac:dyDescent="0.35"/>
    <row r="945" ht="10.5" customHeight="1" x14ac:dyDescent="0.35"/>
    <row r="946" ht="10.5" customHeight="1" x14ac:dyDescent="0.35"/>
    <row r="947" ht="10.5" customHeight="1" x14ac:dyDescent="0.35"/>
    <row r="948" ht="10.5" customHeight="1" x14ac:dyDescent="0.35"/>
    <row r="949" ht="10.5" customHeight="1" x14ac:dyDescent="0.35"/>
    <row r="950" ht="10.5" customHeight="1" x14ac:dyDescent="0.35"/>
    <row r="951" ht="10.5" customHeight="1" x14ac:dyDescent="0.35"/>
    <row r="952" ht="10.5" customHeight="1" x14ac:dyDescent="0.35"/>
    <row r="953" ht="10.5" customHeight="1" x14ac:dyDescent="0.35"/>
    <row r="954" ht="10.5" customHeight="1" x14ac:dyDescent="0.35"/>
    <row r="955" ht="10.5" customHeight="1" x14ac:dyDescent="0.35"/>
    <row r="956" ht="10.5" customHeight="1" x14ac:dyDescent="0.35"/>
    <row r="957" ht="10.5" customHeight="1" x14ac:dyDescent="0.35"/>
    <row r="958" ht="10.5" customHeight="1" x14ac:dyDescent="0.35"/>
    <row r="959" ht="10.5" customHeight="1" x14ac:dyDescent="0.35"/>
    <row r="960" ht="10.5" customHeight="1" x14ac:dyDescent="0.35"/>
    <row r="961" ht="10.5" customHeight="1" x14ac:dyDescent="0.35"/>
    <row r="962" ht="10.5" customHeight="1" x14ac:dyDescent="0.35"/>
    <row r="963" ht="10.5" customHeight="1" x14ac:dyDescent="0.35"/>
    <row r="964" ht="10.5" customHeight="1" x14ac:dyDescent="0.35"/>
    <row r="965" ht="10.5" customHeight="1" x14ac:dyDescent="0.35"/>
    <row r="966" ht="10.5" customHeight="1" x14ac:dyDescent="0.35"/>
    <row r="967" ht="10.5" customHeight="1" x14ac:dyDescent="0.35"/>
    <row r="968" ht="10.5" customHeight="1" x14ac:dyDescent="0.35"/>
    <row r="969" ht="10.5" customHeight="1" x14ac:dyDescent="0.35"/>
    <row r="970" ht="10.5" customHeight="1" x14ac:dyDescent="0.35"/>
    <row r="971" ht="10.5" customHeight="1" x14ac:dyDescent="0.35"/>
    <row r="972" ht="10.5" customHeight="1" x14ac:dyDescent="0.35"/>
    <row r="973" ht="10.5" customHeight="1" x14ac:dyDescent="0.35"/>
    <row r="974" ht="10.5" customHeight="1" x14ac:dyDescent="0.35"/>
    <row r="975" ht="10.5" customHeight="1" x14ac:dyDescent="0.35"/>
    <row r="976" ht="10.5" customHeight="1" x14ac:dyDescent="0.35"/>
    <row r="977" ht="10.5" customHeight="1" x14ac:dyDescent="0.35"/>
    <row r="978" ht="10.5" customHeight="1" x14ac:dyDescent="0.35"/>
    <row r="979" ht="10.5" customHeight="1" x14ac:dyDescent="0.35"/>
    <row r="980" ht="10.5" customHeight="1" x14ac:dyDescent="0.35"/>
    <row r="981" ht="10.5" customHeight="1" x14ac:dyDescent="0.35"/>
    <row r="982" ht="10.5" customHeight="1" x14ac:dyDescent="0.35"/>
    <row r="983" ht="10.5" customHeight="1" x14ac:dyDescent="0.35"/>
    <row r="984" ht="10.5" customHeight="1" x14ac:dyDescent="0.35"/>
    <row r="985" ht="10.5" customHeight="1" x14ac:dyDescent="0.35"/>
    <row r="986" ht="10.5" customHeight="1" x14ac:dyDescent="0.35"/>
    <row r="987" ht="10.5" customHeight="1" x14ac:dyDescent="0.35"/>
    <row r="988" ht="10.5" customHeight="1" x14ac:dyDescent="0.35"/>
    <row r="989" ht="10.5" customHeight="1" x14ac:dyDescent="0.35"/>
    <row r="990" ht="10.5" customHeight="1" x14ac:dyDescent="0.35"/>
    <row r="991" ht="10.5" customHeight="1" x14ac:dyDescent="0.35"/>
    <row r="992" ht="10.5" customHeight="1" x14ac:dyDescent="0.35"/>
    <row r="993" ht="10.5" customHeight="1" x14ac:dyDescent="0.35"/>
    <row r="994" ht="10.5" customHeight="1" x14ac:dyDescent="0.35"/>
  </sheetData>
  <mergeCells count="11">
    <mergeCell ref="B39:B40"/>
    <mergeCell ref="C39:C40"/>
    <mergeCell ref="D39:F39"/>
    <mergeCell ref="B1:F2"/>
    <mergeCell ref="B3:F3"/>
    <mergeCell ref="B5:B6"/>
    <mergeCell ref="C5:C6"/>
    <mergeCell ref="D5:F5"/>
    <mergeCell ref="B22:B23"/>
    <mergeCell ref="C22:C23"/>
    <mergeCell ref="D22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O19"/>
  <sheetViews>
    <sheetView workbookViewId="0"/>
  </sheetViews>
  <sheetFormatPr defaultRowHeight="14.5" x14ac:dyDescent="0.35"/>
  <sheetData>
    <row r="4" spans="2:15" x14ac:dyDescent="0.35">
      <c r="B4" s="111"/>
      <c r="C4" s="111" t="s">
        <v>71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spans="2:15" x14ac:dyDescent="0.35">
      <c r="B5" s="111"/>
      <c r="C5" s="111" t="s">
        <v>72</v>
      </c>
      <c r="D5" s="111" t="s">
        <v>73</v>
      </c>
      <c r="E5" s="111" t="s">
        <v>3</v>
      </c>
      <c r="F5" s="111" t="s">
        <v>74</v>
      </c>
      <c r="G5" s="111" t="s">
        <v>6</v>
      </c>
      <c r="H5" s="111" t="s">
        <v>7</v>
      </c>
      <c r="I5" s="111" t="s">
        <v>75</v>
      </c>
      <c r="J5" s="111" t="s">
        <v>76</v>
      </c>
      <c r="K5" s="111" t="s">
        <v>77</v>
      </c>
      <c r="L5" s="111" t="s">
        <v>78</v>
      </c>
      <c r="M5" s="111" t="s">
        <v>79</v>
      </c>
      <c r="N5" s="111" t="s">
        <v>80</v>
      </c>
      <c r="O5" s="111"/>
    </row>
    <row r="6" spans="2:15" x14ac:dyDescent="0.35">
      <c r="B6" s="111" t="s">
        <v>12</v>
      </c>
      <c r="C6" s="111"/>
      <c r="D6" s="111"/>
      <c r="E6" s="111"/>
      <c r="F6" s="111"/>
      <c r="G6" s="111"/>
      <c r="H6" s="111"/>
      <c r="I6" s="111">
        <v>8</v>
      </c>
      <c r="J6" s="111"/>
      <c r="K6" s="111"/>
      <c r="L6" s="111"/>
      <c r="M6" s="111"/>
      <c r="N6" s="111"/>
      <c r="O6" s="111"/>
    </row>
    <row r="7" spans="2:15" x14ac:dyDescent="0.35">
      <c r="B7" s="111" t="s">
        <v>13</v>
      </c>
      <c r="C7" s="111"/>
      <c r="D7" s="111"/>
      <c r="E7" s="111"/>
      <c r="F7" s="111"/>
      <c r="G7" s="111"/>
      <c r="H7" s="111"/>
      <c r="I7" s="111">
        <v>9</v>
      </c>
      <c r="J7" s="111"/>
      <c r="K7" s="111"/>
      <c r="L7" s="111"/>
      <c r="M7" s="111"/>
      <c r="N7" s="111"/>
      <c r="O7" s="111"/>
    </row>
    <row r="8" spans="2:15" x14ac:dyDescent="0.35">
      <c r="B8" s="111" t="s">
        <v>14</v>
      </c>
      <c r="C8" s="111"/>
      <c r="D8" s="111"/>
      <c r="E8" s="111"/>
      <c r="F8" s="111"/>
      <c r="G8" s="111"/>
      <c r="H8" s="111">
        <v>2</v>
      </c>
      <c r="I8" s="111">
        <v>4</v>
      </c>
      <c r="J8" s="111"/>
      <c r="K8" s="111"/>
      <c r="L8" s="111"/>
      <c r="M8" s="111"/>
      <c r="N8" s="111"/>
      <c r="O8" s="111"/>
    </row>
    <row r="9" spans="2:15" x14ac:dyDescent="0.35">
      <c r="B9" s="111" t="s">
        <v>15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</row>
    <row r="10" spans="2:15" x14ac:dyDescent="0.35">
      <c r="B10" s="111" t="s">
        <v>16</v>
      </c>
      <c r="C10" s="111"/>
      <c r="D10" s="111"/>
      <c r="E10" s="111"/>
      <c r="F10" s="111"/>
      <c r="G10" s="111"/>
      <c r="H10" s="111"/>
      <c r="I10" s="111">
        <v>13</v>
      </c>
      <c r="J10" s="111"/>
      <c r="K10" s="111"/>
      <c r="L10" s="111"/>
      <c r="M10" s="111"/>
      <c r="N10" s="111"/>
      <c r="O10" s="111"/>
    </row>
    <row r="11" spans="2:15" x14ac:dyDescent="0.35">
      <c r="B11" s="111" t="s">
        <v>17</v>
      </c>
      <c r="C11" s="111"/>
      <c r="D11" s="111"/>
      <c r="E11" s="111"/>
      <c r="F11" s="111"/>
      <c r="G11" s="111"/>
      <c r="H11" s="111"/>
      <c r="I11" s="111">
        <v>27</v>
      </c>
      <c r="J11" s="111"/>
      <c r="K11" s="111"/>
      <c r="L11" s="111"/>
      <c r="M11" s="111"/>
      <c r="N11" s="111"/>
      <c r="O11" s="111"/>
    </row>
    <row r="12" spans="2:15" x14ac:dyDescent="0.35">
      <c r="B12" s="111" t="s">
        <v>18</v>
      </c>
      <c r="C12" s="111"/>
      <c r="D12" s="111"/>
      <c r="E12" s="111"/>
      <c r="F12" s="111"/>
      <c r="G12" s="111"/>
      <c r="H12" s="111">
        <v>13</v>
      </c>
      <c r="I12" s="111">
        <v>7</v>
      </c>
      <c r="J12" s="111"/>
      <c r="K12" s="111"/>
      <c r="L12" s="111"/>
      <c r="M12" s="111"/>
      <c r="N12" s="111"/>
      <c r="O12" s="111"/>
    </row>
    <row r="13" spans="2:15" x14ac:dyDescent="0.35">
      <c r="B13" s="111" t="s">
        <v>19</v>
      </c>
      <c r="C13" s="111"/>
      <c r="D13" s="111"/>
      <c r="E13" s="111"/>
      <c r="F13" s="111"/>
      <c r="G13" s="111">
        <v>10</v>
      </c>
      <c r="H13" s="111">
        <v>13</v>
      </c>
      <c r="I13" s="111">
        <v>11</v>
      </c>
      <c r="J13" s="111"/>
      <c r="K13" s="111"/>
      <c r="L13" s="111"/>
      <c r="M13" s="111"/>
      <c r="N13" s="111"/>
      <c r="O13" s="111"/>
    </row>
    <row r="14" spans="2:15" x14ac:dyDescent="0.35">
      <c r="B14" s="111" t="s">
        <v>20</v>
      </c>
      <c r="C14" s="111"/>
      <c r="D14" s="111"/>
      <c r="E14" s="111"/>
      <c r="F14" s="111">
        <v>22</v>
      </c>
      <c r="G14" s="111"/>
      <c r="H14" s="111"/>
      <c r="I14" s="111"/>
      <c r="J14" s="111"/>
      <c r="K14" s="111"/>
      <c r="L14" s="111"/>
      <c r="M14" s="111"/>
      <c r="N14" s="111"/>
      <c r="O14" s="111"/>
    </row>
    <row r="15" spans="2:15" x14ac:dyDescent="0.35">
      <c r="B15" s="111" t="s">
        <v>21</v>
      </c>
      <c r="C15" s="111"/>
      <c r="D15" s="111"/>
      <c r="E15" s="111"/>
      <c r="F15" s="111"/>
      <c r="G15" s="111">
        <v>23</v>
      </c>
      <c r="H15" s="111"/>
      <c r="I15" s="111"/>
      <c r="J15" s="111"/>
      <c r="K15" s="111"/>
      <c r="L15" s="111"/>
      <c r="M15" s="111"/>
      <c r="N15" s="111"/>
      <c r="O15" s="111"/>
    </row>
    <row r="16" spans="2:15" x14ac:dyDescent="0.35">
      <c r="B16" s="111" t="s">
        <v>22</v>
      </c>
      <c r="C16" s="111"/>
      <c r="D16" s="111"/>
      <c r="E16" s="111">
        <v>20</v>
      </c>
      <c r="F16" s="111"/>
      <c r="G16" s="111"/>
      <c r="H16" s="111">
        <v>21</v>
      </c>
      <c r="I16" s="111"/>
      <c r="J16" s="111"/>
      <c r="K16" s="111"/>
      <c r="L16" s="111"/>
      <c r="M16" s="111"/>
      <c r="N16" s="111"/>
      <c r="O16" s="111"/>
    </row>
    <row r="17" spans="2:15" x14ac:dyDescent="0.35">
      <c r="B17" s="111" t="s">
        <v>23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</row>
    <row r="18" spans="2:15" x14ac:dyDescent="0.35"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 x14ac:dyDescent="0.35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O22"/>
  <sheetViews>
    <sheetView topLeftCell="A7" workbookViewId="0"/>
  </sheetViews>
  <sheetFormatPr defaultRowHeight="14.5" x14ac:dyDescent="0.35"/>
  <cols>
    <col min="4" max="4" width="16.1796875" customWidth="1"/>
    <col min="5" max="5" width="26.08984375" customWidth="1"/>
    <col min="6" max="6" width="13.6328125" customWidth="1"/>
    <col min="7" max="7" width="12.26953125" customWidth="1"/>
  </cols>
  <sheetData>
    <row r="4" spans="2:15" ht="15.5" x14ac:dyDescent="0.35">
      <c r="B4" s="177" t="s">
        <v>81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11"/>
    </row>
    <row r="5" spans="2:15" ht="15.5" x14ac:dyDescent="0.35">
      <c r="B5" s="177" t="s">
        <v>82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11"/>
    </row>
    <row r="6" spans="2:15" x14ac:dyDescent="0.35"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</row>
    <row r="7" spans="2:15" x14ac:dyDescent="0.35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</row>
    <row r="8" spans="2:15" ht="29" x14ac:dyDescent="0.35">
      <c r="B8" s="178" t="s">
        <v>38</v>
      </c>
      <c r="C8" s="178" t="s">
        <v>83</v>
      </c>
      <c r="D8" s="112" t="s">
        <v>84</v>
      </c>
      <c r="E8" s="112" t="s">
        <v>85</v>
      </c>
      <c r="F8" s="179" t="s">
        <v>86</v>
      </c>
      <c r="G8" s="179"/>
      <c r="H8" s="179"/>
      <c r="I8" s="179"/>
      <c r="J8" s="179"/>
      <c r="K8" s="179"/>
      <c r="L8" s="180" t="s">
        <v>87</v>
      </c>
      <c r="M8" s="181"/>
      <c r="N8" s="181"/>
      <c r="O8" s="182"/>
    </row>
    <row r="9" spans="2:15" ht="58" x14ac:dyDescent="0.35">
      <c r="B9" s="178"/>
      <c r="C9" s="178"/>
      <c r="D9" s="112" t="s">
        <v>88</v>
      </c>
      <c r="E9" s="112" t="s">
        <v>89</v>
      </c>
      <c r="F9" s="113" t="s">
        <v>90</v>
      </c>
      <c r="G9" s="113" t="s">
        <v>61</v>
      </c>
      <c r="H9" s="113" t="s">
        <v>91</v>
      </c>
      <c r="I9" s="113" t="s">
        <v>61</v>
      </c>
      <c r="J9" s="113" t="s">
        <v>92</v>
      </c>
      <c r="K9" s="113" t="s">
        <v>61</v>
      </c>
      <c r="L9" s="112" t="s">
        <v>93</v>
      </c>
      <c r="M9" s="112" t="s">
        <v>94</v>
      </c>
      <c r="N9" s="112" t="s">
        <v>95</v>
      </c>
      <c r="O9" s="112" t="s">
        <v>96</v>
      </c>
    </row>
    <row r="10" spans="2:15" x14ac:dyDescent="0.35">
      <c r="B10" s="114">
        <v>1</v>
      </c>
      <c r="C10" s="115" t="s">
        <v>47</v>
      </c>
      <c r="D10" s="115">
        <v>3201</v>
      </c>
      <c r="E10" s="115">
        <v>221</v>
      </c>
      <c r="F10" s="115">
        <v>8</v>
      </c>
      <c r="G10" s="116">
        <f>F10/D10*100</f>
        <v>0.24992189940643547</v>
      </c>
      <c r="H10" s="115">
        <v>8</v>
      </c>
      <c r="I10" s="116">
        <f>H10/D10*100</f>
        <v>0.24992189940643547</v>
      </c>
      <c r="J10" s="115">
        <v>8</v>
      </c>
      <c r="K10" s="116">
        <f>J10/E10*100</f>
        <v>3.6199095022624439</v>
      </c>
      <c r="L10" s="115">
        <v>0</v>
      </c>
      <c r="M10" s="115">
        <v>0</v>
      </c>
      <c r="N10" s="115">
        <v>1</v>
      </c>
      <c r="O10" s="115" t="s">
        <v>97</v>
      </c>
    </row>
    <row r="11" spans="2:15" x14ac:dyDescent="0.35">
      <c r="B11" s="114">
        <v>2</v>
      </c>
      <c r="C11" s="115" t="s">
        <v>48</v>
      </c>
      <c r="D11" s="115">
        <v>1153</v>
      </c>
      <c r="E11" s="115">
        <v>79</v>
      </c>
      <c r="F11" s="115">
        <v>9</v>
      </c>
      <c r="G11" s="117">
        <f t="shared" ref="G11:G22" si="0">F11/D11*100</f>
        <v>0.78057241977450131</v>
      </c>
      <c r="H11" s="115">
        <v>9</v>
      </c>
      <c r="I11" s="116">
        <f t="shared" ref="I11:I22" si="1">H11/D11*100</f>
        <v>0.78057241977450131</v>
      </c>
      <c r="J11" s="115">
        <v>9</v>
      </c>
      <c r="K11" s="116">
        <f t="shared" ref="K11:K22" si="2">J11/E11*100</f>
        <v>11.39240506329114</v>
      </c>
      <c r="L11" s="115">
        <v>0</v>
      </c>
      <c r="M11" s="115">
        <v>0</v>
      </c>
      <c r="N11" s="115">
        <v>0</v>
      </c>
      <c r="O11" s="115" t="s">
        <v>97</v>
      </c>
    </row>
    <row r="12" spans="2:15" x14ac:dyDescent="0.35">
      <c r="B12" s="114">
        <v>3</v>
      </c>
      <c r="C12" s="115" t="s">
        <v>49</v>
      </c>
      <c r="D12" s="115">
        <v>2093</v>
      </c>
      <c r="E12" s="115">
        <v>147</v>
      </c>
      <c r="F12" s="115">
        <v>6</v>
      </c>
      <c r="G12" s="116">
        <f t="shared" si="0"/>
        <v>0.2866698518872432</v>
      </c>
      <c r="H12" s="115">
        <v>6</v>
      </c>
      <c r="I12" s="116">
        <f t="shared" si="1"/>
        <v>0.2866698518872432</v>
      </c>
      <c r="J12" s="115">
        <v>6</v>
      </c>
      <c r="K12" s="116">
        <f t="shared" si="2"/>
        <v>4.0816326530612246</v>
      </c>
      <c r="L12" s="115">
        <v>0</v>
      </c>
      <c r="M12" s="115">
        <v>0</v>
      </c>
      <c r="N12" s="115">
        <v>0</v>
      </c>
      <c r="O12" s="115" t="s">
        <v>97</v>
      </c>
    </row>
    <row r="13" spans="2:15" x14ac:dyDescent="0.35">
      <c r="B13" s="118">
        <v>4</v>
      </c>
      <c r="C13" s="119" t="s">
        <v>50</v>
      </c>
      <c r="D13" s="119">
        <v>1197</v>
      </c>
      <c r="E13" s="119">
        <v>84</v>
      </c>
      <c r="F13" s="119">
        <v>0</v>
      </c>
      <c r="G13" s="120">
        <f t="shared" si="0"/>
        <v>0</v>
      </c>
      <c r="H13" s="119">
        <v>0</v>
      </c>
      <c r="I13" s="120">
        <f t="shared" si="1"/>
        <v>0</v>
      </c>
      <c r="J13" s="119">
        <v>0</v>
      </c>
      <c r="K13" s="119">
        <f t="shared" si="2"/>
        <v>0</v>
      </c>
      <c r="L13" s="119">
        <v>0</v>
      </c>
      <c r="M13" s="119">
        <v>0</v>
      </c>
      <c r="N13" s="119">
        <v>0</v>
      </c>
      <c r="O13" s="119"/>
    </row>
    <row r="14" spans="2:15" x14ac:dyDescent="0.35">
      <c r="B14" s="114">
        <v>5</v>
      </c>
      <c r="C14" s="115" t="s">
        <v>51</v>
      </c>
      <c r="D14" s="115">
        <v>2109</v>
      </c>
      <c r="E14" s="115">
        <v>155</v>
      </c>
      <c r="F14" s="115">
        <v>13</v>
      </c>
      <c r="G14" s="116">
        <f t="shared" si="0"/>
        <v>0.61640587956377435</v>
      </c>
      <c r="H14" s="115">
        <v>13</v>
      </c>
      <c r="I14" s="116">
        <f t="shared" si="1"/>
        <v>0.61640587956377435</v>
      </c>
      <c r="J14" s="115">
        <v>13</v>
      </c>
      <c r="K14" s="116">
        <f t="shared" si="2"/>
        <v>8.3870967741935498</v>
      </c>
      <c r="L14" s="115">
        <v>0</v>
      </c>
      <c r="M14" s="115">
        <v>0</v>
      </c>
      <c r="N14" s="115">
        <v>0</v>
      </c>
      <c r="O14" s="115" t="s">
        <v>97</v>
      </c>
    </row>
    <row r="15" spans="2:15" x14ac:dyDescent="0.35">
      <c r="B15" s="114">
        <v>6</v>
      </c>
      <c r="C15" s="115" t="s">
        <v>52</v>
      </c>
      <c r="D15" s="115">
        <v>7151</v>
      </c>
      <c r="E15" s="115">
        <v>546</v>
      </c>
      <c r="F15" s="115">
        <v>27</v>
      </c>
      <c r="G15" s="116">
        <f t="shared" si="0"/>
        <v>0.3775695706894141</v>
      </c>
      <c r="H15" s="115">
        <v>27</v>
      </c>
      <c r="I15" s="116">
        <f t="shared" si="1"/>
        <v>0.3775695706894141</v>
      </c>
      <c r="J15" s="115">
        <v>27</v>
      </c>
      <c r="K15" s="116">
        <f t="shared" si="2"/>
        <v>4.9450549450549453</v>
      </c>
      <c r="L15" s="115">
        <v>0</v>
      </c>
      <c r="M15" s="115">
        <v>0</v>
      </c>
      <c r="N15" s="115">
        <v>0</v>
      </c>
      <c r="O15" s="115" t="s">
        <v>97</v>
      </c>
    </row>
    <row r="16" spans="2:15" x14ac:dyDescent="0.35">
      <c r="B16" s="114">
        <v>7</v>
      </c>
      <c r="C16" s="115" t="s">
        <v>53</v>
      </c>
      <c r="D16" s="115">
        <v>1340</v>
      </c>
      <c r="E16" s="115">
        <v>96</v>
      </c>
      <c r="F16" s="115">
        <v>20</v>
      </c>
      <c r="G16" s="116">
        <f t="shared" si="0"/>
        <v>1.4925373134328357</v>
      </c>
      <c r="H16" s="115">
        <v>20</v>
      </c>
      <c r="I16" s="116">
        <f t="shared" si="1"/>
        <v>1.4925373134328357</v>
      </c>
      <c r="J16" s="115">
        <v>20</v>
      </c>
      <c r="K16" s="116">
        <f t="shared" si="2"/>
        <v>20.833333333333336</v>
      </c>
      <c r="L16" s="115">
        <v>0</v>
      </c>
      <c r="M16" s="115">
        <v>0</v>
      </c>
      <c r="N16" s="115">
        <v>1</v>
      </c>
      <c r="O16" s="115" t="s">
        <v>97</v>
      </c>
    </row>
    <row r="17" spans="2:15" x14ac:dyDescent="0.35">
      <c r="B17" s="114">
        <v>8</v>
      </c>
      <c r="C17" s="115" t="s">
        <v>54</v>
      </c>
      <c r="D17" s="115">
        <v>3463</v>
      </c>
      <c r="E17" s="115">
        <v>243</v>
      </c>
      <c r="F17" s="115">
        <v>34</v>
      </c>
      <c r="G17" s="117">
        <f t="shared" si="0"/>
        <v>0.9818076812012706</v>
      </c>
      <c r="H17" s="115">
        <v>34</v>
      </c>
      <c r="I17" s="116">
        <f t="shared" si="1"/>
        <v>0.9818076812012706</v>
      </c>
      <c r="J17" s="115">
        <v>34</v>
      </c>
      <c r="K17" s="116">
        <f t="shared" si="2"/>
        <v>13.991769547325102</v>
      </c>
      <c r="L17" s="115">
        <v>0</v>
      </c>
      <c r="M17" s="115">
        <v>0</v>
      </c>
      <c r="N17" s="115">
        <v>1</v>
      </c>
      <c r="O17" s="115" t="s">
        <v>97</v>
      </c>
    </row>
    <row r="18" spans="2:15" x14ac:dyDescent="0.35">
      <c r="B18" s="114">
        <v>9</v>
      </c>
      <c r="C18" s="115" t="s">
        <v>55</v>
      </c>
      <c r="D18" s="115">
        <v>2436</v>
      </c>
      <c r="E18" s="115">
        <v>170</v>
      </c>
      <c r="F18" s="115">
        <v>22</v>
      </c>
      <c r="G18" s="116">
        <f t="shared" si="0"/>
        <v>0.90311986863710991</v>
      </c>
      <c r="H18" s="115">
        <v>22</v>
      </c>
      <c r="I18" s="116">
        <f t="shared" si="1"/>
        <v>0.90311986863710991</v>
      </c>
      <c r="J18" s="115">
        <v>22</v>
      </c>
      <c r="K18" s="116">
        <f t="shared" si="2"/>
        <v>12.941176470588237</v>
      </c>
      <c r="L18" s="115">
        <v>0</v>
      </c>
      <c r="M18" s="115">
        <v>0</v>
      </c>
      <c r="N18" s="115">
        <v>1</v>
      </c>
      <c r="O18" s="115" t="s">
        <v>97</v>
      </c>
    </row>
    <row r="19" spans="2:15" x14ac:dyDescent="0.35">
      <c r="B19" s="114">
        <v>10</v>
      </c>
      <c r="C19" s="115" t="s">
        <v>56</v>
      </c>
      <c r="D19" s="115">
        <v>5120</v>
      </c>
      <c r="E19" s="115">
        <v>368</v>
      </c>
      <c r="F19" s="115">
        <v>23</v>
      </c>
      <c r="G19" s="117">
        <f t="shared" si="0"/>
        <v>0.44921874999999994</v>
      </c>
      <c r="H19" s="115">
        <v>23</v>
      </c>
      <c r="I19" s="116">
        <f t="shared" si="1"/>
        <v>0.44921874999999994</v>
      </c>
      <c r="J19" s="115">
        <v>23</v>
      </c>
      <c r="K19" s="116">
        <f t="shared" si="2"/>
        <v>6.25</v>
      </c>
      <c r="L19" s="115">
        <v>1</v>
      </c>
      <c r="M19" s="115">
        <v>0</v>
      </c>
      <c r="N19" s="115">
        <v>2</v>
      </c>
      <c r="O19" s="115"/>
    </row>
    <row r="20" spans="2:15" x14ac:dyDescent="0.35">
      <c r="B20" s="114">
        <v>11</v>
      </c>
      <c r="C20" s="115" t="s">
        <v>57</v>
      </c>
      <c r="D20" s="115">
        <v>2050</v>
      </c>
      <c r="E20" s="115">
        <v>157</v>
      </c>
      <c r="F20" s="115">
        <v>41</v>
      </c>
      <c r="G20" s="117">
        <f t="shared" si="0"/>
        <v>2</v>
      </c>
      <c r="H20" s="115">
        <v>41</v>
      </c>
      <c r="I20" s="115">
        <f t="shared" si="1"/>
        <v>2</v>
      </c>
      <c r="J20" s="115">
        <v>41</v>
      </c>
      <c r="K20" s="116">
        <f t="shared" si="2"/>
        <v>26.114649681528661</v>
      </c>
      <c r="L20" s="115">
        <v>1</v>
      </c>
      <c r="M20" s="115">
        <v>0</v>
      </c>
      <c r="N20" s="115">
        <v>2</v>
      </c>
      <c r="O20" s="115"/>
    </row>
    <row r="21" spans="2:15" x14ac:dyDescent="0.35">
      <c r="B21" s="118">
        <v>12</v>
      </c>
      <c r="C21" s="119" t="s">
        <v>58</v>
      </c>
      <c r="D21" s="119">
        <v>866</v>
      </c>
      <c r="E21" s="119">
        <v>64</v>
      </c>
      <c r="F21" s="119">
        <v>0</v>
      </c>
      <c r="G21" s="121">
        <f t="shared" si="0"/>
        <v>0</v>
      </c>
      <c r="H21" s="119">
        <v>0</v>
      </c>
      <c r="I21" s="119">
        <f t="shared" si="1"/>
        <v>0</v>
      </c>
      <c r="J21" s="119">
        <v>0</v>
      </c>
      <c r="K21" s="119">
        <f t="shared" si="2"/>
        <v>0</v>
      </c>
      <c r="L21" s="119">
        <v>0</v>
      </c>
      <c r="M21" s="119">
        <v>0</v>
      </c>
      <c r="N21" s="119">
        <v>0</v>
      </c>
      <c r="O21" s="119"/>
    </row>
    <row r="22" spans="2:15" x14ac:dyDescent="0.35">
      <c r="B22" s="122"/>
      <c r="C22" s="122" t="s">
        <v>59</v>
      </c>
      <c r="D22" s="122">
        <f>SUM(D10:D21)</f>
        <v>32179</v>
      </c>
      <c r="E22" s="122">
        <f t="shared" ref="E22:N22" si="3">SUM(E10:E21)</f>
        <v>2330</v>
      </c>
      <c r="F22" s="122">
        <f t="shared" si="3"/>
        <v>203</v>
      </c>
      <c r="G22" s="123">
        <f t="shared" si="0"/>
        <v>0.63084620404611702</v>
      </c>
      <c r="H22" s="122">
        <f t="shared" si="3"/>
        <v>203</v>
      </c>
      <c r="I22" s="123">
        <f t="shared" si="1"/>
        <v>0.63084620404611702</v>
      </c>
      <c r="J22" s="122">
        <f>SUM(J10:J21)</f>
        <v>203</v>
      </c>
      <c r="K22" s="123">
        <f t="shared" si="2"/>
        <v>8.7124463519313302</v>
      </c>
      <c r="L22" s="122">
        <f t="shared" si="3"/>
        <v>2</v>
      </c>
      <c r="M22" s="122">
        <f t="shared" si="3"/>
        <v>0</v>
      </c>
      <c r="N22" s="122">
        <f t="shared" si="3"/>
        <v>8</v>
      </c>
      <c r="O22" s="115"/>
    </row>
  </sheetData>
  <mergeCells count="6">
    <mergeCell ref="B4:N4"/>
    <mergeCell ref="B5:N5"/>
    <mergeCell ref="B8:B9"/>
    <mergeCell ref="C8:C9"/>
    <mergeCell ref="F8:K8"/>
    <mergeCell ref="L8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Q22"/>
  <sheetViews>
    <sheetView workbookViewId="0">
      <selection activeCell="D1" sqref="D1"/>
    </sheetView>
  </sheetViews>
  <sheetFormatPr defaultRowHeight="14.5" x14ac:dyDescent="0.35"/>
  <cols>
    <col min="13" max="13" width="9.08984375" customWidth="1"/>
  </cols>
  <sheetData>
    <row r="4" spans="2:17" x14ac:dyDescent="0.35">
      <c r="B4" s="184" t="s">
        <v>98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2:17" x14ac:dyDescent="0.35">
      <c r="B5" s="184" t="s">
        <v>99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</row>
    <row r="6" spans="2:17" x14ac:dyDescent="0.35">
      <c r="B6" s="184" t="s">
        <v>100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2:17" x14ac:dyDescent="0.35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2:17" x14ac:dyDescent="0.35">
      <c r="B8" s="185" t="s">
        <v>38</v>
      </c>
      <c r="C8" s="185" t="s">
        <v>39</v>
      </c>
      <c r="D8" s="187" t="s">
        <v>101</v>
      </c>
      <c r="E8" s="187" t="s">
        <v>102</v>
      </c>
      <c r="F8" s="178" t="s">
        <v>103</v>
      </c>
      <c r="G8" s="178"/>
      <c r="H8" s="178"/>
      <c r="I8" s="178"/>
      <c r="J8" s="178"/>
      <c r="K8" s="178" t="s">
        <v>104</v>
      </c>
      <c r="L8" s="178"/>
      <c r="M8" s="178"/>
      <c r="N8" s="183" t="s">
        <v>105</v>
      </c>
      <c r="O8" s="183" t="s">
        <v>106</v>
      </c>
      <c r="P8" s="183" t="s">
        <v>107</v>
      </c>
      <c r="Q8" s="183" t="s">
        <v>108</v>
      </c>
    </row>
    <row r="9" spans="2:17" ht="29" x14ac:dyDescent="0.35">
      <c r="B9" s="186"/>
      <c r="C9" s="186"/>
      <c r="D9" s="188"/>
      <c r="E9" s="188"/>
      <c r="F9" s="124" t="s">
        <v>109</v>
      </c>
      <c r="G9" s="124" t="s">
        <v>110</v>
      </c>
      <c r="H9" s="124" t="s">
        <v>111</v>
      </c>
      <c r="I9" s="124" t="s">
        <v>112</v>
      </c>
      <c r="J9" s="124" t="s">
        <v>113</v>
      </c>
      <c r="K9" s="124" t="s">
        <v>109</v>
      </c>
      <c r="L9" s="124" t="s">
        <v>114</v>
      </c>
      <c r="M9" s="124" t="s">
        <v>115</v>
      </c>
      <c r="N9" s="183"/>
      <c r="O9" s="183"/>
      <c r="P9" s="183"/>
      <c r="Q9" s="183"/>
    </row>
    <row r="10" spans="2:17" x14ac:dyDescent="0.35">
      <c r="B10" s="114">
        <v>1</v>
      </c>
      <c r="C10" s="115" t="s">
        <v>47</v>
      </c>
      <c r="D10" s="115">
        <v>8</v>
      </c>
      <c r="E10" s="115">
        <v>7</v>
      </c>
      <c r="F10" s="115"/>
      <c r="G10" s="115"/>
      <c r="H10" s="115"/>
      <c r="I10" s="115"/>
      <c r="J10" s="115">
        <v>1</v>
      </c>
      <c r="K10" s="115">
        <v>8</v>
      </c>
      <c r="L10" s="115">
        <v>0</v>
      </c>
      <c r="M10" s="115">
        <v>0</v>
      </c>
      <c r="N10" s="115"/>
      <c r="O10" s="115">
        <v>1</v>
      </c>
      <c r="P10" s="115"/>
      <c r="Q10" s="115"/>
    </row>
    <row r="11" spans="2:17" x14ac:dyDescent="0.35">
      <c r="B11" s="114">
        <v>2</v>
      </c>
      <c r="C11" s="115" t="s">
        <v>48</v>
      </c>
      <c r="D11" s="115">
        <v>9</v>
      </c>
      <c r="E11" s="115">
        <v>9</v>
      </c>
      <c r="F11" s="115"/>
      <c r="G11" s="115"/>
      <c r="H11" s="115"/>
      <c r="I11" s="115"/>
      <c r="J11" s="115"/>
      <c r="K11" s="115">
        <v>9</v>
      </c>
      <c r="L11" s="115">
        <v>0</v>
      </c>
      <c r="M11" s="115">
        <v>0</v>
      </c>
      <c r="N11" s="115"/>
      <c r="O11" s="115"/>
      <c r="P11" s="115"/>
      <c r="Q11" s="115"/>
    </row>
    <row r="12" spans="2:17" x14ac:dyDescent="0.35">
      <c r="B12" s="114">
        <v>3</v>
      </c>
      <c r="C12" s="115" t="s">
        <v>49</v>
      </c>
      <c r="D12" s="115">
        <v>6</v>
      </c>
      <c r="E12" s="115">
        <v>3</v>
      </c>
      <c r="F12" s="115">
        <v>3</v>
      </c>
      <c r="G12" s="115"/>
      <c r="H12" s="115"/>
      <c r="I12" s="115"/>
      <c r="J12" s="115"/>
      <c r="K12" s="115">
        <v>6</v>
      </c>
      <c r="L12" s="115">
        <v>0</v>
      </c>
      <c r="M12" s="115">
        <v>0</v>
      </c>
      <c r="N12" s="115"/>
      <c r="O12" s="115"/>
      <c r="P12" s="115"/>
      <c r="Q12" s="115">
        <v>3</v>
      </c>
    </row>
    <row r="13" spans="2:17" x14ac:dyDescent="0.35">
      <c r="B13" s="118">
        <v>4</v>
      </c>
      <c r="C13" s="119" t="s">
        <v>50</v>
      </c>
      <c r="D13" s="119">
        <v>0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</row>
    <row r="14" spans="2:17" x14ac:dyDescent="0.35">
      <c r="B14" s="114">
        <v>5</v>
      </c>
      <c r="C14" s="115" t="s">
        <v>51</v>
      </c>
      <c r="D14" s="115">
        <v>13</v>
      </c>
      <c r="E14" s="115">
        <v>13</v>
      </c>
      <c r="F14" s="115"/>
      <c r="G14" s="115"/>
      <c r="H14" s="115"/>
      <c r="I14" s="115"/>
      <c r="J14" s="115"/>
      <c r="K14" s="115">
        <v>13</v>
      </c>
      <c r="L14" s="115">
        <v>0</v>
      </c>
      <c r="M14" s="115">
        <v>0</v>
      </c>
      <c r="N14" s="115"/>
      <c r="O14" s="115"/>
      <c r="P14" s="115"/>
      <c r="Q14" s="115"/>
    </row>
    <row r="15" spans="2:17" x14ac:dyDescent="0.35">
      <c r="B15" s="114">
        <v>6</v>
      </c>
      <c r="C15" s="115" t="s">
        <v>52</v>
      </c>
      <c r="D15" s="115">
        <v>27</v>
      </c>
      <c r="E15" s="115">
        <v>26</v>
      </c>
      <c r="F15" s="115">
        <v>1</v>
      </c>
      <c r="G15" s="115"/>
      <c r="H15" s="115"/>
      <c r="I15" s="115"/>
      <c r="J15" s="115"/>
      <c r="K15" s="115">
        <v>27</v>
      </c>
      <c r="L15" s="115">
        <v>0</v>
      </c>
      <c r="M15" s="115">
        <v>0</v>
      </c>
      <c r="N15" s="115"/>
      <c r="O15" s="115"/>
      <c r="P15" s="115"/>
      <c r="Q15" s="115">
        <v>1</v>
      </c>
    </row>
    <row r="16" spans="2:17" x14ac:dyDescent="0.35">
      <c r="B16" s="114">
        <v>7</v>
      </c>
      <c r="C16" s="115" t="s">
        <v>53</v>
      </c>
      <c r="D16" s="115">
        <v>20</v>
      </c>
      <c r="E16" s="115">
        <v>6</v>
      </c>
      <c r="F16" s="115">
        <v>13</v>
      </c>
      <c r="G16" s="115"/>
      <c r="H16" s="115"/>
      <c r="I16" s="115"/>
      <c r="J16" s="115">
        <v>1</v>
      </c>
      <c r="K16" s="115">
        <v>20</v>
      </c>
      <c r="L16" s="115">
        <v>0</v>
      </c>
      <c r="M16" s="115">
        <v>0</v>
      </c>
      <c r="N16" s="115">
        <v>0</v>
      </c>
      <c r="O16" s="115">
        <v>1</v>
      </c>
      <c r="P16" s="115">
        <v>0</v>
      </c>
      <c r="Q16" s="115">
        <v>13</v>
      </c>
    </row>
    <row r="17" spans="2:17" x14ac:dyDescent="0.35">
      <c r="B17" s="114">
        <v>8</v>
      </c>
      <c r="C17" s="115" t="s">
        <v>54</v>
      </c>
      <c r="D17" s="115">
        <v>34</v>
      </c>
      <c r="E17" s="115">
        <v>16</v>
      </c>
      <c r="F17" s="115">
        <v>17</v>
      </c>
      <c r="G17" s="115">
        <v>1</v>
      </c>
      <c r="H17" s="115">
        <v>0</v>
      </c>
      <c r="I17" s="115">
        <v>0</v>
      </c>
      <c r="J17" s="115">
        <v>0</v>
      </c>
      <c r="K17" s="115">
        <v>34</v>
      </c>
      <c r="L17" s="115">
        <v>0</v>
      </c>
      <c r="M17" s="115">
        <v>0</v>
      </c>
      <c r="N17" s="115">
        <v>0</v>
      </c>
      <c r="O17" s="115">
        <v>1</v>
      </c>
      <c r="P17" s="115">
        <v>0</v>
      </c>
      <c r="Q17" s="115">
        <v>17</v>
      </c>
    </row>
    <row r="18" spans="2:17" x14ac:dyDescent="0.35">
      <c r="B18" s="114">
        <v>9</v>
      </c>
      <c r="C18" s="115" t="s">
        <v>55</v>
      </c>
      <c r="D18" s="115">
        <v>22</v>
      </c>
      <c r="E18" s="115">
        <v>5</v>
      </c>
      <c r="F18" s="115">
        <v>16</v>
      </c>
      <c r="G18" s="115">
        <v>0</v>
      </c>
      <c r="H18" s="115">
        <v>0</v>
      </c>
      <c r="I18" s="115">
        <v>0</v>
      </c>
      <c r="J18" s="115">
        <v>1</v>
      </c>
      <c r="K18" s="115">
        <v>22</v>
      </c>
      <c r="L18" s="115">
        <v>0</v>
      </c>
      <c r="M18" s="115">
        <v>0</v>
      </c>
      <c r="N18" s="115">
        <v>0</v>
      </c>
      <c r="O18" s="115">
        <v>1</v>
      </c>
      <c r="P18" s="115">
        <v>0</v>
      </c>
      <c r="Q18" s="115">
        <v>16</v>
      </c>
    </row>
    <row r="19" spans="2:17" x14ac:dyDescent="0.35">
      <c r="B19" s="114">
        <v>10</v>
      </c>
      <c r="C19" s="115" t="s">
        <v>56</v>
      </c>
      <c r="D19" s="115">
        <v>23</v>
      </c>
      <c r="E19" s="115">
        <v>0</v>
      </c>
      <c r="F19" s="115">
        <v>21</v>
      </c>
      <c r="G19" s="115">
        <v>0</v>
      </c>
      <c r="H19" s="115">
        <v>1</v>
      </c>
      <c r="I19" s="115">
        <v>0</v>
      </c>
      <c r="J19" s="115">
        <v>1</v>
      </c>
      <c r="K19" s="115">
        <v>22</v>
      </c>
      <c r="L19" s="115">
        <v>1</v>
      </c>
      <c r="M19" s="115">
        <v>0</v>
      </c>
      <c r="N19" s="115">
        <v>1</v>
      </c>
      <c r="O19" s="115">
        <v>1</v>
      </c>
      <c r="P19" s="115">
        <v>0</v>
      </c>
      <c r="Q19" s="115">
        <v>21</v>
      </c>
    </row>
    <row r="20" spans="2:17" x14ac:dyDescent="0.35">
      <c r="B20" s="125">
        <v>11</v>
      </c>
      <c r="C20" s="126" t="s">
        <v>57</v>
      </c>
      <c r="D20" s="126">
        <v>41</v>
      </c>
      <c r="E20" s="126">
        <v>0</v>
      </c>
      <c r="F20" s="126">
        <v>39</v>
      </c>
      <c r="G20" s="126">
        <v>0</v>
      </c>
      <c r="H20" s="126">
        <v>0</v>
      </c>
      <c r="I20" s="126">
        <v>0</v>
      </c>
      <c r="J20" s="126">
        <v>2</v>
      </c>
      <c r="K20" s="126">
        <v>58</v>
      </c>
      <c r="L20" s="126">
        <v>1</v>
      </c>
      <c r="M20" s="126">
        <v>0</v>
      </c>
      <c r="N20" s="126">
        <v>0</v>
      </c>
      <c r="O20" s="126">
        <v>2</v>
      </c>
      <c r="P20" s="126">
        <v>1</v>
      </c>
      <c r="Q20" s="126">
        <v>38</v>
      </c>
    </row>
    <row r="21" spans="2:17" x14ac:dyDescent="0.35">
      <c r="B21" s="118">
        <v>12</v>
      </c>
      <c r="C21" s="119" t="s">
        <v>58</v>
      </c>
      <c r="D21" s="119">
        <v>0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2:17" x14ac:dyDescent="0.35">
      <c r="B22" s="122"/>
      <c r="C22" s="122"/>
      <c r="D22" s="122">
        <f>SUM(D10:D21)</f>
        <v>203</v>
      </c>
      <c r="E22" s="122">
        <f>SUM(E10:E21)</f>
        <v>85</v>
      </c>
      <c r="F22" s="122">
        <f t="shared" ref="F22:Q22" si="0">SUM(F10:F21)</f>
        <v>110</v>
      </c>
      <c r="G22" s="122">
        <f t="shared" si="0"/>
        <v>1</v>
      </c>
      <c r="H22" s="122">
        <f t="shared" si="0"/>
        <v>1</v>
      </c>
      <c r="I22" s="122">
        <f t="shared" si="0"/>
        <v>0</v>
      </c>
      <c r="J22" s="122">
        <f t="shared" si="0"/>
        <v>6</v>
      </c>
      <c r="K22" s="122">
        <f t="shared" si="0"/>
        <v>219</v>
      </c>
      <c r="L22" s="122">
        <f t="shared" si="0"/>
        <v>2</v>
      </c>
      <c r="M22" s="122">
        <f t="shared" si="0"/>
        <v>0</v>
      </c>
      <c r="N22" s="122">
        <f t="shared" si="0"/>
        <v>1</v>
      </c>
      <c r="O22" s="122">
        <f t="shared" si="0"/>
        <v>7</v>
      </c>
      <c r="P22" s="122">
        <f t="shared" si="0"/>
        <v>1</v>
      </c>
      <c r="Q22" s="122">
        <f t="shared" si="0"/>
        <v>109</v>
      </c>
    </row>
  </sheetData>
  <mergeCells count="13">
    <mergeCell ref="O8:O9"/>
    <mergeCell ref="P8:P9"/>
    <mergeCell ref="Q8:Q9"/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I41"/>
  <sheetViews>
    <sheetView workbookViewId="0"/>
  </sheetViews>
  <sheetFormatPr defaultRowHeight="14.5" x14ac:dyDescent="0.35"/>
  <cols>
    <col min="4" max="4" width="11.81640625" customWidth="1"/>
    <col min="5" max="5" width="12.1796875" customWidth="1"/>
    <col min="8" max="8" width="11.54296875" customWidth="1"/>
  </cols>
  <sheetData>
    <row r="5" spans="2:9" x14ac:dyDescent="0.35"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</row>
    <row r="6" spans="2:9" x14ac:dyDescent="0.35">
      <c r="B6">
        <v>2026</v>
      </c>
      <c r="C6" t="s">
        <v>1</v>
      </c>
      <c r="D6" t="s">
        <v>12</v>
      </c>
    </row>
    <row r="7" spans="2:9" x14ac:dyDescent="0.35">
      <c r="C7" s="127" t="s">
        <v>1</v>
      </c>
      <c r="D7" t="s">
        <v>12</v>
      </c>
    </row>
    <row r="8" spans="2:9" x14ac:dyDescent="0.35">
      <c r="C8" s="127" t="s">
        <v>1</v>
      </c>
      <c r="D8" s="127" t="s">
        <v>12</v>
      </c>
    </row>
    <row r="9" spans="2:9" x14ac:dyDescent="0.35">
      <c r="C9" s="127" t="s">
        <v>1</v>
      </c>
      <c r="D9" s="127" t="s">
        <v>13</v>
      </c>
    </row>
    <row r="10" spans="2:9" x14ac:dyDescent="0.35">
      <c r="C10" s="127" t="s">
        <v>1</v>
      </c>
      <c r="D10" s="127" t="s">
        <v>13</v>
      </c>
    </row>
    <row r="11" spans="2:9" s="128" customFormat="1" x14ac:dyDescent="0.35">
      <c r="C11" s="128" t="s">
        <v>1</v>
      </c>
      <c r="D11" s="128" t="s">
        <v>13</v>
      </c>
    </row>
    <row r="12" spans="2:9" x14ac:dyDescent="0.35">
      <c r="C12" s="127" t="s">
        <v>1</v>
      </c>
      <c r="D12" s="127" t="s">
        <v>14</v>
      </c>
    </row>
    <row r="13" spans="2:9" x14ac:dyDescent="0.35">
      <c r="C13" s="127" t="s">
        <v>1</v>
      </c>
      <c r="D13" s="127" t="s">
        <v>14</v>
      </c>
    </row>
    <row r="14" spans="2:9" x14ac:dyDescent="0.35">
      <c r="C14" s="127" t="s">
        <v>1</v>
      </c>
      <c r="D14" s="127" t="s">
        <v>14</v>
      </c>
    </row>
    <row r="15" spans="2:9" x14ac:dyDescent="0.35">
      <c r="C15" s="128" t="s">
        <v>1</v>
      </c>
      <c r="D15" s="127" t="s">
        <v>15</v>
      </c>
    </row>
    <row r="16" spans="2:9" x14ac:dyDescent="0.35">
      <c r="C16" s="128" t="s">
        <v>1</v>
      </c>
      <c r="D16" s="127" t="s">
        <v>15</v>
      </c>
    </row>
    <row r="17" spans="3:4" x14ac:dyDescent="0.35">
      <c r="C17" s="128" t="s">
        <v>1</v>
      </c>
      <c r="D17" s="127" t="s">
        <v>15</v>
      </c>
    </row>
    <row r="18" spans="3:4" x14ac:dyDescent="0.35">
      <c r="C18" s="128" t="s">
        <v>1</v>
      </c>
      <c r="D18" s="127" t="s">
        <v>16</v>
      </c>
    </row>
    <row r="19" spans="3:4" x14ac:dyDescent="0.35">
      <c r="C19" s="128" t="s">
        <v>1</v>
      </c>
      <c r="D19" s="127" t="s">
        <v>16</v>
      </c>
    </row>
    <row r="20" spans="3:4" x14ac:dyDescent="0.35">
      <c r="C20" s="128" t="s">
        <v>1</v>
      </c>
      <c r="D20" s="127" t="s">
        <v>16</v>
      </c>
    </row>
    <row r="21" spans="3:4" x14ac:dyDescent="0.35">
      <c r="C21" s="128" t="s">
        <v>1</v>
      </c>
      <c r="D21" s="127" t="s">
        <v>17</v>
      </c>
    </row>
    <row r="22" spans="3:4" x14ac:dyDescent="0.35">
      <c r="C22" s="128" t="s">
        <v>1</v>
      </c>
      <c r="D22" s="127" t="s">
        <v>17</v>
      </c>
    </row>
    <row r="23" spans="3:4" x14ac:dyDescent="0.35">
      <c r="C23" s="128" t="s">
        <v>1</v>
      </c>
      <c r="D23" s="127" t="s">
        <v>17</v>
      </c>
    </row>
    <row r="24" spans="3:4" x14ac:dyDescent="0.35">
      <c r="C24" s="128" t="s">
        <v>1</v>
      </c>
      <c r="D24" s="127" t="s">
        <v>18</v>
      </c>
    </row>
    <row r="25" spans="3:4" x14ac:dyDescent="0.35">
      <c r="C25" s="128" t="s">
        <v>1</v>
      </c>
      <c r="D25" s="127" t="s">
        <v>18</v>
      </c>
    </row>
    <row r="26" spans="3:4" x14ac:dyDescent="0.35">
      <c r="C26" s="128" t="s">
        <v>1</v>
      </c>
      <c r="D26" s="127" t="s">
        <v>18</v>
      </c>
    </row>
    <row r="27" spans="3:4" x14ac:dyDescent="0.35">
      <c r="C27" s="128" t="s">
        <v>1</v>
      </c>
      <c r="D27" s="128" t="s">
        <v>19</v>
      </c>
    </row>
    <row r="28" spans="3:4" x14ac:dyDescent="0.35">
      <c r="C28" s="128" t="s">
        <v>1</v>
      </c>
      <c r="D28" s="128" t="s">
        <v>19</v>
      </c>
    </row>
    <row r="29" spans="3:4" x14ac:dyDescent="0.35">
      <c r="C29" s="128" t="s">
        <v>1</v>
      </c>
      <c r="D29" s="128" t="s">
        <v>19</v>
      </c>
    </row>
    <row r="30" spans="3:4" x14ac:dyDescent="0.35">
      <c r="C30" s="128" t="s">
        <v>1</v>
      </c>
      <c r="D30" s="128" t="s">
        <v>20</v>
      </c>
    </row>
    <row r="31" spans="3:4" x14ac:dyDescent="0.35">
      <c r="C31" s="128" t="s">
        <v>1</v>
      </c>
      <c r="D31" s="128" t="s">
        <v>20</v>
      </c>
    </row>
    <row r="32" spans="3:4" x14ac:dyDescent="0.35">
      <c r="C32" s="128" t="s">
        <v>1</v>
      </c>
      <c r="D32" s="128" t="s">
        <v>20</v>
      </c>
    </row>
    <row r="33" spans="3:4" x14ac:dyDescent="0.35">
      <c r="C33" s="128" t="s">
        <v>1</v>
      </c>
      <c r="D33" s="128" t="s">
        <v>21</v>
      </c>
    </row>
    <row r="34" spans="3:4" x14ac:dyDescent="0.35">
      <c r="C34" s="128" t="s">
        <v>1</v>
      </c>
      <c r="D34" s="128" t="s">
        <v>21</v>
      </c>
    </row>
    <row r="35" spans="3:4" x14ac:dyDescent="0.35">
      <c r="C35" s="128" t="s">
        <v>1</v>
      </c>
      <c r="D35" s="128" t="s">
        <v>21</v>
      </c>
    </row>
    <row r="36" spans="3:4" x14ac:dyDescent="0.35">
      <c r="C36" s="128" t="s">
        <v>1</v>
      </c>
      <c r="D36" s="128" t="s">
        <v>22</v>
      </c>
    </row>
    <row r="37" spans="3:4" x14ac:dyDescent="0.35">
      <c r="C37" s="128" t="s">
        <v>1</v>
      </c>
      <c r="D37" s="128" t="s">
        <v>22</v>
      </c>
    </row>
    <row r="38" spans="3:4" x14ac:dyDescent="0.35">
      <c r="C38" s="128" t="s">
        <v>1</v>
      </c>
      <c r="D38" s="128" t="s">
        <v>22</v>
      </c>
    </row>
    <row r="39" spans="3:4" x14ac:dyDescent="0.35">
      <c r="C39" s="128" t="s">
        <v>1</v>
      </c>
      <c r="D39" s="128" t="s">
        <v>23</v>
      </c>
    </row>
    <row r="40" spans="3:4" x14ac:dyDescent="0.35">
      <c r="C40" s="128" t="s">
        <v>1</v>
      </c>
      <c r="D40" s="128" t="s">
        <v>23</v>
      </c>
    </row>
    <row r="41" spans="3:4" x14ac:dyDescent="0.35">
      <c r="C41" s="128" t="s">
        <v>1</v>
      </c>
      <c r="D41" s="128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2"/>
  <sheetViews>
    <sheetView workbookViewId="0"/>
  </sheetViews>
  <sheetFormatPr defaultColWidth="14.453125" defaultRowHeight="14.5" x14ac:dyDescent="0.35"/>
  <cols>
    <col min="3" max="3" width="12" customWidth="1"/>
    <col min="4" max="4" width="17.54296875" customWidth="1"/>
    <col min="5" max="6" width="21.08984375" customWidth="1"/>
  </cols>
  <sheetData>
    <row r="1" spans="1: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5">
      <c r="A2" s="15"/>
      <c r="B2" s="15" t="s">
        <v>124</v>
      </c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5">
      <c r="A3" s="15"/>
      <c r="B3" s="15" t="s">
        <v>125</v>
      </c>
      <c r="C3" s="30"/>
      <c r="D3" s="3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5">
      <c r="A5" s="1"/>
      <c r="B5" s="1"/>
      <c r="C5" s="189" t="s">
        <v>126</v>
      </c>
      <c r="D5" s="147"/>
      <c r="E5" s="147"/>
      <c r="F5" s="14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" x14ac:dyDescent="0.35">
      <c r="A6" s="1"/>
      <c r="B6" s="1"/>
      <c r="C6" s="31" t="s">
        <v>127</v>
      </c>
      <c r="D6" s="31" t="s">
        <v>128</v>
      </c>
      <c r="E6" s="31" t="s">
        <v>129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8.5" x14ac:dyDescent="0.35">
      <c r="A7" s="1"/>
      <c r="B7" s="1"/>
      <c r="C7" s="28">
        <v>1</v>
      </c>
      <c r="D7" s="32" t="s">
        <v>130</v>
      </c>
      <c r="E7" s="27">
        <v>226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35">
      <c r="A8" s="1"/>
      <c r="B8" s="1"/>
      <c r="C8" s="28">
        <v>2</v>
      </c>
      <c r="D8" s="32" t="s">
        <v>131</v>
      </c>
      <c r="E8" s="33">
        <v>1301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8.5" x14ac:dyDescent="0.35">
      <c r="A9" s="1"/>
      <c r="B9" s="1"/>
      <c r="C9" s="28">
        <v>3</v>
      </c>
      <c r="D9" s="32" t="s">
        <v>132</v>
      </c>
      <c r="E9" s="33">
        <v>1751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8.5" x14ac:dyDescent="0.35">
      <c r="A10" s="1"/>
      <c r="B10" s="1"/>
      <c r="C10" s="28">
        <v>4</v>
      </c>
      <c r="D10" s="34" t="s">
        <v>133</v>
      </c>
      <c r="E10" s="35">
        <v>745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8.5" x14ac:dyDescent="0.35">
      <c r="A11" s="1"/>
      <c r="B11" s="1"/>
      <c r="C11" s="28">
        <v>5</v>
      </c>
      <c r="D11" s="34" t="s">
        <v>134</v>
      </c>
      <c r="E11" s="35">
        <v>797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8.5" x14ac:dyDescent="0.35">
      <c r="A12" s="1"/>
      <c r="B12" s="1"/>
      <c r="C12" s="28">
        <v>6</v>
      </c>
      <c r="D12" s="34" t="s">
        <v>135</v>
      </c>
      <c r="E12" s="36">
        <v>3883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8.5" x14ac:dyDescent="0.35">
      <c r="A13" s="1"/>
      <c r="B13" s="1"/>
      <c r="C13" s="28">
        <v>7</v>
      </c>
      <c r="D13" s="34" t="s">
        <v>136</v>
      </c>
      <c r="E13" s="36">
        <v>3696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8.5" x14ac:dyDescent="0.35">
      <c r="A14" s="1"/>
      <c r="B14" s="1"/>
      <c r="C14" s="28">
        <v>8</v>
      </c>
      <c r="D14" s="34" t="s">
        <v>137</v>
      </c>
      <c r="E14" s="36">
        <v>5309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5">
      <c r="A15" s="1"/>
      <c r="B15" s="1"/>
      <c r="C15" s="28">
        <v>9</v>
      </c>
      <c r="D15" s="37" t="s">
        <v>138</v>
      </c>
      <c r="E15" s="33">
        <v>3421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35">
      <c r="A16" s="1"/>
      <c r="B16" s="1"/>
      <c r="C16" s="25"/>
      <c r="D16" s="38" t="s">
        <v>139</v>
      </c>
      <c r="E16" s="39">
        <f>SUM(E7:E15)</f>
        <v>21129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35">
      <c r="A18" s="1"/>
      <c r="B18" s="1"/>
      <c r="C18" s="190" t="s">
        <v>140</v>
      </c>
      <c r="D18" s="147"/>
      <c r="E18" s="147"/>
      <c r="F18" s="14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35">
      <c r="A19" s="1"/>
      <c r="B19" s="1"/>
      <c r="C19" s="40" t="s">
        <v>127</v>
      </c>
      <c r="D19" s="40" t="s">
        <v>141</v>
      </c>
      <c r="E19" s="40" t="s">
        <v>142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8.5" x14ac:dyDescent="0.35">
      <c r="A20" s="1"/>
      <c r="B20" s="1"/>
      <c r="C20" s="29">
        <v>1</v>
      </c>
      <c r="D20" s="32" t="s">
        <v>143</v>
      </c>
      <c r="E20" s="29">
        <v>212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5">
      <c r="A21" s="1"/>
      <c r="B21" s="1"/>
      <c r="C21" s="29">
        <v>2</v>
      </c>
      <c r="D21" s="32" t="s">
        <v>144</v>
      </c>
      <c r="E21" s="29">
        <v>680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42.5" x14ac:dyDescent="0.35">
      <c r="A22" s="1"/>
      <c r="B22" s="1"/>
      <c r="C22" s="29">
        <v>3</v>
      </c>
      <c r="D22" s="32" t="s">
        <v>145</v>
      </c>
      <c r="E22" s="41">
        <v>2844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42.5" x14ac:dyDescent="0.35">
      <c r="A23" s="1"/>
      <c r="B23" s="1"/>
      <c r="C23" s="29">
        <v>4</v>
      </c>
      <c r="D23" s="32" t="s">
        <v>146</v>
      </c>
      <c r="E23" s="41">
        <v>2844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35">
      <c r="A24" s="1"/>
      <c r="B24" s="1"/>
      <c r="C24" s="42"/>
      <c r="D24" s="40" t="s">
        <v>139</v>
      </c>
      <c r="E24" s="43">
        <f>SUM(E20:E23)</f>
        <v>6580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35">
      <c r="A34" s="23"/>
      <c r="B34" s="23" t="s">
        <v>147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7.5" customHeight="1" x14ac:dyDescent="0.35">
      <c r="A35" s="44"/>
      <c r="B35" s="44" t="s">
        <v>148</v>
      </c>
      <c r="C35" s="44" t="s">
        <v>118</v>
      </c>
      <c r="D35" s="44" t="s">
        <v>149</v>
      </c>
      <c r="E35" s="44"/>
      <c r="F35" s="44" t="s">
        <v>150</v>
      </c>
      <c r="G35" s="44" t="s">
        <v>151</v>
      </c>
      <c r="H35" s="44" t="s">
        <v>152</v>
      </c>
      <c r="I35" s="44"/>
      <c r="J35" s="44" t="s">
        <v>153</v>
      </c>
      <c r="K35" s="44" t="s">
        <v>154</v>
      </c>
      <c r="L35" s="44" t="s">
        <v>155</v>
      </c>
      <c r="M35" s="44" t="s">
        <v>156</v>
      </c>
      <c r="N35" s="44" t="s">
        <v>157</v>
      </c>
      <c r="O35" s="44" t="s">
        <v>158</v>
      </c>
      <c r="P35" s="44" t="s">
        <v>159</v>
      </c>
      <c r="Q35" s="44" t="s">
        <v>160</v>
      </c>
      <c r="R35" s="44" t="s">
        <v>161</v>
      </c>
      <c r="S35" s="44" t="s">
        <v>162</v>
      </c>
      <c r="T35" s="44" t="s">
        <v>163</v>
      </c>
      <c r="U35" s="44" t="s">
        <v>164</v>
      </c>
      <c r="V35" s="44" t="s">
        <v>165</v>
      </c>
      <c r="W35" s="44" t="s">
        <v>166</v>
      </c>
      <c r="X35" s="44" t="s">
        <v>167</v>
      </c>
      <c r="Y35" s="44" t="s">
        <v>168</v>
      </c>
      <c r="Z35" s="44" t="s">
        <v>169</v>
      </c>
      <c r="AA35" s="44" t="s">
        <v>170</v>
      </c>
      <c r="AB35" s="44" t="s">
        <v>171</v>
      </c>
      <c r="AC35" s="44" t="s">
        <v>172</v>
      </c>
      <c r="AD35" s="44" t="s">
        <v>173</v>
      </c>
      <c r="AE35" s="44" t="s">
        <v>174</v>
      </c>
      <c r="AF35" s="44" t="s">
        <v>175</v>
      </c>
      <c r="AG35" s="44" t="s">
        <v>176</v>
      </c>
    </row>
    <row r="36" spans="1:33" x14ac:dyDescent="0.35">
      <c r="A36" s="45"/>
      <c r="B36" s="45" t="s">
        <v>177</v>
      </c>
      <c r="C36" s="45" t="s">
        <v>17</v>
      </c>
      <c r="D36" s="46">
        <v>2143</v>
      </c>
      <c r="E36" s="46"/>
      <c r="F36" s="46">
        <v>23</v>
      </c>
      <c r="G36" s="46">
        <v>13</v>
      </c>
      <c r="H36" s="46">
        <v>10</v>
      </c>
      <c r="I36" s="46"/>
      <c r="J36" s="46">
        <v>152</v>
      </c>
      <c r="K36" s="46">
        <v>72</v>
      </c>
      <c r="L36" s="46">
        <v>80</v>
      </c>
      <c r="M36" s="46">
        <v>82</v>
      </c>
      <c r="N36" s="46">
        <v>30</v>
      </c>
      <c r="O36" s="46">
        <v>52</v>
      </c>
      <c r="P36" s="46">
        <v>109</v>
      </c>
      <c r="Q36" s="46">
        <v>53</v>
      </c>
      <c r="R36" s="46">
        <v>56</v>
      </c>
      <c r="S36" s="46">
        <v>104</v>
      </c>
      <c r="T36" s="46">
        <v>53</v>
      </c>
      <c r="U36" s="46">
        <v>51</v>
      </c>
      <c r="V36" s="46">
        <v>288</v>
      </c>
      <c r="W36" s="46">
        <v>0</v>
      </c>
      <c r="X36" s="46">
        <v>115</v>
      </c>
      <c r="Y36" s="46">
        <v>370</v>
      </c>
      <c r="Z36" s="46">
        <v>0</v>
      </c>
      <c r="AA36" s="46">
        <v>101</v>
      </c>
      <c r="AB36" s="46">
        <v>591</v>
      </c>
      <c r="AC36" s="46">
        <v>0</v>
      </c>
      <c r="AD36" s="46">
        <v>186</v>
      </c>
      <c r="AE36" s="46">
        <v>424</v>
      </c>
      <c r="AF36" s="46">
        <v>259</v>
      </c>
      <c r="AG36" s="46">
        <v>165</v>
      </c>
    </row>
    <row r="37" spans="1:33" x14ac:dyDescent="0.35">
      <c r="A37" s="45"/>
      <c r="B37" s="45" t="s">
        <v>178</v>
      </c>
      <c r="C37" s="45" t="s">
        <v>15</v>
      </c>
      <c r="D37" s="46">
        <v>1160</v>
      </c>
      <c r="E37" s="46"/>
      <c r="F37" s="46">
        <v>0</v>
      </c>
      <c r="G37" s="46">
        <v>0</v>
      </c>
      <c r="H37" s="46">
        <v>0</v>
      </c>
      <c r="I37" s="46"/>
      <c r="J37" s="46">
        <v>4</v>
      </c>
      <c r="K37" s="46">
        <v>2</v>
      </c>
      <c r="L37" s="46">
        <v>2</v>
      </c>
      <c r="M37" s="46">
        <v>23</v>
      </c>
      <c r="N37" s="46">
        <v>10</v>
      </c>
      <c r="O37" s="46">
        <v>13</v>
      </c>
      <c r="P37" s="46">
        <v>42</v>
      </c>
      <c r="Q37" s="46">
        <v>26</v>
      </c>
      <c r="R37" s="46">
        <v>16</v>
      </c>
      <c r="S37" s="46">
        <v>51</v>
      </c>
      <c r="T37" s="46">
        <v>33</v>
      </c>
      <c r="U37" s="46">
        <v>18</v>
      </c>
      <c r="V37" s="46">
        <v>269</v>
      </c>
      <c r="W37" s="46">
        <v>0</v>
      </c>
      <c r="X37" s="46">
        <v>141</v>
      </c>
      <c r="Y37" s="46">
        <v>210</v>
      </c>
      <c r="Z37" s="46">
        <v>0</v>
      </c>
      <c r="AA37" s="46">
        <v>115</v>
      </c>
      <c r="AB37" s="46">
        <v>323</v>
      </c>
      <c r="AC37" s="46">
        <v>0</v>
      </c>
      <c r="AD37" s="46">
        <v>167</v>
      </c>
      <c r="AE37" s="46">
        <v>238</v>
      </c>
      <c r="AF37" s="46">
        <v>124</v>
      </c>
      <c r="AG37" s="46">
        <v>114</v>
      </c>
    </row>
    <row r="38" spans="1:33" x14ac:dyDescent="0.35">
      <c r="A38" s="45"/>
      <c r="B38" s="45" t="s">
        <v>178</v>
      </c>
      <c r="C38" s="45" t="s">
        <v>14</v>
      </c>
      <c r="D38" s="46">
        <v>1137</v>
      </c>
      <c r="E38" s="46"/>
      <c r="F38" s="46">
        <v>0</v>
      </c>
      <c r="G38" s="46">
        <v>0</v>
      </c>
      <c r="H38" s="46">
        <v>0</v>
      </c>
      <c r="I38" s="46"/>
      <c r="J38" s="46">
        <v>25</v>
      </c>
      <c r="K38" s="46">
        <v>11</v>
      </c>
      <c r="L38" s="46">
        <v>14</v>
      </c>
      <c r="M38" s="46">
        <v>354</v>
      </c>
      <c r="N38" s="46">
        <v>180</v>
      </c>
      <c r="O38" s="46">
        <v>174</v>
      </c>
      <c r="P38" s="46">
        <v>15</v>
      </c>
      <c r="Q38" s="46">
        <v>4</v>
      </c>
      <c r="R38" s="46">
        <v>11</v>
      </c>
      <c r="S38" s="46">
        <v>10</v>
      </c>
      <c r="T38" s="46">
        <v>4</v>
      </c>
      <c r="U38" s="46">
        <v>6</v>
      </c>
      <c r="V38" s="46">
        <v>182</v>
      </c>
      <c r="W38" s="46">
        <v>0</v>
      </c>
      <c r="X38" s="46">
        <v>54</v>
      </c>
      <c r="Y38" s="46">
        <v>155</v>
      </c>
      <c r="Z38" s="46">
        <v>0</v>
      </c>
      <c r="AA38" s="46">
        <v>52</v>
      </c>
      <c r="AB38" s="46">
        <v>268</v>
      </c>
      <c r="AC38" s="46">
        <v>0</v>
      </c>
      <c r="AD38" s="46">
        <v>116</v>
      </c>
      <c r="AE38" s="46">
        <v>128</v>
      </c>
      <c r="AF38" s="46">
        <v>61</v>
      </c>
      <c r="AG38" s="46">
        <v>67</v>
      </c>
    </row>
    <row r="39" spans="1:33" x14ac:dyDescent="0.35">
      <c r="A39" s="45"/>
      <c r="B39" s="45" t="s">
        <v>179</v>
      </c>
      <c r="C39" s="45" t="s">
        <v>22</v>
      </c>
      <c r="D39" s="46">
        <v>2389</v>
      </c>
      <c r="E39" s="46"/>
      <c r="F39" s="46">
        <v>126</v>
      </c>
      <c r="G39" s="46">
        <v>58</v>
      </c>
      <c r="H39" s="46">
        <v>68</v>
      </c>
      <c r="I39" s="46"/>
      <c r="J39" s="46">
        <v>389</v>
      </c>
      <c r="K39" s="46">
        <v>177</v>
      </c>
      <c r="L39" s="46">
        <v>212</v>
      </c>
      <c r="M39" s="46">
        <v>59</v>
      </c>
      <c r="N39" s="46">
        <v>23</v>
      </c>
      <c r="O39" s="46">
        <v>36</v>
      </c>
      <c r="P39" s="46">
        <v>32</v>
      </c>
      <c r="Q39" s="46">
        <v>17</v>
      </c>
      <c r="R39" s="46">
        <v>15</v>
      </c>
      <c r="S39" s="46">
        <v>61</v>
      </c>
      <c r="T39" s="46">
        <v>33</v>
      </c>
      <c r="U39" s="46">
        <v>28</v>
      </c>
      <c r="V39" s="46">
        <v>443</v>
      </c>
      <c r="W39" s="46">
        <v>0</v>
      </c>
      <c r="X39" s="46">
        <v>160</v>
      </c>
      <c r="Y39" s="46">
        <v>427</v>
      </c>
      <c r="Z39" s="46">
        <v>0</v>
      </c>
      <c r="AA39" s="46">
        <v>123</v>
      </c>
      <c r="AB39" s="46">
        <v>495</v>
      </c>
      <c r="AC39" s="46">
        <v>0</v>
      </c>
      <c r="AD39" s="46">
        <v>183</v>
      </c>
      <c r="AE39" s="46">
        <v>357</v>
      </c>
      <c r="AF39" s="46">
        <v>207</v>
      </c>
      <c r="AG39" s="46">
        <v>150</v>
      </c>
    </row>
    <row r="40" spans="1:33" x14ac:dyDescent="0.35">
      <c r="A40" s="45"/>
      <c r="B40" s="45" t="s">
        <v>180</v>
      </c>
      <c r="C40" s="45" t="s">
        <v>23</v>
      </c>
      <c r="D40" s="46">
        <v>339</v>
      </c>
      <c r="E40" s="46"/>
      <c r="F40" s="46">
        <v>0</v>
      </c>
      <c r="G40" s="46">
        <v>0</v>
      </c>
      <c r="H40" s="46">
        <v>0</v>
      </c>
      <c r="I40" s="46"/>
      <c r="J40" s="46">
        <v>14</v>
      </c>
      <c r="K40" s="46">
        <v>9</v>
      </c>
      <c r="L40" s="46">
        <v>5</v>
      </c>
      <c r="M40" s="46">
        <v>2</v>
      </c>
      <c r="N40" s="46">
        <v>0</v>
      </c>
      <c r="O40" s="46">
        <v>2</v>
      </c>
      <c r="P40" s="46">
        <v>0</v>
      </c>
      <c r="Q40" s="46">
        <v>0</v>
      </c>
      <c r="R40" s="46">
        <v>0</v>
      </c>
      <c r="S40" s="46">
        <v>4</v>
      </c>
      <c r="T40" s="46">
        <v>3</v>
      </c>
      <c r="U40" s="46">
        <v>1</v>
      </c>
      <c r="V40" s="46">
        <v>54</v>
      </c>
      <c r="W40" s="46">
        <v>0</v>
      </c>
      <c r="X40" s="46">
        <v>6</v>
      </c>
      <c r="Y40" s="46">
        <v>71</v>
      </c>
      <c r="Z40" s="46">
        <v>0</v>
      </c>
      <c r="AA40" s="46">
        <v>13</v>
      </c>
      <c r="AB40" s="46">
        <v>108</v>
      </c>
      <c r="AC40" s="46">
        <v>0</v>
      </c>
      <c r="AD40" s="46">
        <v>25</v>
      </c>
      <c r="AE40" s="46">
        <v>86</v>
      </c>
      <c r="AF40" s="46">
        <v>61</v>
      </c>
      <c r="AG40" s="46">
        <v>25</v>
      </c>
    </row>
    <row r="41" spans="1:33" x14ac:dyDescent="0.35">
      <c r="A41" s="45"/>
      <c r="B41" s="45" t="s">
        <v>181</v>
      </c>
      <c r="C41" s="45" t="s">
        <v>21</v>
      </c>
      <c r="D41" s="46">
        <v>3023</v>
      </c>
      <c r="E41" s="46"/>
      <c r="F41" s="46">
        <v>2</v>
      </c>
      <c r="G41" s="46">
        <v>2</v>
      </c>
      <c r="H41" s="46">
        <v>0</v>
      </c>
      <c r="I41" s="46"/>
      <c r="J41" s="46">
        <v>195</v>
      </c>
      <c r="K41" s="46">
        <v>102</v>
      </c>
      <c r="L41" s="46">
        <v>93</v>
      </c>
      <c r="M41" s="46">
        <v>236</v>
      </c>
      <c r="N41" s="46">
        <v>128</v>
      </c>
      <c r="O41" s="46">
        <v>108</v>
      </c>
      <c r="P41" s="46">
        <v>107</v>
      </c>
      <c r="Q41" s="46">
        <v>50</v>
      </c>
      <c r="R41" s="46">
        <v>57</v>
      </c>
      <c r="S41" s="46">
        <v>158</v>
      </c>
      <c r="T41" s="46">
        <v>88</v>
      </c>
      <c r="U41" s="46">
        <v>70</v>
      </c>
      <c r="V41" s="46">
        <v>684</v>
      </c>
      <c r="W41" s="46">
        <v>0</v>
      </c>
      <c r="X41" s="46">
        <v>271</v>
      </c>
      <c r="Y41" s="46">
        <v>556</v>
      </c>
      <c r="Z41" s="46">
        <v>0</v>
      </c>
      <c r="AA41" s="46">
        <v>191</v>
      </c>
      <c r="AB41" s="46">
        <v>654</v>
      </c>
      <c r="AC41" s="46">
        <v>0</v>
      </c>
      <c r="AD41" s="46">
        <v>256</v>
      </c>
      <c r="AE41" s="46">
        <v>431</v>
      </c>
      <c r="AF41" s="46">
        <v>271</v>
      </c>
      <c r="AG41" s="46">
        <v>160</v>
      </c>
    </row>
    <row r="42" spans="1:33" x14ac:dyDescent="0.35">
      <c r="A42" s="45"/>
      <c r="B42" s="45" t="s">
        <v>182</v>
      </c>
      <c r="C42" s="45" t="s">
        <v>20</v>
      </c>
      <c r="D42" s="46">
        <v>1912</v>
      </c>
      <c r="E42" s="46"/>
      <c r="F42" s="46">
        <v>1</v>
      </c>
      <c r="G42" s="46">
        <v>0</v>
      </c>
      <c r="H42" s="46">
        <v>1</v>
      </c>
      <c r="I42" s="46"/>
      <c r="J42" s="46">
        <v>16</v>
      </c>
      <c r="K42" s="46">
        <v>12</v>
      </c>
      <c r="L42" s="46">
        <v>4</v>
      </c>
      <c r="M42" s="46">
        <v>29</v>
      </c>
      <c r="N42" s="46">
        <v>20</v>
      </c>
      <c r="O42" s="46">
        <v>9</v>
      </c>
      <c r="P42" s="46">
        <v>25</v>
      </c>
      <c r="Q42" s="46">
        <v>17</v>
      </c>
      <c r="R42" s="46">
        <v>8</v>
      </c>
      <c r="S42" s="46">
        <v>69</v>
      </c>
      <c r="T42" s="46">
        <v>40</v>
      </c>
      <c r="U42" s="46">
        <v>29</v>
      </c>
      <c r="V42" s="46">
        <v>591</v>
      </c>
      <c r="W42" s="46">
        <v>0</v>
      </c>
      <c r="X42" s="46">
        <v>203</v>
      </c>
      <c r="Y42" s="46">
        <v>483</v>
      </c>
      <c r="Z42" s="46">
        <v>0</v>
      </c>
      <c r="AA42" s="46">
        <v>183</v>
      </c>
      <c r="AB42" s="46">
        <v>540</v>
      </c>
      <c r="AC42" s="46">
        <v>0</v>
      </c>
      <c r="AD42" s="46">
        <v>220</v>
      </c>
      <c r="AE42" s="46">
        <v>158</v>
      </c>
      <c r="AF42" s="46">
        <v>79</v>
      </c>
      <c r="AG42" s="46">
        <v>79</v>
      </c>
    </row>
    <row r="43" spans="1:33" x14ac:dyDescent="0.35">
      <c r="A43" s="45"/>
      <c r="B43" s="45" t="s">
        <v>183</v>
      </c>
      <c r="C43" s="45" t="s">
        <v>19</v>
      </c>
      <c r="D43" s="46">
        <v>2118</v>
      </c>
      <c r="E43" s="46"/>
      <c r="F43" s="46">
        <v>18</v>
      </c>
      <c r="G43" s="46">
        <v>7</v>
      </c>
      <c r="H43" s="46">
        <v>11</v>
      </c>
      <c r="I43" s="46"/>
      <c r="J43" s="46">
        <v>220</v>
      </c>
      <c r="K43" s="46">
        <v>95</v>
      </c>
      <c r="L43" s="46">
        <v>125</v>
      </c>
      <c r="M43" s="46">
        <v>163</v>
      </c>
      <c r="N43" s="46">
        <v>83</v>
      </c>
      <c r="O43" s="46">
        <v>80</v>
      </c>
      <c r="P43" s="46">
        <v>134</v>
      </c>
      <c r="Q43" s="46">
        <v>70</v>
      </c>
      <c r="R43" s="46">
        <v>64</v>
      </c>
      <c r="S43" s="46">
        <v>199</v>
      </c>
      <c r="T43" s="46">
        <v>98</v>
      </c>
      <c r="U43" s="46">
        <v>101</v>
      </c>
      <c r="V43" s="46">
        <v>229</v>
      </c>
      <c r="W43" s="46">
        <v>0</v>
      </c>
      <c r="X43" s="46">
        <v>58</v>
      </c>
      <c r="Y43" s="46">
        <v>323</v>
      </c>
      <c r="Z43" s="46">
        <v>0</v>
      </c>
      <c r="AA43" s="46">
        <v>89</v>
      </c>
      <c r="AB43" s="46">
        <v>474</v>
      </c>
      <c r="AC43" s="46">
        <v>0</v>
      </c>
      <c r="AD43" s="46">
        <v>146</v>
      </c>
      <c r="AE43" s="46">
        <v>358</v>
      </c>
      <c r="AF43" s="46">
        <v>227</v>
      </c>
      <c r="AG43" s="46">
        <v>131</v>
      </c>
    </row>
    <row r="44" spans="1:33" x14ac:dyDescent="0.35">
      <c r="A44" s="45"/>
      <c r="B44" s="45" t="s">
        <v>184</v>
      </c>
      <c r="C44" s="45" t="s">
        <v>18</v>
      </c>
      <c r="D44" s="46">
        <v>2164</v>
      </c>
      <c r="E44" s="46"/>
      <c r="F44" s="46">
        <v>5</v>
      </c>
      <c r="G44" s="46">
        <v>5</v>
      </c>
      <c r="H44" s="46">
        <v>0</v>
      </c>
      <c r="I44" s="46"/>
      <c r="J44" s="46">
        <v>35</v>
      </c>
      <c r="K44" s="46">
        <v>19</v>
      </c>
      <c r="L44" s="46">
        <v>16</v>
      </c>
      <c r="M44" s="46">
        <v>94</v>
      </c>
      <c r="N44" s="46">
        <v>53</v>
      </c>
      <c r="O44" s="46">
        <v>41</v>
      </c>
      <c r="P44" s="46">
        <v>1</v>
      </c>
      <c r="Q44" s="46">
        <v>1</v>
      </c>
      <c r="R44" s="46">
        <v>0</v>
      </c>
      <c r="S44" s="46">
        <v>18</v>
      </c>
      <c r="T44" s="46">
        <v>6</v>
      </c>
      <c r="U44" s="46">
        <v>12</v>
      </c>
      <c r="V44" s="46">
        <v>599</v>
      </c>
      <c r="W44" s="46">
        <v>0</v>
      </c>
      <c r="X44" s="46">
        <v>297</v>
      </c>
      <c r="Y44" s="46">
        <v>411</v>
      </c>
      <c r="Z44" s="46">
        <v>0</v>
      </c>
      <c r="AA44" s="46">
        <v>188</v>
      </c>
      <c r="AB44" s="46">
        <v>660</v>
      </c>
      <c r="AC44" s="46">
        <v>0</v>
      </c>
      <c r="AD44" s="46">
        <v>297</v>
      </c>
      <c r="AE44" s="46">
        <v>341</v>
      </c>
      <c r="AF44" s="46">
        <v>163</v>
      </c>
      <c r="AG44" s="46">
        <v>178</v>
      </c>
    </row>
    <row r="45" spans="1:33" x14ac:dyDescent="0.35">
      <c r="A45" s="45"/>
      <c r="B45" s="45" t="s">
        <v>185</v>
      </c>
      <c r="C45" s="45" t="s">
        <v>16</v>
      </c>
      <c r="D45" s="46">
        <v>1189</v>
      </c>
      <c r="E45" s="46"/>
      <c r="F45" s="46">
        <v>45</v>
      </c>
      <c r="G45" s="46">
        <v>22</v>
      </c>
      <c r="H45" s="46">
        <v>23</v>
      </c>
      <c r="I45" s="46"/>
      <c r="J45" s="46">
        <v>130</v>
      </c>
      <c r="K45" s="46">
        <v>64</v>
      </c>
      <c r="L45" s="46">
        <v>66</v>
      </c>
      <c r="M45" s="46">
        <v>13</v>
      </c>
      <c r="N45" s="46">
        <v>7</v>
      </c>
      <c r="O45" s="46">
        <v>6</v>
      </c>
      <c r="P45" s="46">
        <v>5</v>
      </c>
      <c r="Q45" s="46">
        <v>3</v>
      </c>
      <c r="R45" s="46">
        <v>2</v>
      </c>
      <c r="S45" s="46">
        <v>31</v>
      </c>
      <c r="T45" s="46">
        <v>18</v>
      </c>
      <c r="U45" s="46">
        <v>13</v>
      </c>
      <c r="V45" s="46">
        <v>126</v>
      </c>
      <c r="W45" s="46">
        <v>0</v>
      </c>
      <c r="X45" s="46">
        <v>38</v>
      </c>
      <c r="Y45" s="46">
        <v>228</v>
      </c>
      <c r="Z45" s="46">
        <v>0</v>
      </c>
      <c r="AA45" s="46">
        <v>50</v>
      </c>
      <c r="AB45" s="46">
        <v>380</v>
      </c>
      <c r="AC45" s="46">
        <v>0</v>
      </c>
      <c r="AD45" s="46">
        <v>129</v>
      </c>
      <c r="AE45" s="46">
        <v>231</v>
      </c>
      <c r="AF45" s="46">
        <v>142</v>
      </c>
      <c r="AG45" s="46">
        <v>89</v>
      </c>
    </row>
    <row r="46" spans="1:33" x14ac:dyDescent="0.35">
      <c r="A46" s="45"/>
      <c r="B46" s="45" t="s">
        <v>186</v>
      </c>
      <c r="C46" s="45" t="s">
        <v>13</v>
      </c>
      <c r="D46" s="46">
        <v>1521</v>
      </c>
      <c r="E46" s="46"/>
      <c r="F46" s="46">
        <v>0</v>
      </c>
      <c r="G46" s="46">
        <v>0</v>
      </c>
      <c r="H46" s="46">
        <v>0</v>
      </c>
      <c r="I46" s="46"/>
      <c r="J46" s="46">
        <v>24</v>
      </c>
      <c r="K46" s="46">
        <v>17</v>
      </c>
      <c r="L46" s="46">
        <v>7</v>
      </c>
      <c r="M46" s="46">
        <v>444</v>
      </c>
      <c r="N46" s="46">
        <v>241</v>
      </c>
      <c r="O46" s="46">
        <v>203</v>
      </c>
      <c r="P46" s="46">
        <v>148</v>
      </c>
      <c r="Q46" s="46">
        <v>71</v>
      </c>
      <c r="R46" s="46">
        <v>77</v>
      </c>
      <c r="S46" s="46">
        <v>17</v>
      </c>
      <c r="T46" s="46">
        <v>8</v>
      </c>
      <c r="U46" s="46">
        <v>9</v>
      </c>
      <c r="V46" s="46">
        <v>100</v>
      </c>
      <c r="W46" s="46">
        <v>0</v>
      </c>
      <c r="X46" s="46">
        <v>32</v>
      </c>
      <c r="Y46" s="46">
        <v>148</v>
      </c>
      <c r="Z46" s="46">
        <v>0</v>
      </c>
      <c r="AA46" s="46">
        <v>47</v>
      </c>
      <c r="AB46" s="46">
        <v>332</v>
      </c>
      <c r="AC46" s="46">
        <v>0</v>
      </c>
      <c r="AD46" s="46">
        <v>131</v>
      </c>
      <c r="AE46" s="46">
        <v>308</v>
      </c>
      <c r="AF46" s="46">
        <v>181</v>
      </c>
      <c r="AG46" s="46">
        <v>127</v>
      </c>
    </row>
    <row r="47" spans="1:33" x14ac:dyDescent="0.35">
      <c r="A47" s="45"/>
      <c r="B47" s="45" t="s">
        <v>187</v>
      </c>
      <c r="C47" s="45" t="s">
        <v>12</v>
      </c>
      <c r="D47" s="46">
        <v>2034</v>
      </c>
      <c r="E47" s="46"/>
      <c r="F47" s="46">
        <v>6</v>
      </c>
      <c r="G47" s="46">
        <v>3</v>
      </c>
      <c r="H47" s="46">
        <v>3</v>
      </c>
      <c r="I47" s="46"/>
      <c r="J47" s="46">
        <v>97</v>
      </c>
      <c r="K47" s="46">
        <v>50</v>
      </c>
      <c r="L47" s="46">
        <v>47</v>
      </c>
      <c r="M47" s="46">
        <v>252</v>
      </c>
      <c r="N47" s="46">
        <v>112</v>
      </c>
      <c r="O47" s="46">
        <v>140</v>
      </c>
      <c r="P47" s="46">
        <v>127</v>
      </c>
      <c r="Q47" s="46">
        <v>65</v>
      </c>
      <c r="R47" s="46">
        <v>62</v>
      </c>
      <c r="S47" s="46">
        <v>75</v>
      </c>
      <c r="T47" s="46">
        <v>38</v>
      </c>
      <c r="U47" s="46">
        <v>37</v>
      </c>
      <c r="V47" s="46">
        <v>318</v>
      </c>
      <c r="W47" s="46">
        <v>0</v>
      </c>
      <c r="X47" s="46">
        <v>85</v>
      </c>
      <c r="Y47" s="46">
        <v>314</v>
      </c>
      <c r="Z47" s="46">
        <v>0</v>
      </c>
      <c r="AA47" s="46">
        <v>95</v>
      </c>
      <c r="AB47" s="46">
        <v>484</v>
      </c>
      <c r="AC47" s="46">
        <v>0</v>
      </c>
      <c r="AD47" s="46">
        <v>151</v>
      </c>
      <c r="AE47" s="46">
        <v>361</v>
      </c>
      <c r="AF47" s="46">
        <v>229</v>
      </c>
      <c r="AG47" s="46">
        <v>132</v>
      </c>
    </row>
    <row r="48" spans="1:33" x14ac:dyDescent="0.35">
      <c r="A48" s="15"/>
      <c r="B48" s="15" t="s">
        <v>188</v>
      </c>
      <c r="C48" s="30"/>
      <c r="D48" s="30">
        <f>SUM(D36:D47)</f>
        <v>21129</v>
      </c>
      <c r="E48" s="30"/>
      <c r="F48" s="30">
        <f t="shared" ref="F48:H48" si="0">SUM(F36:F47)</f>
        <v>226</v>
      </c>
      <c r="G48" s="30">
        <f t="shared" si="0"/>
        <v>110</v>
      </c>
      <c r="H48" s="30">
        <f t="shared" si="0"/>
        <v>116</v>
      </c>
      <c r="I48" s="30"/>
      <c r="J48" s="30">
        <f t="shared" ref="J48:AG48" si="1">SUM(J36:J47)</f>
        <v>1301</v>
      </c>
      <c r="K48" s="30">
        <f t="shared" si="1"/>
        <v>630</v>
      </c>
      <c r="L48" s="30">
        <f t="shared" si="1"/>
        <v>671</v>
      </c>
      <c r="M48" s="30">
        <f t="shared" si="1"/>
        <v>1751</v>
      </c>
      <c r="N48" s="30">
        <f t="shared" si="1"/>
        <v>887</v>
      </c>
      <c r="O48" s="30">
        <f t="shared" si="1"/>
        <v>864</v>
      </c>
      <c r="P48" s="30">
        <f t="shared" si="1"/>
        <v>745</v>
      </c>
      <c r="Q48" s="30">
        <f t="shared" si="1"/>
        <v>377</v>
      </c>
      <c r="R48" s="30">
        <f t="shared" si="1"/>
        <v>368</v>
      </c>
      <c r="S48" s="30">
        <f t="shared" si="1"/>
        <v>797</v>
      </c>
      <c r="T48" s="30">
        <f t="shared" si="1"/>
        <v>422</v>
      </c>
      <c r="U48" s="30">
        <f t="shared" si="1"/>
        <v>375</v>
      </c>
      <c r="V48" s="30">
        <f t="shared" si="1"/>
        <v>3883</v>
      </c>
      <c r="W48" s="30">
        <f t="shared" si="1"/>
        <v>0</v>
      </c>
      <c r="X48" s="30">
        <f t="shared" si="1"/>
        <v>1460</v>
      </c>
      <c r="Y48" s="30">
        <f t="shared" si="1"/>
        <v>3696</v>
      </c>
      <c r="Z48" s="30">
        <f t="shared" si="1"/>
        <v>0</v>
      </c>
      <c r="AA48" s="30">
        <f t="shared" si="1"/>
        <v>1247</v>
      </c>
      <c r="AB48" s="30">
        <f t="shared" si="1"/>
        <v>5309</v>
      </c>
      <c r="AC48" s="30">
        <f t="shared" si="1"/>
        <v>0</v>
      </c>
      <c r="AD48" s="30">
        <f t="shared" si="1"/>
        <v>2007</v>
      </c>
      <c r="AE48" s="30">
        <f t="shared" si="1"/>
        <v>3421</v>
      </c>
      <c r="AF48" s="30">
        <f t="shared" si="1"/>
        <v>2004</v>
      </c>
      <c r="AG48" s="30">
        <f t="shared" si="1"/>
        <v>1417</v>
      </c>
    </row>
    <row r="49" spans="1:33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5">
      <c r="A51" s="15"/>
      <c r="B51" s="15" t="s">
        <v>189</v>
      </c>
      <c r="C51" s="30"/>
      <c r="D51" s="3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35">
      <c r="A52" s="15"/>
      <c r="B52" s="15" t="s">
        <v>125</v>
      </c>
      <c r="C52" s="30"/>
      <c r="D52" s="3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35">
      <c r="A54" s="23"/>
      <c r="B54" s="15" t="s">
        <v>190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5">
      <c r="A55" s="23"/>
      <c r="B55" s="15" t="s">
        <v>191</v>
      </c>
      <c r="C55" s="23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35">
      <c r="A56" s="23"/>
      <c r="B56" s="23" t="s">
        <v>192</v>
      </c>
      <c r="C56" s="23" t="s">
        <v>193</v>
      </c>
      <c r="D56" s="23" t="s">
        <v>139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x14ac:dyDescent="0.35">
      <c r="A57" s="23"/>
      <c r="B57" s="23">
        <v>1629</v>
      </c>
      <c r="C57" s="23">
        <v>3541</v>
      </c>
      <c r="D57" s="1">
        <f>SUM(B57:C57)</f>
        <v>5170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35">
      <c r="A59" s="23"/>
      <c r="B59" s="23" t="s">
        <v>194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35">
      <c r="A60" s="26"/>
      <c r="B60" s="189" t="s">
        <v>195</v>
      </c>
      <c r="C60" s="147"/>
      <c r="D60" s="147"/>
      <c r="E60" s="189" t="s">
        <v>196</v>
      </c>
      <c r="F60" s="147"/>
      <c r="G60" s="147"/>
      <c r="H60" s="147"/>
      <c r="I60" s="26"/>
      <c r="J60" s="189" t="s">
        <v>197</v>
      </c>
      <c r="K60" s="147"/>
      <c r="L60" s="147"/>
      <c r="M60" s="14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35">
      <c r="A61" s="23" t="s">
        <v>198</v>
      </c>
      <c r="B61" s="23" t="s">
        <v>199</v>
      </c>
      <c r="C61" s="23" t="s">
        <v>200</v>
      </c>
      <c r="D61" s="23" t="s">
        <v>201</v>
      </c>
      <c r="E61" s="23" t="s">
        <v>202</v>
      </c>
      <c r="F61" s="23" t="s">
        <v>199</v>
      </c>
      <c r="G61" s="23" t="s">
        <v>203</v>
      </c>
      <c r="H61" s="23" t="s">
        <v>204</v>
      </c>
      <c r="I61" s="23" t="s">
        <v>202</v>
      </c>
      <c r="J61" s="23" t="s">
        <v>205</v>
      </c>
      <c r="K61" s="23" t="s">
        <v>199</v>
      </c>
      <c r="L61" s="23" t="s">
        <v>206</v>
      </c>
      <c r="M61" s="23" t="s">
        <v>207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35">
      <c r="A62" s="15">
        <f>SUM(B62:D62)</f>
        <v>4677</v>
      </c>
      <c r="B62" s="23">
        <v>3679</v>
      </c>
      <c r="C62" s="23">
        <v>497</v>
      </c>
      <c r="D62" s="23">
        <v>501</v>
      </c>
      <c r="E62" s="15">
        <f>SUM(F62:H62)</f>
        <v>3129</v>
      </c>
      <c r="F62" s="23">
        <v>2702</v>
      </c>
      <c r="G62" s="23">
        <v>259</v>
      </c>
      <c r="H62" s="23">
        <v>168</v>
      </c>
      <c r="I62" s="15">
        <f>SUM(J62:M62)</f>
        <v>4683</v>
      </c>
      <c r="J62" s="23">
        <v>430</v>
      </c>
      <c r="K62" s="23">
        <v>3456</v>
      </c>
      <c r="L62" s="23">
        <v>405</v>
      </c>
      <c r="M62" s="23">
        <v>392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35">
      <c r="A64" s="189" t="s">
        <v>208</v>
      </c>
      <c r="B64" s="147"/>
      <c r="C64" s="147"/>
      <c r="D64" s="189" t="s">
        <v>209</v>
      </c>
      <c r="E64" s="147"/>
      <c r="F64" s="14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35">
      <c r="A65" s="23" t="s">
        <v>210</v>
      </c>
      <c r="B65" s="23" t="s">
        <v>199</v>
      </c>
      <c r="C65" s="23" t="s">
        <v>211</v>
      </c>
      <c r="D65" s="23" t="s">
        <v>210</v>
      </c>
      <c r="E65" s="23" t="s">
        <v>212</v>
      </c>
      <c r="F65" s="23" t="s">
        <v>199</v>
      </c>
      <c r="G65" s="23" t="s">
        <v>213</v>
      </c>
      <c r="H65" s="23" t="s">
        <v>214</v>
      </c>
      <c r="I65" s="23" t="s">
        <v>215</v>
      </c>
      <c r="J65" s="23" t="s">
        <v>216</v>
      </c>
      <c r="K65" s="23" t="s">
        <v>217</v>
      </c>
      <c r="L65" s="23" t="s">
        <v>218</v>
      </c>
      <c r="M65" s="23" t="s">
        <v>219</v>
      </c>
      <c r="N65" s="23" t="s">
        <v>220</v>
      </c>
      <c r="O65" s="23" t="s">
        <v>221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35">
      <c r="A66" s="15">
        <v>4684</v>
      </c>
      <c r="B66" s="23">
        <v>3851</v>
      </c>
      <c r="C66" s="23">
        <v>833</v>
      </c>
      <c r="D66" s="15">
        <v>1072</v>
      </c>
      <c r="E66" s="23">
        <v>3</v>
      </c>
      <c r="F66" s="23">
        <v>1069</v>
      </c>
      <c r="G66" s="23">
        <v>250</v>
      </c>
      <c r="H66" s="23">
        <v>2</v>
      </c>
      <c r="I66" s="23">
        <v>248</v>
      </c>
      <c r="J66" s="23">
        <v>36</v>
      </c>
      <c r="K66" s="23">
        <v>0</v>
      </c>
      <c r="L66" s="23">
        <v>36</v>
      </c>
      <c r="M66" s="23">
        <v>187</v>
      </c>
      <c r="N66" s="23">
        <v>1</v>
      </c>
      <c r="O66" s="23">
        <v>186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35">
      <c r="A68" s="23" t="s">
        <v>222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35">
      <c r="A69" s="23" t="s">
        <v>210</v>
      </c>
      <c r="B69" s="23" t="s">
        <v>199</v>
      </c>
      <c r="C69" s="23" t="s">
        <v>223</v>
      </c>
      <c r="D69" s="23" t="s">
        <v>224</v>
      </c>
      <c r="E69" s="23" t="s">
        <v>225</v>
      </c>
      <c r="F69" s="23" t="s">
        <v>226</v>
      </c>
      <c r="G69" s="23" t="s">
        <v>227</v>
      </c>
      <c r="H69" s="23" t="s">
        <v>221</v>
      </c>
      <c r="I69" s="23" t="s">
        <v>228</v>
      </c>
      <c r="J69" s="23" t="s">
        <v>229</v>
      </c>
      <c r="K69" s="23" t="s">
        <v>218</v>
      </c>
      <c r="L69" s="23" t="s">
        <v>230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35">
      <c r="A70" s="23">
        <v>210</v>
      </c>
      <c r="B70" s="23">
        <v>208</v>
      </c>
      <c r="C70" s="23">
        <v>2</v>
      </c>
      <c r="D70" s="23">
        <v>47</v>
      </c>
      <c r="E70" s="23">
        <v>47</v>
      </c>
      <c r="F70" s="23">
        <v>0</v>
      </c>
      <c r="G70" s="23">
        <v>38</v>
      </c>
      <c r="H70" s="23">
        <v>38</v>
      </c>
      <c r="I70" s="23">
        <v>0</v>
      </c>
      <c r="J70" s="23">
        <v>2</v>
      </c>
      <c r="K70" s="23">
        <v>2</v>
      </c>
      <c r="L70" s="23"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x14ac:dyDescent="0.35">
      <c r="A72" s="23" t="s">
        <v>231</v>
      </c>
      <c r="B72" s="1"/>
      <c r="C72" s="1"/>
      <c r="D72" s="1"/>
      <c r="E72" s="23" t="s">
        <v>232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x14ac:dyDescent="0.35">
      <c r="A73" s="23" t="s">
        <v>202</v>
      </c>
      <c r="B73" s="23" t="s">
        <v>233</v>
      </c>
      <c r="C73" s="23" t="s">
        <v>234</v>
      </c>
      <c r="D73" s="23" t="s">
        <v>235</v>
      </c>
      <c r="E73" s="23" t="s">
        <v>202</v>
      </c>
      <c r="F73" s="23" t="s">
        <v>199</v>
      </c>
      <c r="G73" s="23" t="s">
        <v>236</v>
      </c>
      <c r="H73" s="23" t="s">
        <v>237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x14ac:dyDescent="0.35">
      <c r="A74" s="23">
        <v>437</v>
      </c>
      <c r="B74" s="23">
        <v>437</v>
      </c>
      <c r="C74" s="23">
        <v>0</v>
      </c>
      <c r="D74" s="23">
        <v>0</v>
      </c>
      <c r="E74" s="23">
        <v>207</v>
      </c>
      <c r="F74" s="23">
        <v>207</v>
      </c>
      <c r="G74" s="23">
        <v>0</v>
      </c>
      <c r="H74" s="23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x14ac:dyDescent="0.35">
      <c r="A76" s="23" t="s">
        <v>238</v>
      </c>
      <c r="B76" s="1"/>
      <c r="C76" s="1"/>
      <c r="D76" s="1"/>
      <c r="E76" s="23" t="s">
        <v>239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x14ac:dyDescent="0.35">
      <c r="A77" s="23" t="s">
        <v>202</v>
      </c>
      <c r="B77" s="23" t="s">
        <v>240</v>
      </c>
      <c r="C77" s="23" t="s">
        <v>241</v>
      </c>
      <c r="D77" s="23" t="s">
        <v>242</v>
      </c>
      <c r="E77" s="23" t="s">
        <v>202</v>
      </c>
      <c r="F77" s="23" t="s">
        <v>243</v>
      </c>
      <c r="G77" s="23" t="s">
        <v>244</v>
      </c>
      <c r="H77" s="23" t="s">
        <v>245</v>
      </c>
      <c r="I77" s="23" t="s">
        <v>246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x14ac:dyDescent="0.35">
      <c r="A78" s="23">
        <v>368</v>
      </c>
      <c r="B78" s="23">
        <v>194</v>
      </c>
      <c r="C78" s="23">
        <v>155</v>
      </c>
      <c r="D78" s="23">
        <v>19</v>
      </c>
      <c r="E78" s="23">
        <v>7</v>
      </c>
      <c r="F78" s="23">
        <v>7</v>
      </c>
      <c r="G78" s="23">
        <v>0</v>
      </c>
      <c r="H78" s="23">
        <v>0</v>
      </c>
      <c r="I78" s="23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x14ac:dyDescent="0.35">
      <c r="A80" s="23" t="s">
        <v>247</v>
      </c>
      <c r="B80" s="1"/>
      <c r="C80" s="1"/>
      <c r="D80" s="1"/>
      <c r="E80" s="23" t="s">
        <v>248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x14ac:dyDescent="0.35">
      <c r="A81" s="23" t="s">
        <v>202</v>
      </c>
      <c r="B81" s="23" t="s">
        <v>240</v>
      </c>
      <c r="C81" s="23" t="s">
        <v>249</v>
      </c>
      <c r="D81" s="23" t="s">
        <v>250</v>
      </c>
      <c r="E81" s="23" t="s">
        <v>202</v>
      </c>
      <c r="F81" s="23" t="s">
        <v>240</v>
      </c>
      <c r="G81" s="23" t="s">
        <v>250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x14ac:dyDescent="0.35">
      <c r="A82" s="23">
        <v>27</v>
      </c>
      <c r="B82" s="23">
        <v>0</v>
      </c>
      <c r="C82" s="23">
        <v>25</v>
      </c>
      <c r="D82" s="23">
        <v>2</v>
      </c>
      <c r="E82" s="23">
        <v>24</v>
      </c>
      <c r="F82" s="23">
        <v>22</v>
      </c>
      <c r="G82" s="23">
        <v>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x14ac:dyDescent="0.35">
      <c r="A84" s="23" t="s">
        <v>251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x14ac:dyDescent="0.35">
      <c r="A85" s="23" t="s">
        <v>202</v>
      </c>
      <c r="B85" s="23" t="s">
        <v>252</v>
      </c>
      <c r="C85" s="23" t="s">
        <v>253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x14ac:dyDescent="0.35">
      <c r="A86" s="23">
        <v>1</v>
      </c>
      <c r="B86" s="23">
        <v>1</v>
      </c>
      <c r="C86" s="23">
        <v>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35">
      <c r="A88" s="23" t="s">
        <v>254</v>
      </c>
      <c r="B88" s="1"/>
      <c r="C88" s="1"/>
      <c r="D88" s="1"/>
      <c r="E88" s="1"/>
      <c r="F88" s="23" t="s">
        <v>255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x14ac:dyDescent="0.35">
      <c r="A89" s="23" t="s">
        <v>202</v>
      </c>
      <c r="B89" s="23" t="s">
        <v>199</v>
      </c>
      <c r="C89" s="23" t="s">
        <v>256</v>
      </c>
      <c r="D89" s="23" t="s">
        <v>257</v>
      </c>
      <c r="E89" s="23" t="s">
        <v>258</v>
      </c>
      <c r="F89" s="23" t="s">
        <v>202</v>
      </c>
      <c r="G89" s="23" t="s">
        <v>259</v>
      </c>
      <c r="H89" s="23" t="s">
        <v>260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x14ac:dyDescent="0.35">
      <c r="A90" s="23">
        <v>2351</v>
      </c>
      <c r="B90" s="23">
        <v>1982</v>
      </c>
      <c r="C90" s="23">
        <v>265</v>
      </c>
      <c r="D90" s="23">
        <v>92</v>
      </c>
      <c r="E90" s="23">
        <v>12</v>
      </c>
      <c r="F90" s="23">
        <v>852</v>
      </c>
      <c r="G90" s="23">
        <v>823</v>
      </c>
      <c r="H90" s="23">
        <v>29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35">
      <c r="A92" s="23" t="s">
        <v>261</v>
      </c>
      <c r="B92" s="1"/>
      <c r="C92" s="1"/>
      <c r="D92" s="23" t="s">
        <v>262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x14ac:dyDescent="0.35">
      <c r="A93" s="23" t="s">
        <v>202</v>
      </c>
      <c r="B93" s="23" t="s">
        <v>199</v>
      </c>
      <c r="C93" s="23" t="s">
        <v>263</v>
      </c>
      <c r="D93" s="23" t="s">
        <v>210</v>
      </c>
      <c r="E93" s="23" t="s">
        <v>199</v>
      </c>
      <c r="F93" s="23" t="s">
        <v>264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x14ac:dyDescent="0.35">
      <c r="A94" s="23">
        <v>2401</v>
      </c>
      <c r="B94" s="23">
        <v>2298</v>
      </c>
      <c r="C94" s="23">
        <v>103</v>
      </c>
      <c r="D94" s="23">
        <v>1530</v>
      </c>
      <c r="E94" s="23">
        <v>1529</v>
      </c>
      <c r="F94" s="23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x14ac:dyDescent="0.35">
      <c r="A96" s="23" t="s">
        <v>265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35">
      <c r="A97" s="23" t="s">
        <v>202</v>
      </c>
      <c r="B97" s="23" t="s">
        <v>240</v>
      </c>
      <c r="C97" s="23" t="s">
        <v>242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35">
      <c r="A98" s="23">
        <v>178</v>
      </c>
      <c r="B98" s="23">
        <v>177</v>
      </c>
      <c r="C98" s="23">
        <v>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35">
      <c r="A100" s="15" t="s">
        <v>190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35">
      <c r="A101" s="15" t="s">
        <v>266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35">
      <c r="A103" s="23" t="s">
        <v>192</v>
      </c>
      <c r="B103" s="23" t="s">
        <v>193</v>
      </c>
      <c r="C103" s="23" t="s">
        <v>139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35">
      <c r="A104" s="23">
        <v>1506</v>
      </c>
      <c r="B104" s="23">
        <v>3174</v>
      </c>
      <c r="C104" s="1">
        <f>SUM(A104:B104)</f>
        <v>4680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35">
      <c r="A106" s="23" t="s">
        <v>267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35">
      <c r="A107" s="23" t="s">
        <v>268</v>
      </c>
      <c r="B107" s="23" t="s">
        <v>269</v>
      </c>
      <c r="C107" s="23" t="s">
        <v>270</v>
      </c>
      <c r="D107" s="23" t="s">
        <v>271</v>
      </c>
      <c r="E107" s="23" t="s">
        <v>272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x14ac:dyDescent="0.35">
      <c r="A108" s="23">
        <v>4</v>
      </c>
      <c r="B108" s="23">
        <v>2</v>
      </c>
      <c r="C108" s="23">
        <v>0</v>
      </c>
      <c r="D108" s="23">
        <v>0</v>
      </c>
      <c r="E108" s="23">
        <v>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35">
      <c r="A110" s="23" t="s">
        <v>273</v>
      </c>
      <c r="B110" s="23" t="s">
        <v>274</v>
      </c>
      <c r="C110" s="23" t="s">
        <v>275</v>
      </c>
      <c r="D110" s="23" t="s">
        <v>276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x14ac:dyDescent="0.35">
      <c r="A111" s="23">
        <v>453</v>
      </c>
      <c r="B111" s="23">
        <v>143</v>
      </c>
      <c r="C111" s="23">
        <v>1</v>
      </c>
      <c r="D111" s="23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x14ac:dyDescent="0.35">
      <c r="A113" s="23" t="s">
        <v>277</v>
      </c>
      <c r="B113" s="23" t="s">
        <v>278</v>
      </c>
      <c r="C113" s="23" t="s">
        <v>279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x14ac:dyDescent="0.35">
      <c r="A114" s="23">
        <v>0</v>
      </c>
      <c r="B114" s="23">
        <v>0</v>
      </c>
      <c r="C114" s="23">
        <v>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x14ac:dyDescent="0.35">
      <c r="A116" s="23" t="s">
        <v>280</v>
      </c>
      <c r="B116" s="23" t="s">
        <v>281</v>
      </c>
      <c r="C116" s="23" t="s">
        <v>282</v>
      </c>
      <c r="D116" s="23" t="s">
        <v>283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x14ac:dyDescent="0.35">
      <c r="A117" s="23">
        <v>0</v>
      </c>
      <c r="B117" s="23">
        <v>0</v>
      </c>
      <c r="C117" s="23">
        <v>0</v>
      </c>
      <c r="D117" s="23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x14ac:dyDescent="0.35">
      <c r="A119" s="23" t="s">
        <v>284</v>
      </c>
      <c r="B119" s="23" t="s">
        <v>285</v>
      </c>
      <c r="C119" s="23" t="s">
        <v>255</v>
      </c>
      <c r="D119" s="23" t="s">
        <v>286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x14ac:dyDescent="0.35">
      <c r="A120" s="23">
        <v>0</v>
      </c>
      <c r="B120" s="23">
        <v>0</v>
      </c>
      <c r="C120" s="23">
        <v>0</v>
      </c>
      <c r="D120" s="23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x14ac:dyDescent="0.35">
      <c r="A122" s="23" t="s">
        <v>265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x14ac:dyDescent="0.35">
      <c r="A123" s="23" t="s">
        <v>287</v>
      </c>
      <c r="B123" s="23" t="s">
        <v>288</v>
      </c>
      <c r="C123" s="23" t="s">
        <v>289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x14ac:dyDescent="0.35">
      <c r="A124" s="23">
        <v>0</v>
      </c>
      <c r="B124" s="23">
        <v>0</v>
      </c>
      <c r="C124" s="23">
        <v>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mergeCells count="7">
    <mergeCell ref="J60:M60"/>
    <mergeCell ref="A64:C64"/>
    <mergeCell ref="D64:F64"/>
    <mergeCell ref="C5:F5"/>
    <mergeCell ref="C18:F18"/>
    <mergeCell ref="B60:D60"/>
    <mergeCell ref="E60:H6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89"/>
  <sheetViews>
    <sheetView tabSelected="1" topLeftCell="A276" zoomScale="87" workbookViewId="0">
      <selection activeCell="G280" sqref="G280"/>
    </sheetView>
  </sheetViews>
  <sheetFormatPr defaultRowHeight="14.5" x14ac:dyDescent="0.35"/>
  <cols>
    <col min="1" max="1" width="10" customWidth="1"/>
    <col min="2" max="2" width="11" customWidth="1"/>
    <col min="3" max="3" width="13" customWidth="1"/>
    <col min="4" max="4" width="16" customWidth="1"/>
    <col min="5" max="5" width="22" customWidth="1"/>
    <col min="6" max="9" width="15" customWidth="1"/>
    <col min="10" max="10" width="13" customWidth="1"/>
    <col min="11" max="11" width="18" customWidth="1"/>
    <col min="12" max="12" width="42" customWidth="1"/>
  </cols>
  <sheetData>
    <row r="1" spans="1:12" ht="29" x14ac:dyDescent="0.35">
      <c r="A1" s="130" t="s">
        <v>290</v>
      </c>
      <c r="B1" s="131" t="s">
        <v>291</v>
      </c>
      <c r="C1" s="131" t="s">
        <v>292</v>
      </c>
      <c r="D1" s="131" t="s">
        <v>39</v>
      </c>
      <c r="E1" s="131" t="s">
        <v>293</v>
      </c>
      <c r="F1" s="131" t="s">
        <v>294</v>
      </c>
      <c r="G1" s="131" t="s">
        <v>41</v>
      </c>
      <c r="H1" s="131" t="s">
        <v>295</v>
      </c>
      <c r="I1" s="131" t="s">
        <v>296</v>
      </c>
      <c r="J1" s="131" t="s">
        <v>68</v>
      </c>
      <c r="K1" s="131" t="s">
        <v>297</v>
      </c>
      <c r="L1" s="132" t="s">
        <v>298</v>
      </c>
    </row>
    <row r="2" spans="1:12" ht="29" x14ac:dyDescent="0.35">
      <c r="A2" s="135">
        <v>2026</v>
      </c>
      <c r="B2" s="136">
        <v>1</v>
      </c>
      <c r="C2" s="133" t="s">
        <v>1</v>
      </c>
      <c r="D2" s="133" t="s">
        <v>12</v>
      </c>
      <c r="E2" s="133" t="s">
        <v>299</v>
      </c>
      <c r="F2" s="139">
        <v>8998</v>
      </c>
      <c r="G2" s="139">
        <v>8998</v>
      </c>
      <c r="H2" s="139">
        <f t="shared" ref="H2:H65" si="0">QUOTIENT(G2,12)+IF(B2&lt;=MOD(G2,12),1,0)</f>
        <v>750</v>
      </c>
      <c r="I2" s="139">
        <v>15</v>
      </c>
      <c r="J2" s="141">
        <f t="shared" ref="J2:J65" si="1">IF(H2=0,"",I2/H2)</f>
        <v>0.02</v>
      </c>
      <c r="K2" s="136" t="str">
        <f t="shared" ref="K2:K65" si="2">IF(H2=0,"",IF(I2&gt;=H2,"Tercapai","Belum Tercapai"))</f>
        <v>Belum Tercapai</v>
      </c>
      <c r="L2" s="143" t="s">
        <v>300</v>
      </c>
    </row>
    <row r="3" spans="1:12" ht="29" x14ac:dyDescent="0.35">
      <c r="A3" s="135">
        <v>2026</v>
      </c>
      <c r="B3" s="136">
        <v>1</v>
      </c>
      <c r="C3" s="133" t="s">
        <v>1</v>
      </c>
      <c r="D3" s="133" t="s">
        <v>12</v>
      </c>
      <c r="E3" s="133" t="s">
        <v>201</v>
      </c>
      <c r="F3" s="139">
        <v>444</v>
      </c>
      <c r="G3" s="139">
        <v>444</v>
      </c>
      <c r="H3" s="139">
        <f t="shared" si="0"/>
        <v>37</v>
      </c>
      <c r="I3" s="139">
        <v>0</v>
      </c>
      <c r="J3" s="141">
        <f t="shared" si="1"/>
        <v>0</v>
      </c>
      <c r="K3" s="136" t="str">
        <f t="shared" si="2"/>
        <v>Belum Tercapai</v>
      </c>
      <c r="L3" s="143" t="s">
        <v>301</v>
      </c>
    </row>
    <row r="4" spans="1:12" ht="29" x14ac:dyDescent="0.35">
      <c r="A4" s="135">
        <v>2026</v>
      </c>
      <c r="B4" s="136">
        <v>1</v>
      </c>
      <c r="C4" s="133" t="s">
        <v>1</v>
      </c>
      <c r="D4" s="133" t="s">
        <v>12</v>
      </c>
      <c r="E4" s="133" t="s">
        <v>302</v>
      </c>
      <c r="F4" s="139">
        <v>111</v>
      </c>
      <c r="G4" s="139">
        <v>111</v>
      </c>
      <c r="H4" s="139">
        <f t="shared" si="0"/>
        <v>10</v>
      </c>
      <c r="I4" s="139">
        <v>1</v>
      </c>
      <c r="J4" s="141">
        <f t="shared" si="1"/>
        <v>0.1</v>
      </c>
      <c r="K4" s="136" t="str">
        <f t="shared" si="2"/>
        <v>Belum Tercapai</v>
      </c>
      <c r="L4" s="143" t="s">
        <v>301</v>
      </c>
    </row>
    <row r="5" spans="1:12" x14ac:dyDescent="0.35">
      <c r="A5" s="135">
        <v>2026</v>
      </c>
      <c r="B5" s="136">
        <v>1</v>
      </c>
      <c r="C5" s="133" t="s">
        <v>1</v>
      </c>
      <c r="D5" s="133" t="s">
        <v>12</v>
      </c>
      <c r="E5" s="133" t="s">
        <v>92</v>
      </c>
      <c r="F5" s="139">
        <v>221</v>
      </c>
      <c r="G5" s="139">
        <v>221</v>
      </c>
      <c r="H5" s="139">
        <f t="shared" si="0"/>
        <v>19</v>
      </c>
      <c r="I5" s="139">
        <v>0</v>
      </c>
      <c r="J5" s="141">
        <f t="shared" si="1"/>
        <v>0</v>
      </c>
      <c r="K5" s="136" t="str">
        <f t="shared" si="2"/>
        <v>Belum Tercapai</v>
      </c>
      <c r="L5" s="143" t="s">
        <v>303</v>
      </c>
    </row>
    <row r="6" spans="1:12" ht="29" x14ac:dyDescent="0.35">
      <c r="A6" s="135">
        <v>2026</v>
      </c>
      <c r="B6" s="136">
        <v>2</v>
      </c>
      <c r="C6" s="133" t="s">
        <v>2</v>
      </c>
      <c r="D6" s="133" t="s">
        <v>12</v>
      </c>
      <c r="E6" s="133" t="s">
        <v>299</v>
      </c>
      <c r="F6" s="139">
        <v>8998</v>
      </c>
      <c r="G6" s="139">
        <v>8998</v>
      </c>
      <c r="H6" s="139">
        <f t="shared" si="0"/>
        <v>750</v>
      </c>
      <c r="I6" s="139">
        <v>58</v>
      </c>
      <c r="J6" s="141">
        <f t="shared" si="1"/>
        <v>7.7333333333333337E-2</v>
      </c>
      <c r="K6" s="136" t="str">
        <f t="shared" si="2"/>
        <v>Belum Tercapai</v>
      </c>
      <c r="L6" s="143" t="s">
        <v>300</v>
      </c>
    </row>
    <row r="7" spans="1:12" ht="29" x14ac:dyDescent="0.35">
      <c r="A7" s="135">
        <v>2026</v>
      </c>
      <c r="B7" s="136">
        <v>2</v>
      </c>
      <c r="C7" s="133" t="s">
        <v>2</v>
      </c>
      <c r="D7" s="133" t="s">
        <v>12</v>
      </c>
      <c r="E7" s="133" t="s">
        <v>201</v>
      </c>
      <c r="F7" s="139">
        <v>444</v>
      </c>
      <c r="G7" s="139">
        <v>444</v>
      </c>
      <c r="H7" s="139">
        <f t="shared" si="0"/>
        <v>37</v>
      </c>
      <c r="I7" s="139">
        <v>0</v>
      </c>
      <c r="J7" s="141">
        <f t="shared" si="1"/>
        <v>0</v>
      </c>
      <c r="K7" s="136" t="str">
        <f t="shared" si="2"/>
        <v>Belum Tercapai</v>
      </c>
      <c r="L7" s="143" t="s">
        <v>301</v>
      </c>
    </row>
    <row r="8" spans="1:12" ht="29" x14ac:dyDescent="0.35">
      <c r="A8" s="135">
        <v>2026</v>
      </c>
      <c r="B8" s="136">
        <v>2</v>
      </c>
      <c r="C8" s="133" t="s">
        <v>2</v>
      </c>
      <c r="D8" s="133" t="s">
        <v>12</v>
      </c>
      <c r="E8" s="133" t="s">
        <v>302</v>
      </c>
      <c r="F8" s="139">
        <v>111</v>
      </c>
      <c r="G8" s="139">
        <v>111</v>
      </c>
      <c r="H8" s="139">
        <f t="shared" si="0"/>
        <v>10</v>
      </c>
      <c r="I8" s="139">
        <v>0</v>
      </c>
      <c r="J8" s="141">
        <f t="shared" si="1"/>
        <v>0</v>
      </c>
      <c r="K8" s="136" t="str">
        <f t="shared" si="2"/>
        <v>Belum Tercapai</v>
      </c>
      <c r="L8" s="143" t="s">
        <v>301</v>
      </c>
    </row>
    <row r="9" spans="1:12" x14ac:dyDescent="0.35">
      <c r="A9" s="135">
        <v>2026</v>
      </c>
      <c r="B9" s="136">
        <v>2</v>
      </c>
      <c r="C9" s="133" t="s">
        <v>2</v>
      </c>
      <c r="D9" s="133" t="s">
        <v>12</v>
      </c>
      <c r="E9" s="133" t="s">
        <v>92</v>
      </c>
      <c r="F9" s="139">
        <v>221</v>
      </c>
      <c r="G9" s="139">
        <v>221</v>
      </c>
      <c r="H9" s="139">
        <f t="shared" si="0"/>
        <v>19</v>
      </c>
      <c r="I9" s="139">
        <v>0</v>
      </c>
      <c r="J9" s="141">
        <f t="shared" si="1"/>
        <v>0</v>
      </c>
      <c r="K9" s="136" t="str">
        <f t="shared" si="2"/>
        <v>Belum Tercapai</v>
      </c>
      <c r="L9" s="143" t="s">
        <v>303</v>
      </c>
    </row>
    <row r="10" spans="1:12" ht="29" x14ac:dyDescent="0.35">
      <c r="A10" s="135">
        <v>2026</v>
      </c>
      <c r="B10" s="136">
        <v>3</v>
      </c>
      <c r="C10" s="133" t="s">
        <v>3</v>
      </c>
      <c r="D10" s="133" t="s">
        <v>12</v>
      </c>
      <c r="E10" s="133" t="s">
        <v>299</v>
      </c>
      <c r="F10" s="139">
        <v>8998</v>
      </c>
      <c r="G10" s="139">
        <v>8998</v>
      </c>
      <c r="H10" s="139">
        <f t="shared" si="0"/>
        <v>750</v>
      </c>
      <c r="I10" s="139">
        <v>46</v>
      </c>
      <c r="J10" s="141">
        <f t="shared" si="1"/>
        <v>6.133333333333333E-2</v>
      </c>
      <c r="K10" s="136" t="str">
        <f t="shared" si="2"/>
        <v>Belum Tercapai</v>
      </c>
      <c r="L10" s="143" t="s">
        <v>300</v>
      </c>
    </row>
    <row r="11" spans="1:12" ht="29" x14ac:dyDescent="0.35">
      <c r="A11" s="135">
        <v>2026</v>
      </c>
      <c r="B11" s="136">
        <v>3</v>
      </c>
      <c r="C11" s="133" t="s">
        <v>3</v>
      </c>
      <c r="D11" s="133" t="s">
        <v>12</v>
      </c>
      <c r="E11" s="133" t="s">
        <v>201</v>
      </c>
      <c r="F11" s="139">
        <v>444</v>
      </c>
      <c r="G11" s="139">
        <v>444</v>
      </c>
      <c r="H11" s="139">
        <f t="shared" si="0"/>
        <v>37</v>
      </c>
      <c r="I11" s="139">
        <v>1</v>
      </c>
      <c r="J11" s="141">
        <f t="shared" si="1"/>
        <v>2.7027027027027029E-2</v>
      </c>
      <c r="K11" s="136" t="str">
        <f t="shared" si="2"/>
        <v>Belum Tercapai</v>
      </c>
      <c r="L11" s="143" t="s">
        <v>301</v>
      </c>
    </row>
    <row r="12" spans="1:12" ht="29" x14ac:dyDescent="0.35">
      <c r="A12" s="135">
        <v>2026</v>
      </c>
      <c r="B12" s="136">
        <v>3</v>
      </c>
      <c r="C12" s="133" t="s">
        <v>3</v>
      </c>
      <c r="D12" s="133" t="s">
        <v>12</v>
      </c>
      <c r="E12" s="133" t="s">
        <v>302</v>
      </c>
      <c r="F12" s="139">
        <v>111</v>
      </c>
      <c r="G12" s="139">
        <v>111</v>
      </c>
      <c r="H12" s="139">
        <f t="shared" si="0"/>
        <v>10</v>
      </c>
      <c r="I12" s="139">
        <v>0</v>
      </c>
      <c r="J12" s="141">
        <f t="shared" si="1"/>
        <v>0</v>
      </c>
      <c r="K12" s="136" t="str">
        <f t="shared" si="2"/>
        <v>Belum Tercapai</v>
      </c>
      <c r="L12" s="143" t="s">
        <v>301</v>
      </c>
    </row>
    <row r="13" spans="1:12" x14ac:dyDescent="0.35">
      <c r="A13" s="135">
        <v>2026</v>
      </c>
      <c r="B13" s="136">
        <v>3</v>
      </c>
      <c r="C13" s="133" t="s">
        <v>3</v>
      </c>
      <c r="D13" s="133" t="s">
        <v>12</v>
      </c>
      <c r="E13" s="133" t="s">
        <v>92</v>
      </c>
      <c r="F13" s="139">
        <v>221</v>
      </c>
      <c r="G13" s="139">
        <v>221</v>
      </c>
      <c r="H13" s="139">
        <f t="shared" si="0"/>
        <v>19</v>
      </c>
      <c r="I13" s="139">
        <v>0</v>
      </c>
      <c r="J13" s="141">
        <f t="shared" si="1"/>
        <v>0</v>
      </c>
      <c r="K13" s="136" t="str">
        <f t="shared" si="2"/>
        <v>Belum Tercapai</v>
      </c>
      <c r="L13" s="143" t="s">
        <v>303</v>
      </c>
    </row>
    <row r="14" spans="1:12" ht="29" x14ac:dyDescent="0.35">
      <c r="A14" s="135">
        <v>2026</v>
      </c>
      <c r="B14" s="136">
        <v>4</v>
      </c>
      <c r="C14" s="133" t="s">
        <v>5</v>
      </c>
      <c r="D14" s="133" t="s">
        <v>12</v>
      </c>
      <c r="E14" s="133" t="s">
        <v>299</v>
      </c>
      <c r="F14" s="139">
        <v>8998</v>
      </c>
      <c r="G14" s="139">
        <v>8998</v>
      </c>
      <c r="H14" s="139">
        <f t="shared" si="0"/>
        <v>750</v>
      </c>
      <c r="I14" s="139">
        <v>222</v>
      </c>
      <c r="J14" s="141">
        <f t="shared" si="1"/>
        <v>0.29599999999999999</v>
      </c>
      <c r="K14" s="136" t="str">
        <f t="shared" si="2"/>
        <v>Belum Tercapai</v>
      </c>
      <c r="L14" s="143" t="s">
        <v>300</v>
      </c>
    </row>
    <row r="15" spans="1:12" ht="29" x14ac:dyDescent="0.35">
      <c r="A15" s="135">
        <v>2026</v>
      </c>
      <c r="B15" s="136">
        <v>4</v>
      </c>
      <c r="C15" s="133" t="s">
        <v>5</v>
      </c>
      <c r="D15" s="133" t="s">
        <v>12</v>
      </c>
      <c r="E15" s="133" t="s">
        <v>201</v>
      </c>
      <c r="F15" s="139">
        <v>444</v>
      </c>
      <c r="G15" s="139">
        <v>444</v>
      </c>
      <c r="H15" s="139">
        <f t="shared" si="0"/>
        <v>37</v>
      </c>
      <c r="I15" s="139">
        <v>21</v>
      </c>
      <c r="J15" s="141">
        <f t="shared" si="1"/>
        <v>0.56756756756756754</v>
      </c>
      <c r="K15" s="136" t="str">
        <f t="shared" si="2"/>
        <v>Belum Tercapai</v>
      </c>
      <c r="L15" s="143" t="s">
        <v>301</v>
      </c>
    </row>
    <row r="16" spans="1:12" ht="29" x14ac:dyDescent="0.35">
      <c r="A16" s="135">
        <v>2026</v>
      </c>
      <c r="B16" s="136">
        <v>4</v>
      </c>
      <c r="C16" s="133" t="s">
        <v>5</v>
      </c>
      <c r="D16" s="133" t="s">
        <v>12</v>
      </c>
      <c r="E16" s="133" t="s">
        <v>302</v>
      </c>
      <c r="F16" s="139">
        <v>111</v>
      </c>
      <c r="G16" s="139">
        <v>111</v>
      </c>
      <c r="H16" s="139">
        <f t="shared" si="0"/>
        <v>9</v>
      </c>
      <c r="I16" s="139">
        <v>6</v>
      </c>
      <c r="J16" s="141">
        <f t="shared" si="1"/>
        <v>0.66666666666666663</v>
      </c>
      <c r="K16" s="136" t="str">
        <f t="shared" si="2"/>
        <v>Belum Tercapai</v>
      </c>
      <c r="L16" s="143" t="s">
        <v>301</v>
      </c>
    </row>
    <row r="17" spans="1:12" x14ac:dyDescent="0.35">
      <c r="A17" s="135">
        <v>2026</v>
      </c>
      <c r="B17" s="136">
        <v>4</v>
      </c>
      <c r="C17" s="133" t="s">
        <v>5</v>
      </c>
      <c r="D17" s="133" t="s">
        <v>12</v>
      </c>
      <c r="E17" s="133" t="s">
        <v>92</v>
      </c>
      <c r="F17" s="139">
        <v>221</v>
      </c>
      <c r="G17" s="139">
        <v>221</v>
      </c>
      <c r="H17" s="139">
        <f t="shared" si="0"/>
        <v>19</v>
      </c>
      <c r="I17" s="139">
        <v>0</v>
      </c>
      <c r="J17" s="141">
        <f t="shared" si="1"/>
        <v>0</v>
      </c>
      <c r="K17" s="136" t="str">
        <f t="shared" si="2"/>
        <v>Belum Tercapai</v>
      </c>
      <c r="L17" s="143" t="s">
        <v>303</v>
      </c>
    </row>
    <row r="18" spans="1:12" ht="29" x14ac:dyDescent="0.35">
      <c r="A18" s="135">
        <v>2026</v>
      </c>
      <c r="B18" s="136">
        <v>5</v>
      </c>
      <c r="C18" s="133" t="s">
        <v>6</v>
      </c>
      <c r="D18" s="133" t="s">
        <v>12</v>
      </c>
      <c r="E18" s="133" t="s">
        <v>299</v>
      </c>
      <c r="F18" s="139">
        <v>8998</v>
      </c>
      <c r="G18" s="139">
        <v>8998</v>
      </c>
      <c r="H18" s="139">
        <f t="shared" si="0"/>
        <v>750</v>
      </c>
      <c r="I18" s="139">
        <v>295</v>
      </c>
      <c r="J18" s="141">
        <f t="shared" si="1"/>
        <v>0.39333333333333331</v>
      </c>
      <c r="K18" s="136" t="str">
        <f t="shared" si="2"/>
        <v>Belum Tercapai</v>
      </c>
      <c r="L18" s="143" t="s">
        <v>300</v>
      </c>
    </row>
    <row r="19" spans="1:12" ht="29" x14ac:dyDescent="0.35">
      <c r="A19" s="135">
        <v>2026</v>
      </c>
      <c r="B19" s="136">
        <v>5</v>
      </c>
      <c r="C19" s="133" t="s">
        <v>6</v>
      </c>
      <c r="D19" s="133" t="s">
        <v>12</v>
      </c>
      <c r="E19" s="133" t="s">
        <v>201</v>
      </c>
      <c r="F19" s="139">
        <v>444</v>
      </c>
      <c r="G19" s="139">
        <v>444</v>
      </c>
      <c r="H19" s="139">
        <f t="shared" si="0"/>
        <v>37</v>
      </c>
      <c r="I19" s="139">
        <v>7</v>
      </c>
      <c r="J19" s="141">
        <f t="shared" si="1"/>
        <v>0.1891891891891892</v>
      </c>
      <c r="K19" s="136" t="str">
        <f t="shared" si="2"/>
        <v>Belum Tercapai</v>
      </c>
      <c r="L19" s="143" t="s">
        <v>301</v>
      </c>
    </row>
    <row r="20" spans="1:12" ht="29" x14ac:dyDescent="0.35">
      <c r="A20" s="135">
        <v>2026</v>
      </c>
      <c r="B20" s="136">
        <v>5</v>
      </c>
      <c r="C20" s="133" t="s">
        <v>6</v>
      </c>
      <c r="D20" s="133" t="s">
        <v>12</v>
      </c>
      <c r="E20" s="133" t="s">
        <v>302</v>
      </c>
      <c r="F20" s="139">
        <v>111</v>
      </c>
      <c r="G20" s="139">
        <v>111</v>
      </c>
      <c r="H20" s="139">
        <f t="shared" si="0"/>
        <v>9</v>
      </c>
      <c r="I20" s="139">
        <v>9</v>
      </c>
      <c r="J20" s="141">
        <f t="shared" si="1"/>
        <v>1</v>
      </c>
      <c r="K20" s="136" t="str">
        <f t="shared" si="2"/>
        <v>Tercapai</v>
      </c>
      <c r="L20" s="143" t="s">
        <v>301</v>
      </c>
    </row>
    <row r="21" spans="1:12" x14ac:dyDescent="0.35">
      <c r="A21" s="135">
        <v>2026</v>
      </c>
      <c r="B21" s="136">
        <v>5</v>
      </c>
      <c r="C21" s="133" t="s">
        <v>6</v>
      </c>
      <c r="D21" s="133" t="s">
        <v>12</v>
      </c>
      <c r="E21" s="133" t="s">
        <v>92</v>
      </c>
      <c r="F21" s="139">
        <v>221</v>
      </c>
      <c r="G21" s="139">
        <v>221</v>
      </c>
      <c r="H21" s="139">
        <f t="shared" si="0"/>
        <v>19</v>
      </c>
      <c r="I21" s="139">
        <v>0</v>
      </c>
      <c r="J21" s="141">
        <f t="shared" si="1"/>
        <v>0</v>
      </c>
      <c r="K21" s="136" t="str">
        <f t="shared" si="2"/>
        <v>Belum Tercapai</v>
      </c>
      <c r="L21" s="143" t="s">
        <v>303</v>
      </c>
    </row>
    <row r="22" spans="1:12" ht="29" x14ac:dyDescent="0.35">
      <c r="A22" s="135">
        <v>2026</v>
      </c>
      <c r="B22" s="136">
        <v>6</v>
      </c>
      <c r="C22" s="133" t="s">
        <v>7</v>
      </c>
      <c r="D22" s="133" t="s">
        <v>12</v>
      </c>
      <c r="E22" s="133" t="s">
        <v>299</v>
      </c>
      <c r="F22" s="139">
        <v>8998</v>
      </c>
      <c r="G22" s="139">
        <v>8998</v>
      </c>
      <c r="H22" s="139">
        <f t="shared" si="0"/>
        <v>750</v>
      </c>
      <c r="I22" s="139">
        <v>481</v>
      </c>
      <c r="J22" s="141">
        <f t="shared" si="1"/>
        <v>0.64133333333333331</v>
      </c>
      <c r="K22" s="136" t="str">
        <f t="shared" si="2"/>
        <v>Belum Tercapai</v>
      </c>
      <c r="L22" s="143" t="s">
        <v>300</v>
      </c>
    </row>
    <row r="23" spans="1:12" ht="29" x14ac:dyDescent="0.35">
      <c r="A23" s="135">
        <v>2026</v>
      </c>
      <c r="B23" s="136">
        <v>6</v>
      </c>
      <c r="C23" s="133" t="s">
        <v>7</v>
      </c>
      <c r="D23" s="133" t="s">
        <v>12</v>
      </c>
      <c r="E23" s="133" t="s">
        <v>201</v>
      </c>
      <c r="F23" s="139">
        <v>444</v>
      </c>
      <c r="G23" s="139">
        <v>444</v>
      </c>
      <c r="H23" s="139">
        <f t="shared" si="0"/>
        <v>37</v>
      </c>
      <c r="I23" s="139">
        <v>12</v>
      </c>
      <c r="J23" s="141">
        <f t="shared" si="1"/>
        <v>0.32432432432432434</v>
      </c>
      <c r="K23" s="136" t="str">
        <f t="shared" si="2"/>
        <v>Belum Tercapai</v>
      </c>
      <c r="L23" s="143" t="s">
        <v>301</v>
      </c>
    </row>
    <row r="24" spans="1:12" ht="29" x14ac:dyDescent="0.35">
      <c r="A24" s="135">
        <v>2026</v>
      </c>
      <c r="B24" s="136">
        <v>6</v>
      </c>
      <c r="C24" s="133" t="s">
        <v>7</v>
      </c>
      <c r="D24" s="133" t="s">
        <v>12</v>
      </c>
      <c r="E24" s="133" t="s">
        <v>302</v>
      </c>
      <c r="F24" s="139">
        <v>111</v>
      </c>
      <c r="G24" s="139">
        <v>111</v>
      </c>
      <c r="H24" s="139">
        <f t="shared" si="0"/>
        <v>9</v>
      </c>
      <c r="I24" s="139">
        <v>4</v>
      </c>
      <c r="J24" s="141">
        <f t="shared" si="1"/>
        <v>0.44444444444444442</v>
      </c>
      <c r="K24" s="136" t="str">
        <f t="shared" si="2"/>
        <v>Belum Tercapai</v>
      </c>
      <c r="L24" s="143" t="s">
        <v>301</v>
      </c>
    </row>
    <row r="25" spans="1:12" x14ac:dyDescent="0.35">
      <c r="A25" s="135">
        <v>2026</v>
      </c>
      <c r="B25" s="136">
        <v>6</v>
      </c>
      <c r="C25" s="133" t="s">
        <v>7</v>
      </c>
      <c r="D25" s="133" t="s">
        <v>12</v>
      </c>
      <c r="E25" s="133" t="s">
        <v>92</v>
      </c>
      <c r="F25" s="139">
        <v>221</v>
      </c>
      <c r="G25" s="139">
        <v>221</v>
      </c>
      <c r="H25" s="139">
        <f t="shared" si="0"/>
        <v>18</v>
      </c>
      <c r="I25" s="139">
        <v>0</v>
      </c>
      <c r="J25" s="141">
        <f t="shared" si="1"/>
        <v>0</v>
      </c>
      <c r="K25" s="136" t="str">
        <f t="shared" si="2"/>
        <v>Belum Tercapai</v>
      </c>
      <c r="L25" s="143" t="s">
        <v>303</v>
      </c>
    </row>
    <row r="26" spans="1:12" ht="29" x14ac:dyDescent="0.35">
      <c r="A26" s="135">
        <v>2026</v>
      </c>
      <c r="B26" s="136">
        <v>1</v>
      </c>
      <c r="C26" s="133" t="s">
        <v>1</v>
      </c>
      <c r="D26" s="133" t="s">
        <v>13</v>
      </c>
      <c r="E26" s="133" t="s">
        <v>299</v>
      </c>
      <c r="F26" s="139">
        <v>3234</v>
      </c>
      <c r="G26" s="139">
        <v>3234</v>
      </c>
      <c r="H26" s="139">
        <f t="shared" si="0"/>
        <v>270</v>
      </c>
      <c r="I26" s="139">
        <v>112</v>
      </c>
      <c r="J26" s="141">
        <f t="shared" si="1"/>
        <v>0.4148148148148148</v>
      </c>
      <c r="K26" s="136" t="str">
        <f t="shared" si="2"/>
        <v>Belum Tercapai</v>
      </c>
      <c r="L26" s="143" t="s">
        <v>300</v>
      </c>
    </row>
    <row r="27" spans="1:12" ht="29" x14ac:dyDescent="0.35">
      <c r="A27" s="135">
        <v>2026</v>
      </c>
      <c r="B27" s="136">
        <v>1</v>
      </c>
      <c r="C27" s="133" t="s">
        <v>1</v>
      </c>
      <c r="D27" s="133" t="s">
        <v>13</v>
      </c>
      <c r="E27" s="133" t="s">
        <v>201</v>
      </c>
      <c r="F27" s="139">
        <v>160</v>
      </c>
      <c r="G27" s="139">
        <v>160</v>
      </c>
      <c r="H27" s="139">
        <f t="shared" si="0"/>
        <v>14</v>
      </c>
      <c r="I27" s="139">
        <v>26</v>
      </c>
      <c r="J27" s="141">
        <f t="shared" si="1"/>
        <v>1.8571428571428572</v>
      </c>
      <c r="K27" s="136" t="str">
        <f t="shared" si="2"/>
        <v>Tercapai</v>
      </c>
      <c r="L27" s="143" t="s">
        <v>301</v>
      </c>
    </row>
    <row r="28" spans="1:12" ht="29" x14ac:dyDescent="0.35">
      <c r="A28" s="135">
        <v>2026</v>
      </c>
      <c r="B28" s="136">
        <v>1</v>
      </c>
      <c r="C28" s="133" t="s">
        <v>1</v>
      </c>
      <c r="D28" s="133" t="s">
        <v>13</v>
      </c>
      <c r="E28" s="133" t="s">
        <v>302</v>
      </c>
      <c r="F28" s="139">
        <v>40</v>
      </c>
      <c r="G28" s="139">
        <v>40</v>
      </c>
      <c r="H28" s="139">
        <f t="shared" si="0"/>
        <v>4</v>
      </c>
      <c r="I28" s="139">
        <v>6</v>
      </c>
      <c r="J28" s="141">
        <f t="shared" si="1"/>
        <v>1.5</v>
      </c>
      <c r="K28" s="136" t="str">
        <f t="shared" si="2"/>
        <v>Tercapai</v>
      </c>
      <c r="L28" s="143" t="s">
        <v>301</v>
      </c>
    </row>
    <row r="29" spans="1:12" x14ac:dyDescent="0.35">
      <c r="A29" s="135">
        <v>2026</v>
      </c>
      <c r="B29" s="136">
        <v>1</v>
      </c>
      <c r="C29" s="133" t="s">
        <v>1</v>
      </c>
      <c r="D29" s="133" t="s">
        <v>13</v>
      </c>
      <c r="E29" s="133" t="s">
        <v>92</v>
      </c>
      <c r="F29" s="139">
        <v>79</v>
      </c>
      <c r="G29" s="139">
        <v>79</v>
      </c>
      <c r="H29" s="139">
        <f t="shared" si="0"/>
        <v>7</v>
      </c>
      <c r="I29" s="139">
        <v>0</v>
      </c>
      <c r="J29" s="141">
        <f t="shared" si="1"/>
        <v>0</v>
      </c>
      <c r="K29" s="136" t="str">
        <f t="shared" si="2"/>
        <v>Belum Tercapai</v>
      </c>
      <c r="L29" s="143" t="s">
        <v>303</v>
      </c>
    </row>
    <row r="30" spans="1:12" ht="29" x14ac:dyDescent="0.35">
      <c r="A30" s="135">
        <v>2026</v>
      </c>
      <c r="B30" s="136">
        <v>2</v>
      </c>
      <c r="C30" s="133" t="s">
        <v>2</v>
      </c>
      <c r="D30" s="133" t="s">
        <v>13</v>
      </c>
      <c r="E30" s="133" t="s">
        <v>299</v>
      </c>
      <c r="F30" s="139">
        <v>3234</v>
      </c>
      <c r="G30" s="139">
        <v>3234</v>
      </c>
      <c r="H30" s="139">
        <f t="shared" si="0"/>
        <v>270</v>
      </c>
      <c r="I30" s="139">
        <v>244</v>
      </c>
      <c r="J30" s="141">
        <f t="shared" si="1"/>
        <v>0.90370370370370368</v>
      </c>
      <c r="K30" s="136" t="str">
        <f t="shared" si="2"/>
        <v>Belum Tercapai</v>
      </c>
      <c r="L30" s="143" t="s">
        <v>300</v>
      </c>
    </row>
    <row r="31" spans="1:12" ht="29" x14ac:dyDescent="0.35">
      <c r="A31" s="135">
        <v>2026</v>
      </c>
      <c r="B31" s="136">
        <v>2</v>
      </c>
      <c r="C31" s="133" t="s">
        <v>2</v>
      </c>
      <c r="D31" s="133" t="s">
        <v>13</v>
      </c>
      <c r="E31" s="133" t="s">
        <v>201</v>
      </c>
      <c r="F31" s="139">
        <v>160</v>
      </c>
      <c r="G31" s="139">
        <v>160</v>
      </c>
      <c r="H31" s="139">
        <f t="shared" si="0"/>
        <v>14</v>
      </c>
      <c r="I31" s="139">
        <v>16</v>
      </c>
      <c r="J31" s="141">
        <f t="shared" si="1"/>
        <v>1.1428571428571428</v>
      </c>
      <c r="K31" s="136" t="str">
        <f t="shared" si="2"/>
        <v>Tercapai</v>
      </c>
      <c r="L31" s="143" t="s">
        <v>301</v>
      </c>
    </row>
    <row r="32" spans="1:12" ht="29" x14ac:dyDescent="0.35">
      <c r="A32" s="135">
        <v>2026</v>
      </c>
      <c r="B32" s="136">
        <v>2</v>
      </c>
      <c r="C32" s="133" t="s">
        <v>2</v>
      </c>
      <c r="D32" s="133" t="s">
        <v>13</v>
      </c>
      <c r="E32" s="133" t="s">
        <v>302</v>
      </c>
      <c r="F32" s="139">
        <v>40</v>
      </c>
      <c r="G32" s="139">
        <v>40</v>
      </c>
      <c r="H32" s="139">
        <f t="shared" si="0"/>
        <v>4</v>
      </c>
      <c r="I32" s="139">
        <v>8</v>
      </c>
      <c r="J32" s="141">
        <f t="shared" si="1"/>
        <v>2</v>
      </c>
      <c r="K32" s="136" t="str">
        <f t="shared" si="2"/>
        <v>Tercapai</v>
      </c>
      <c r="L32" s="143" t="s">
        <v>301</v>
      </c>
    </row>
    <row r="33" spans="1:12" x14ac:dyDescent="0.35">
      <c r="A33" s="135">
        <v>2026</v>
      </c>
      <c r="B33" s="136">
        <v>2</v>
      </c>
      <c r="C33" s="133" t="s">
        <v>2</v>
      </c>
      <c r="D33" s="133" t="s">
        <v>13</v>
      </c>
      <c r="E33" s="133" t="s">
        <v>92</v>
      </c>
      <c r="F33" s="139">
        <v>79</v>
      </c>
      <c r="G33" s="139">
        <v>79</v>
      </c>
      <c r="H33" s="139">
        <f t="shared" si="0"/>
        <v>7</v>
      </c>
      <c r="I33" s="139">
        <v>0</v>
      </c>
      <c r="J33" s="141">
        <f t="shared" si="1"/>
        <v>0</v>
      </c>
      <c r="K33" s="136" t="str">
        <f t="shared" si="2"/>
        <v>Belum Tercapai</v>
      </c>
      <c r="L33" s="143" t="s">
        <v>303</v>
      </c>
    </row>
    <row r="34" spans="1:12" ht="29" x14ac:dyDescent="0.35">
      <c r="A34" s="135">
        <v>2026</v>
      </c>
      <c r="B34" s="136">
        <v>3</v>
      </c>
      <c r="C34" s="133" t="s">
        <v>3</v>
      </c>
      <c r="D34" s="133" t="s">
        <v>13</v>
      </c>
      <c r="E34" s="133" t="s">
        <v>299</v>
      </c>
      <c r="F34" s="139">
        <v>3234</v>
      </c>
      <c r="G34" s="139">
        <v>3234</v>
      </c>
      <c r="H34" s="139">
        <f t="shared" si="0"/>
        <v>270</v>
      </c>
      <c r="I34" s="139">
        <v>120</v>
      </c>
      <c r="J34" s="141">
        <f t="shared" si="1"/>
        <v>0.44444444444444442</v>
      </c>
      <c r="K34" s="136" t="str">
        <f t="shared" si="2"/>
        <v>Belum Tercapai</v>
      </c>
      <c r="L34" s="143" t="s">
        <v>300</v>
      </c>
    </row>
    <row r="35" spans="1:12" ht="29" x14ac:dyDescent="0.35">
      <c r="A35" s="135">
        <v>2026</v>
      </c>
      <c r="B35" s="136">
        <v>3</v>
      </c>
      <c r="C35" s="133" t="s">
        <v>3</v>
      </c>
      <c r="D35" s="133" t="s">
        <v>13</v>
      </c>
      <c r="E35" s="133" t="s">
        <v>201</v>
      </c>
      <c r="F35" s="139">
        <v>160</v>
      </c>
      <c r="G35" s="139">
        <v>160</v>
      </c>
      <c r="H35" s="139">
        <f t="shared" si="0"/>
        <v>14</v>
      </c>
      <c r="I35" s="139">
        <v>36</v>
      </c>
      <c r="J35" s="141">
        <f t="shared" si="1"/>
        <v>2.5714285714285716</v>
      </c>
      <c r="K35" s="136" t="str">
        <f t="shared" si="2"/>
        <v>Tercapai</v>
      </c>
      <c r="L35" s="143" t="s">
        <v>301</v>
      </c>
    </row>
    <row r="36" spans="1:12" ht="29" x14ac:dyDescent="0.35">
      <c r="A36" s="135">
        <v>2026</v>
      </c>
      <c r="B36" s="136">
        <v>3</v>
      </c>
      <c r="C36" s="133" t="s">
        <v>3</v>
      </c>
      <c r="D36" s="133" t="s">
        <v>13</v>
      </c>
      <c r="E36" s="133" t="s">
        <v>302</v>
      </c>
      <c r="F36" s="139">
        <v>40</v>
      </c>
      <c r="G36" s="139">
        <v>40</v>
      </c>
      <c r="H36" s="139">
        <f t="shared" si="0"/>
        <v>4</v>
      </c>
      <c r="I36" s="139">
        <v>2</v>
      </c>
      <c r="J36" s="141">
        <f t="shared" si="1"/>
        <v>0.5</v>
      </c>
      <c r="K36" s="136" t="str">
        <f t="shared" si="2"/>
        <v>Belum Tercapai</v>
      </c>
      <c r="L36" s="143" t="s">
        <v>301</v>
      </c>
    </row>
    <row r="37" spans="1:12" x14ac:dyDescent="0.35">
      <c r="A37" s="135">
        <v>2026</v>
      </c>
      <c r="B37" s="136">
        <v>3</v>
      </c>
      <c r="C37" s="133" t="s">
        <v>3</v>
      </c>
      <c r="D37" s="133" t="s">
        <v>13</v>
      </c>
      <c r="E37" s="133" t="s">
        <v>92</v>
      </c>
      <c r="F37" s="139">
        <v>79</v>
      </c>
      <c r="G37" s="139">
        <v>79</v>
      </c>
      <c r="H37" s="139">
        <f t="shared" si="0"/>
        <v>7</v>
      </c>
      <c r="I37" s="139">
        <v>0</v>
      </c>
      <c r="J37" s="141">
        <f t="shared" si="1"/>
        <v>0</v>
      </c>
      <c r="K37" s="136" t="str">
        <f t="shared" si="2"/>
        <v>Belum Tercapai</v>
      </c>
      <c r="L37" s="143" t="s">
        <v>303</v>
      </c>
    </row>
    <row r="38" spans="1:12" ht="29" x14ac:dyDescent="0.35">
      <c r="A38" s="135">
        <v>2026</v>
      </c>
      <c r="B38" s="136">
        <v>4</v>
      </c>
      <c r="C38" s="133" t="s">
        <v>5</v>
      </c>
      <c r="D38" s="133" t="s">
        <v>13</v>
      </c>
      <c r="E38" s="133" t="s">
        <v>299</v>
      </c>
      <c r="F38" s="139">
        <v>3234</v>
      </c>
      <c r="G38" s="139">
        <v>3234</v>
      </c>
      <c r="H38" s="139">
        <f t="shared" si="0"/>
        <v>270</v>
      </c>
      <c r="I38" s="139">
        <v>133</v>
      </c>
      <c r="J38" s="141">
        <f t="shared" si="1"/>
        <v>0.49259259259259258</v>
      </c>
      <c r="K38" s="136" t="str">
        <f t="shared" si="2"/>
        <v>Belum Tercapai</v>
      </c>
      <c r="L38" s="143" t="s">
        <v>300</v>
      </c>
    </row>
    <row r="39" spans="1:12" ht="29" x14ac:dyDescent="0.35">
      <c r="A39" s="135">
        <v>2026</v>
      </c>
      <c r="B39" s="136">
        <v>4</v>
      </c>
      <c r="C39" s="133" t="s">
        <v>5</v>
      </c>
      <c r="D39" s="133" t="s">
        <v>13</v>
      </c>
      <c r="E39" s="133" t="s">
        <v>201</v>
      </c>
      <c r="F39" s="139">
        <v>160</v>
      </c>
      <c r="G39" s="139">
        <v>160</v>
      </c>
      <c r="H39" s="139">
        <f t="shared" si="0"/>
        <v>14</v>
      </c>
      <c r="I39" s="139">
        <v>13</v>
      </c>
      <c r="J39" s="141">
        <f t="shared" si="1"/>
        <v>0.9285714285714286</v>
      </c>
      <c r="K39" s="136" t="str">
        <f t="shared" si="2"/>
        <v>Belum Tercapai</v>
      </c>
      <c r="L39" s="143" t="s">
        <v>301</v>
      </c>
    </row>
    <row r="40" spans="1:12" ht="29" x14ac:dyDescent="0.35">
      <c r="A40" s="135">
        <v>2026</v>
      </c>
      <c r="B40" s="136">
        <v>4</v>
      </c>
      <c r="C40" s="133" t="s">
        <v>5</v>
      </c>
      <c r="D40" s="133" t="s">
        <v>13</v>
      </c>
      <c r="E40" s="133" t="s">
        <v>302</v>
      </c>
      <c r="F40" s="139">
        <v>40</v>
      </c>
      <c r="G40" s="139">
        <v>40</v>
      </c>
      <c r="H40" s="139">
        <f t="shared" si="0"/>
        <v>4</v>
      </c>
      <c r="I40" s="139">
        <v>7</v>
      </c>
      <c r="J40" s="141">
        <f t="shared" si="1"/>
        <v>1.75</v>
      </c>
      <c r="K40" s="136" t="str">
        <f t="shared" si="2"/>
        <v>Tercapai</v>
      </c>
      <c r="L40" s="143" t="s">
        <v>301</v>
      </c>
    </row>
    <row r="41" spans="1:12" x14ac:dyDescent="0.35">
      <c r="A41" s="135">
        <v>2026</v>
      </c>
      <c r="B41" s="136">
        <v>4</v>
      </c>
      <c r="C41" s="133" t="s">
        <v>5</v>
      </c>
      <c r="D41" s="133" t="s">
        <v>13</v>
      </c>
      <c r="E41" s="133" t="s">
        <v>92</v>
      </c>
      <c r="F41" s="139">
        <v>79</v>
      </c>
      <c r="G41" s="139">
        <v>79</v>
      </c>
      <c r="H41" s="139">
        <f t="shared" si="0"/>
        <v>7</v>
      </c>
      <c r="I41" s="139">
        <v>0</v>
      </c>
      <c r="J41" s="141">
        <f t="shared" si="1"/>
        <v>0</v>
      </c>
      <c r="K41" s="136" t="str">
        <f t="shared" si="2"/>
        <v>Belum Tercapai</v>
      </c>
      <c r="L41" s="143" t="s">
        <v>303</v>
      </c>
    </row>
    <row r="42" spans="1:12" ht="29" x14ac:dyDescent="0.35">
      <c r="A42" s="135">
        <v>2026</v>
      </c>
      <c r="B42" s="136">
        <v>5</v>
      </c>
      <c r="C42" s="133" t="s">
        <v>6</v>
      </c>
      <c r="D42" s="133" t="s">
        <v>13</v>
      </c>
      <c r="E42" s="133" t="s">
        <v>299</v>
      </c>
      <c r="F42" s="139">
        <v>3234</v>
      </c>
      <c r="G42" s="139">
        <v>3234</v>
      </c>
      <c r="H42" s="139">
        <f t="shared" si="0"/>
        <v>270</v>
      </c>
      <c r="I42" s="139">
        <v>117</v>
      </c>
      <c r="J42" s="141">
        <f t="shared" si="1"/>
        <v>0.43333333333333335</v>
      </c>
      <c r="K42" s="136" t="str">
        <f t="shared" si="2"/>
        <v>Belum Tercapai</v>
      </c>
      <c r="L42" s="143" t="s">
        <v>300</v>
      </c>
    </row>
    <row r="43" spans="1:12" ht="29" x14ac:dyDescent="0.35">
      <c r="A43" s="135">
        <v>2026</v>
      </c>
      <c r="B43" s="136">
        <v>5</v>
      </c>
      <c r="C43" s="133" t="s">
        <v>6</v>
      </c>
      <c r="D43" s="133" t="s">
        <v>13</v>
      </c>
      <c r="E43" s="133" t="s">
        <v>201</v>
      </c>
      <c r="F43" s="139">
        <v>160</v>
      </c>
      <c r="G43" s="139">
        <v>160</v>
      </c>
      <c r="H43" s="139">
        <f t="shared" si="0"/>
        <v>13</v>
      </c>
      <c r="I43" s="139">
        <v>7</v>
      </c>
      <c r="J43" s="141">
        <f t="shared" si="1"/>
        <v>0.53846153846153844</v>
      </c>
      <c r="K43" s="136" t="str">
        <f t="shared" si="2"/>
        <v>Belum Tercapai</v>
      </c>
      <c r="L43" s="143" t="s">
        <v>301</v>
      </c>
    </row>
    <row r="44" spans="1:12" ht="29" x14ac:dyDescent="0.35">
      <c r="A44" s="135">
        <v>2026</v>
      </c>
      <c r="B44" s="136">
        <v>5</v>
      </c>
      <c r="C44" s="133" t="s">
        <v>6</v>
      </c>
      <c r="D44" s="133" t="s">
        <v>13</v>
      </c>
      <c r="E44" s="133" t="s">
        <v>302</v>
      </c>
      <c r="F44" s="139">
        <v>40</v>
      </c>
      <c r="G44" s="139">
        <v>40</v>
      </c>
      <c r="H44" s="139">
        <f t="shared" si="0"/>
        <v>3</v>
      </c>
      <c r="I44" s="139">
        <v>5</v>
      </c>
      <c r="J44" s="141">
        <f t="shared" si="1"/>
        <v>1.6666666666666667</v>
      </c>
      <c r="K44" s="136" t="str">
        <f t="shared" si="2"/>
        <v>Tercapai</v>
      </c>
      <c r="L44" s="143" t="s">
        <v>301</v>
      </c>
    </row>
    <row r="45" spans="1:12" x14ac:dyDescent="0.35">
      <c r="A45" s="135">
        <v>2026</v>
      </c>
      <c r="B45" s="136">
        <v>5</v>
      </c>
      <c r="C45" s="133" t="s">
        <v>6</v>
      </c>
      <c r="D45" s="133" t="s">
        <v>13</v>
      </c>
      <c r="E45" s="133" t="s">
        <v>92</v>
      </c>
      <c r="F45" s="139">
        <v>79</v>
      </c>
      <c r="G45" s="139">
        <v>79</v>
      </c>
      <c r="H45" s="139">
        <f t="shared" si="0"/>
        <v>7</v>
      </c>
      <c r="I45" s="139">
        <v>0</v>
      </c>
      <c r="J45" s="141">
        <f t="shared" si="1"/>
        <v>0</v>
      </c>
      <c r="K45" s="136" t="str">
        <f t="shared" si="2"/>
        <v>Belum Tercapai</v>
      </c>
      <c r="L45" s="143" t="s">
        <v>303</v>
      </c>
    </row>
    <row r="46" spans="1:12" ht="29" x14ac:dyDescent="0.35">
      <c r="A46" s="135">
        <v>2026</v>
      </c>
      <c r="B46" s="136">
        <v>6</v>
      </c>
      <c r="C46" s="133" t="s">
        <v>7</v>
      </c>
      <c r="D46" s="133" t="s">
        <v>13</v>
      </c>
      <c r="E46" s="133" t="s">
        <v>299</v>
      </c>
      <c r="F46" s="139">
        <v>3234</v>
      </c>
      <c r="G46" s="139">
        <v>3234</v>
      </c>
      <c r="H46" s="139">
        <f t="shared" si="0"/>
        <v>270</v>
      </c>
      <c r="I46" s="139">
        <v>214</v>
      </c>
      <c r="J46" s="141">
        <f t="shared" si="1"/>
        <v>0.79259259259259263</v>
      </c>
      <c r="K46" s="136" t="str">
        <f t="shared" si="2"/>
        <v>Belum Tercapai</v>
      </c>
      <c r="L46" s="143" t="s">
        <v>300</v>
      </c>
    </row>
    <row r="47" spans="1:12" ht="29" x14ac:dyDescent="0.35">
      <c r="A47" s="135">
        <v>2026</v>
      </c>
      <c r="B47" s="136">
        <v>6</v>
      </c>
      <c r="C47" s="133" t="s">
        <v>7</v>
      </c>
      <c r="D47" s="133" t="s">
        <v>13</v>
      </c>
      <c r="E47" s="133" t="s">
        <v>201</v>
      </c>
      <c r="F47" s="139">
        <v>160</v>
      </c>
      <c r="G47" s="139">
        <v>160</v>
      </c>
      <c r="H47" s="139">
        <f t="shared" si="0"/>
        <v>13</v>
      </c>
      <c r="I47" s="139">
        <v>105</v>
      </c>
      <c r="J47" s="141">
        <f t="shared" si="1"/>
        <v>8.0769230769230766</v>
      </c>
      <c r="K47" s="136" t="str">
        <f t="shared" si="2"/>
        <v>Tercapai</v>
      </c>
      <c r="L47" s="143" t="s">
        <v>301</v>
      </c>
    </row>
    <row r="48" spans="1:12" ht="29" x14ac:dyDescent="0.35">
      <c r="A48" s="135">
        <v>2026</v>
      </c>
      <c r="B48" s="136">
        <v>6</v>
      </c>
      <c r="C48" s="133" t="s">
        <v>7</v>
      </c>
      <c r="D48" s="133" t="s">
        <v>13</v>
      </c>
      <c r="E48" s="133" t="s">
        <v>302</v>
      </c>
      <c r="F48" s="139">
        <v>40</v>
      </c>
      <c r="G48" s="139">
        <v>40</v>
      </c>
      <c r="H48" s="139">
        <f t="shared" si="0"/>
        <v>3</v>
      </c>
      <c r="I48" s="139">
        <v>6</v>
      </c>
      <c r="J48" s="141">
        <f t="shared" si="1"/>
        <v>2</v>
      </c>
      <c r="K48" s="136" t="str">
        <f t="shared" si="2"/>
        <v>Tercapai</v>
      </c>
      <c r="L48" s="143" t="s">
        <v>301</v>
      </c>
    </row>
    <row r="49" spans="1:12" x14ac:dyDescent="0.35">
      <c r="A49" s="135">
        <v>2026</v>
      </c>
      <c r="B49" s="136">
        <v>6</v>
      </c>
      <c r="C49" s="133" t="s">
        <v>7</v>
      </c>
      <c r="D49" s="133" t="s">
        <v>13</v>
      </c>
      <c r="E49" s="133" t="s">
        <v>92</v>
      </c>
      <c r="F49" s="139">
        <v>79</v>
      </c>
      <c r="G49" s="139">
        <v>79</v>
      </c>
      <c r="H49" s="139">
        <f t="shared" si="0"/>
        <v>7</v>
      </c>
      <c r="I49" s="139">
        <v>0</v>
      </c>
      <c r="J49" s="141">
        <f t="shared" si="1"/>
        <v>0</v>
      </c>
      <c r="K49" s="136" t="str">
        <f t="shared" si="2"/>
        <v>Belum Tercapai</v>
      </c>
      <c r="L49" s="143" t="s">
        <v>303</v>
      </c>
    </row>
    <row r="50" spans="1:12" ht="29" x14ac:dyDescent="0.35">
      <c r="A50" s="135">
        <v>2026</v>
      </c>
      <c r="B50" s="136">
        <v>1</v>
      </c>
      <c r="C50" s="133" t="s">
        <v>1</v>
      </c>
      <c r="D50" s="133" t="s">
        <v>14</v>
      </c>
      <c r="E50" s="133" t="s">
        <v>299</v>
      </c>
      <c r="F50" s="139">
        <v>5429</v>
      </c>
      <c r="G50" s="139">
        <v>5429</v>
      </c>
      <c r="H50" s="139">
        <f t="shared" si="0"/>
        <v>453</v>
      </c>
      <c r="I50" s="139">
        <v>107</v>
      </c>
      <c r="J50" s="141">
        <f t="shared" si="1"/>
        <v>0.23620309050772628</v>
      </c>
      <c r="K50" s="136" t="str">
        <f t="shared" si="2"/>
        <v>Belum Tercapai</v>
      </c>
      <c r="L50" s="143" t="s">
        <v>300</v>
      </c>
    </row>
    <row r="51" spans="1:12" ht="29" x14ac:dyDescent="0.35">
      <c r="A51" s="135">
        <v>2026</v>
      </c>
      <c r="B51" s="136">
        <v>1</v>
      </c>
      <c r="C51" s="133" t="s">
        <v>1</v>
      </c>
      <c r="D51" s="133" t="s">
        <v>14</v>
      </c>
      <c r="E51" s="133" t="s">
        <v>201</v>
      </c>
      <c r="F51" s="139">
        <v>271</v>
      </c>
      <c r="G51" s="139">
        <v>271</v>
      </c>
      <c r="H51" s="139">
        <f t="shared" si="0"/>
        <v>23</v>
      </c>
      <c r="I51" s="139">
        <v>0</v>
      </c>
      <c r="J51" s="141">
        <f t="shared" si="1"/>
        <v>0</v>
      </c>
      <c r="K51" s="136" t="str">
        <f t="shared" si="2"/>
        <v>Belum Tercapai</v>
      </c>
      <c r="L51" s="143" t="s">
        <v>301</v>
      </c>
    </row>
    <row r="52" spans="1:12" ht="29" x14ac:dyDescent="0.35">
      <c r="A52" s="135">
        <v>2026</v>
      </c>
      <c r="B52" s="136">
        <v>1</v>
      </c>
      <c r="C52" s="133" t="s">
        <v>1</v>
      </c>
      <c r="D52" s="133" t="s">
        <v>14</v>
      </c>
      <c r="E52" s="133" t="s">
        <v>302</v>
      </c>
      <c r="F52" s="139">
        <v>67</v>
      </c>
      <c r="G52" s="139">
        <v>67</v>
      </c>
      <c r="H52" s="139">
        <f t="shared" si="0"/>
        <v>6</v>
      </c>
      <c r="I52" s="139">
        <v>1</v>
      </c>
      <c r="J52" s="141">
        <f t="shared" si="1"/>
        <v>0.16666666666666666</v>
      </c>
      <c r="K52" s="136" t="str">
        <f t="shared" si="2"/>
        <v>Belum Tercapai</v>
      </c>
      <c r="L52" s="143" t="s">
        <v>301</v>
      </c>
    </row>
    <row r="53" spans="1:12" x14ac:dyDescent="0.35">
      <c r="A53" s="135">
        <v>2026</v>
      </c>
      <c r="B53" s="136">
        <v>1</v>
      </c>
      <c r="C53" s="133" t="s">
        <v>1</v>
      </c>
      <c r="D53" s="133" t="s">
        <v>14</v>
      </c>
      <c r="E53" s="133" t="s">
        <v>92</v>
      </c>
      <c r="F53" s="139">
        <v>147</v>
      </c>
      <c r="G53" s="139">
        <v>147</v>
      </c>
      <c r="H53" s="139">
        <f t="shared" si="0"/>
        <v>13</v>
      </c>
      <c r="I53" s="139">
        <v>0</v>
      </c>
      <c r="J53" s="141">
        <f t="shared" si="1"/>
        <v>0</v>
      </c>
      <c r="K53" s="136" t="str">
        <f t="shared" si="2"/>
        <v>Belum Tercapai</v>
      </c>
      <c r="L53" s="143" t="s">
        <v>303</v>
      </c>
    </row>
    <row r="54" spans="1:12" ht="29" x14ac:dyDescent="0.35">
      <c r="A54" s="135">
        <v>2026</v>
      </c>
      <c r="B54" s="136">
        <v>2</v>
      </c>
      <c r="C54" s="133" t="s">
        <v>2</v>
      </c>
      <c r="D54" s="133" t="s">
        <v>14</v>
      </c>
      <c r="E54" s="133" t="s">
        <v>299</v>
      </c>
      <c r="F54" s="139">
        <v>5429</v>
      </c>
      <c r="G54" s="139">
        <v>5429</v>
      </c>
      <c r="H54" s="139">
        <f t="shared" si="0"/>
        <v>453</v>
      </c>
      <c r="I54" s="139">
        <v>105</v>
      </c>
      <c r="J54" s="141">
        <f t="shared" si="1"/>
        <v>0.23178807947019867</v>
      </c>
      <c r="K54" s="136" t="str">
        <f t="shared" si="2"/>
        <v>Belum Tercapai</v>
      </c>
      <c r="L54" s="143" t="s">
        <v>300</v>
      </c>
    </row>
    <row r="55" spans="1:12" ht="29" x14ac:dyDescent="0.35">
      <c r="A55" s="135">
        <v>2026</v>
      </c>
      <c r="B55" s="136">
        <v>2</v>
      </c>
      <c r="C55" s="133" t="s">
        <v>2</v>
      </c>
      <c r="D55" s="133" t="s">
        <v>14</v>
      </c>
      <c r="E55" s="133" t="s">
        <v>201</v>
      </c>
      <c r="F55" s="139">
        <v>271</v>
      </c>
      <c r="G55" s="139">
        <v>271</v>
      </c>
      <c r="H55" s="139">
        <f t="shared" si="0"/>
        <v>23</v>
      </c>
      <c r="I55" s="139">
        <v>0</v>
      </c>
      <c r="J55" s="141">
        <f t="shared" si="1"/>
        <v>0</v>
      </c>
      <c r="K55" s="136" t="str">
        <f t="shared" si="2"/>
        <v>Belum Tercapai</v>
      </c>
      <c r="L55" s="143" t="s">
        <v>301</v>
      </c>
    </row>
    <row r="56" spans="1:12" ht="29" x14ac:dyDescent="0.35">
      <c r="A56" s="135">
        <v>2026</v>
      </c>
      <c r="B56" s="136">
        <v>2</v>
      </c>
      <c r="C56" s="133" t="s">
        <v>2</v>
      </c>
      <c r="D56" s="133" t="s">
        <v>14</v>
      </c>
      <c r="E56" s="133" t="s">
        <v>302</v>
      </c>
      <c r="F56" s="139">
        <v>67</v>
      </c>
      <c r="G56" s="139">
        <v>67</v>
      </c>
      <c r="H56" s="139">
        <f t="shared" si="0"/>
        <v>6</v>
      </c>
      <c r="I56" s="139">
        <v>0</v>
      </c>
      <c r="J56" s="141">
        <f t="shared" si="1"/>
        <v>0</v>
      </c>
      <c r="K56" s="136" t="str">
        <f t="shared" si="2"/>
        <v>Belum Tercapai</v>
      </c>
      <c r="L56" s="143" t="s">
        <v>301</v>
      </c>
    </row>
    <row r="57" spans="1:12" x14ac:dyDescent="0.35">
      <c r="A57" s="135">
        <v>2026</v>
      </c>
      <c r="B57" s="136">
        <v>2</v>
      </c>
      <c r="C57" s="133" t="s">
        <v>2</v>
      </c>
      <c r="D57" s="133" t="s">
        <v>14</v>
      </c>
      <c r="E57" s="133" t="s">
        <v>92</v>
      </c>
      <c r="F57" s="139">
        <v>147</v>
      </c>
      <c r="G57" s="139">
        <v>147</v>
      </c>
      <c r="H57" s="139">
        <f t="shared" si="0"/>
        <v>13</v>
      </c>
      <c r="I57" s="139">
        <v>0</v>
      </c>
      <c r="J57" s="141">
        <f t="shared" si="1"/>
        <v>0</v>
      </c>
      <c r="K57" s="136" t="str">
        <f t="shared" si="2"/>
        <v>Belum Tercapai</v>
      </c>
      <c r="L57" s="143" t="s">
        <v>303</v>
      </c>
    </row>
    <row r="58" spans="1:12" ht="29" x14ac:dyDescent="0.35">
      <c r="A58" s="135">
        <v>2026</v>
      </c>
      <c r="B58" s="136">
        <v>3</v>
      </c>
      <c r="C58" s="133" t="s">
        <v>3</v>
      </c>
      <c r="D58" s="133" t="s">
        <v>14</v>
      </c>
      <c r="E58" s="133" t="s">
        <v>299</v>
      </c>
      <c r="F58" s="139">
        <v>5429</v>
      </c>
      <c r="G58" s="139">
        <v>5429</v>
      </c>
      <c r="H58" s="139">
        <f t="shared" si="0"/>
        <v>453</v>
      </c>
      <c r="I58" s="139">
        <v>86</v>
      </c>
      <c r="J58" s="141">
        <f t="shared" si="1"/>
        <v>0.18984547461368653</v>
      </c>
      <c r="K58" s="136" t="str">
        <f t="shared" si="2"/>
        <v>Belum Tercapai</v>
      </c>
      <c r="L58" s="143" t="s">
        <v>300</v>
      </c>
    </row>
    <row r="59" spans="1:12" ht="29" x14ac:dyDescent="0.35">
      <c r="A59" s="135">
        <v>2026</v>
      </c>
      <c r="B59" s="136">
        <v>3</v>
      </c>
      <c r="C59" s="133" t="s">
        <v>3</v>
      </c>
      <c r="D59" s="133" t="s">
        <v>14</v>
      </c>
      <c r="E59" s="133" t="s">
        <v>201</v>
      </c>
      <c r="F59" s="139">
        <v>271</v>
      </c>
      <c r="G59" s="139">
        <v>271</v>
      </c>
      <c r="H59" s="139">
        <f t="shared" si="0"/>
        <v>23</v>
      </c>
      <c r="I59" s="139">
        <v>6</v>
      </c>
      <c r="J59" s="141">
        <f t="shared" si="1"/>
        <v>0.2608695652173913</v>
      </c>
      <c r="K59" s="136" t="str">
        <f t="shared" si="2"/>
        <v>Belum Tercapai</v>
      </c>
      <c r="L59" s="143" t="s">
        <v>301</v>
      </c>
    </row>
    <row r="60" spans="1:12" ht="29" x14ac:dyDescent="0.35">
      <c r="A60" s="135">
        <v>2026</v>
      </c>
      <c r="B60" s="136">
        <v>3</v>
      </c>
      <c r="C60" s="133" t="s">
        <v>3</v>
      </c>
      <c r="D60" s="133" t="s">
        <v>14</v>
      </c>
      <c r="E60" s="133" t="s">
        <v>302</v>
      </c>
      <c r="F60" s="139">
        <v>67</v>
      </c>
      <c r="G60" s="139">
        <v>67</v>
      </c>
      <c r="H60" s="139">
        <f t="shared" si="0"/>
        <v>6</v>
      </c>
      <c r="I60" s="139">
        <v>0</v>
      </c>
      <c r="J60" s="141">
        <f t="shared" si="1"/>
        <v>0</v>
      </c>
      <c r="K60" s="136" t="str">
        <f t="shared" si="2"/>
        <v>Belum Tercapai</v>
      </c>
      <c r="L60" s="143" t="s">
        <v>301</v>
      </c>
    </row>
    <row r="61" spans="1:12" x14ac:dyDescent="0.35">
      <c r="A61" s="135">
        <v>2026</v>
      </c>
      <c r="B61" s="136">
        <v>3</v>
      </c>
      <c r="C61" s="133" t="s">
        <v>3</v>
      </c>
      <c r="D61" s="133" t="s">
        <v>14</v>
      </c>
      <c r="E61" s="133" t="s">
        <v>92</v>
      </c>
      <c r="F61" s="139">
        <v>147</v>
      </c>
      <c r="G61" s="139">
        <v>147</v>
      </c>
      <c r="H61" s="139">
        <f t="shared" si="0"/>
        <v>13</v>
      </c>
      <c r="I61" s="139">
        <v>0</v>
      </c>
      <c r="J61" s="141">
        <f t="shared" si="1"/>
        <v>0</v>
      </c>
      <c r="K61" s="136" t="str">
        <f t="shared" si="2"/>
        <v>Belum Tercapai</v>
      </c>
      <c r="L61" s="143" t="s">
        <v>303</v>
      </c>
    </row>
    <row r="62" spans="1:12" ht="29" x14ac:dyDescent="0.35">
      <c r="A62" s="135">
        <v>2026</v>
      </c>
      <c r="B62" s="136">
        <v>4</v>
      </c>
      <c r="C62" s="133" t="s">
        <v>5</v>
      </c>
      <c r="D62" s="133" t="s">
        <v>14</v>
      </c>
      <c r="E62" s="133" t="s">
        <v>299</v>
      </c>
      <c r="F62" s="139">
        <v>5429</v>
      </c>
      <c r="G62" s="139">
        <v>5429</v>
      </c>
      <c r="H62" s="139">
        <f t="shared" si="0"/>
        <v>453</v>
      </c>
      <c r="I62" s="139">
        <v>129</v>
      </c>
      <c r="J62" s="141">
        <f t="shared" si="1"/>
        <v>0.28476821192052981</v>
      </c>
      <c r="K62" s="136" t="str">
        <f t="shared" si="2"/>
        <v>Belum Tercapai</v>
      </c>
      <c r="L62" s="143" t="s">
        <v>300</v>
      </c>
    </row>
    <row r="63" spans="1:12" ht="29" x14ac:dyDescent="0.35">
      <c r="A63" s="135">
        <v>2026</v>
      </c>
      <c r="B63" s="136">
        <v>4</v>
      </c>
      <c r="C63" s="133" t="s">
        <v>5</v>
      </c>
      <c r="D63" s="133" t="s">
        <v>14</v>
      </c>
      <c r="E63" s="133" t="s">
        <v>201</v>
      </c>
      <c r="F63" s="139">
        <v>271</v>
      </c>
      <c r="G63" s="139">
        <v>271</v>
      </c>
      <c r="H63" s="139">
        <f t="shared" si="0"/>
        <v>23</v>
      </c>
      <c r="I63" s="139">
        <v>6</v>
      </c>
      <c r="J63" s="141">
        <f t="shared" si="1"/>
        <v>0.2608695652173913</v>
      </c>
      <c r="K63" s="136" t="str">
        <f t="shared" si="2"/>
        <v>Belum Tercapai</v>
      </c>
      <c r="L63" s="143" t="s">
        <v>301</v>
      </c>
    </row>
    <row r="64" spans="1:12" ht="29" x14ac:dyDescent="0.35">
      <c r="A64" s="135">
        <v>2026</v>
      </c>
      <c r="B64" s="136">
        <v>4</v>
      </c>
      <c r="C64" s="133" t="s">
        <v>5</v>
      </c>
      <c r="D64" s="133" t="s">
        <v>14</v>
      </c>
      <c r="E64" s="133" t="s">
        <v>302</v>
      </c>
      <c r="F64" s="139">
        <v>67</v>
      </c>
      <c r="G64" s="139">
        <v>67</v>
      </c>
      <c r="H64" s="139">
        <f t="shared" si="0"/>
        <v>6</v>
      </c>
      <c r="I64" s="139">
        <v>2</v>
      </c>
      <c r="J64" s="141">
        <f t="shared" si="1"/>
        <v>0.33333333333333331</v>
      </c>
      <c r="K64" s="136" t="str">
        <f t="shared" si="2"/>
        <v>Belum Tercapai</v>
      </c>
      <c r="L64" s="143" t="s">
        <v>301</v>
      </c>
    </row>
    <row r="65" spans="1:12" x14ac:dyDescent="0.35">
      <c r="A65" s="135">
        <v>2026</v>
      </c>
      <c r="B65" s="136">
        <v>4</v>
      </c>
      <c r="C65" s="133" t="s">
        <v>5</v>
      </c>
      <c r="D65" s="133" t="s">
        <v>14</v>
      </c>
      <c r="E65" s="133" t="s">
        <v>92</v>
      </c>
      <c r="F65" s="139">
        <v>147</v>
      </c>
      <c r="G65" s="139">
        <v>147</v>
      </c>
      <c r="H65" s="139">
        <f t="shared" si="0"/>
        <v>12</v>
      </c>
      <c r="I65" s="139">
        <v>0</v>
      </c>
      <c r="J65" s="141">
        <f t="shared" si="1"/>
        <v>0</v>
      </c>
      <c r="K65" s="136" t="str">
        <f t="shared" si="2"/>
        <v>Belum Tercapai</v>
      </c>
      <c r="L65" s="143" t="s">
        <v>303</v>
      </c>
    </row>
    <row r="66" spans="1:12" ht="29" x14ac:dyDescent="0.35">
      <c r="A66" s="135">
        <v>2026</v>
      </c>
      <c r="B66" s="136">
        <v>5</v>
      </c>
      <c r="C66" s="133" t="s">
        <v>6</v>
      </c>
      <c r="D66" s="133" t="s">
        <v>14</v>
      </c>
      <c r="E66" s="133" t="s">
        <v>299</v>
      </c>
      <c r="F66" s="139">
        <v>5429</v>
      </c>
      <c r="G66" s="139">
        <v>5429</v>
      </c>
      <c r="H66" s="139">
        <f t="shared" ref="H66:H129" si="3">QUOTIENT(G66,12)+IF(B66&lt;=MOD(G66,12),1,0)</f>
        <v>453</v>
      </c>
      <c r="I66" s="139">
        <v>90</v>
      </c>
      <c r="J66" s="141">
        <f t="shared" ref="J66:J129" si="4">IF(H66=0,"",I66/H66)</f>
        <v>0.19867549668874171</v>
      </c>
      <c r="K66" s="136" t="str">
        <f t="shared" ref="K66:K129" si="5">IF(H66=0,"",IF(I66&gt;=H66,"Tercapai","Belum Tercapai"))</f>
        <v>Belum Tercapai</v>
      </c>
      <c r="L66" s="143" t="s">
        <v>300</v>
      </c>
    </row>
    <row r="67" spans="1:12" ht="29" x14ac:dyDescent="0.35">
      <c r="A67" s="135">
        <v>2026</v>
      </c>
      <c r="B67" s="136">
        <v>5</v>
      </c>
      <c r="C67" s="133" t="s">
        <v>6</v>
      </c>
      <c r="D67" s="133" t="s">
        <v>14</v>
      </c>
      <c r="E67" s="133" t="s">
        <v>201</v>
      </c>
      <c r="F67" s="139">
        <v>271</v>
      </c>
      <c r="G67" s="139">
        <v>271</v>
      </c>
      <c r="H67" s="139">
        <f t="shared" si="3"/>
        <v>23</v>
      </c>
      <c r="I67" s="139">
        <v>1</v>
      </c>
      <c r="J67" s="141">
        <f t="shared" si="4"/>
        <v>4.3478260869565216E-2</v>
      </c>
      <c r="K67" s="136" t="str">
        <f t="shared" si="5"/>
        <v>Belum Tercapai</v>
      </c>
      <c r="L67" s="143" t="s">
        <v>301</v>
      </c>
    </row>
    <row r="68" spans="1:12" ht="29" x14ac:dyDescent="0.35">
      <c r="A68" s="135">
        <v>2026</v>
      </c>
      <c r="B68" s="136">
        <v>5</v>
      </c>
      <c r="C68" s="133" t="s">
        <v>6</v>
      </c>
      <c r="D68" s="133" t="s">
        <v>14</v>
      </c>
      <c r="E68" s="133" t="s">
        <v>302</v>
      </c>
      <c r="F68" s="139">
        <v>67</v>
      </c>
      <c r="G68" s="139">
        <v>67</v>
      </c>
      <c r="H68" s="139">
        <f t="shared" si="3"/>
        <v>6</v>
      </c>
      <c r="I68" s="139">
        <v>0</v>
      </c>
      <c r="J68" s="141">
        <f t="shared" si="4"/>
        <v>0</v>
      </c>
      <c r="K68" s="136" t="str">
        <f t="shared" si="5"/>
        <v>Belum Tercapai</v>
      </c>
      <c r="L68" s="143" t="s">
        <v>301</v>
      </c>
    </row>
    <row r="69" spans="1:12" x14ac:dyDescent="0.35">
      <c r="A69" s="135">
        <v>2026</v>
      </c>
      <c r="B69" s="136">
        <v>5</v>
      </c>
      <c r="C69" s="133" t="s">
        <v>6</v>
      </c>
      <c r="D69" s="133" t="s">
        <v>14</v>
      </c>
      <c r="E69" s="133" t="s">
        <v>92</v>
      </c>
      <c r="F69" s="139">
        <v>147</v>
      </c>
      <c r="G69" s="139">
        <v>147</v>
      </c>
      <c r="H69" s="139">
        <f t="shared" si="3"/>
        <v>12</v>
      </c>
      <c r="I69" s="139">
        <v>0</v>
      </c>
      <c r="J69" s="141">
        <f t="shared" si="4"/>
        <v>0</v>
      </c>
      <c r="K69" s="136" t="str">
        <f t="shared" si="5"/>
        <v>Belum Tercapai</v>
      </c>
      <c r="L69" s="143" t="s">
        <v>303</v>
      </c>
    </row>
    <row r="70" spans="1:12" ht="29" x14ac:dyDescent="0.35">
      <c r="A70" s="135">
        <v>2026</v>
      </c>
      <c r="B70" s="136">
        <v>6</v>
      </c>
      <c r="C70" s="133" t="s">
        <v>7</v>
      </c>
      <c r="D70" s="133" t="s">
        <v>14</v>
      </c>
      <c r="E70" s="133" t="s">
        <v>299</v>
      </c>
      <c r="F70" s="139">
        <v>5429</v>
      </c>
      <c r="G70" s="139">
        <v>5429</v>
      </c>
      <c r="H70" s="139">
        <f t="shared" si="3"/>
        <v>452</v>
      </c>
      <c r="I70" s="139">
        <v>117</v>
      </c>
      <c r="J70" s="141">
        <f t="shared" si="4"/>
        <v>0.25884955752212391</v>
      </c>
      <c r="K70" s="136" t="str">
        <f t="shared" si="5"/>
        <v>Belum Tercapai</v>
      </c>
      <c r="L70" s="143" t="s">
        <v>300</v>
      </c>
    </row>
    <row r="71" spans="1:12" ht="29" x14ac:dyDescent="0.35">
      <c r="A71" s="135">
        <v>2026</v>
      </c>
      <c r="B71" s="136">
        <v>6</v>
      </c>
      <c r="C71" s="133" t="s">
        <v>7</v>
      </c>
      <c r="D71" s="133" t="s">
        <v>14</v>
      </c>
      <c r="E71" s="133" t="s">
        <v>201</v>
      </c>
      <c r="F71" s="139">
        <v>271</v>
      </c>
      <c r="G71" s="139">
        <v>271</v>
      </c>
      <c r="H71" s="139">
        <f t="shared" si="3"/>
        <v>23</v>
      </c>
      <c r="I71" s="139">
        <v>2</v>
      </c>
      <c r="J71" s="141">
        <f t="shared" si="4"/>
        <v>8.6956521739130432E-2</v>
      </c>
      <c r="K71" s="136" t="str">
        <f t="shared" si="5"/>
        <v>Belum Tercapai</v>
      </c>
      <c r="L71" s="143" t="s">
        <v>301</v>
      </c>
    </row>
    <row r="72" spans="1:12" ht="29" x14ac:dyDescent="0.35">
      <c r="A72" s="135">
        <v>2026</v>
      </c>
      <c r="B72" s="136">
        <v>6</v>
      </c>
      <c r="C72" s="133" t="s">
        <v>7</v>
      </c>
      <c r="D72" s="133" t="s">
        <v>14</v>
      </c>
      <c r="E72" s="133" t="s">
        <v>302</v>
      </c>
      <c r="F72" s="139">
        <v>67</v>
      </c>
      <c r="G72" s="139">
        <v>67</v>
      </c>
      <c r="H72" s="139">
        <f t="shared" si="3"/>
        <v>6</v>
      </c>
      <c r="I72" s="139">
        <v>0</v>
      </c>
      <c r="J72" s="141">
        <f t="shared" si="4"/>
        <v>0</v>
      </c>
      <c r="K72" s="136" t="str">
        <f t="shared" si="5"/>
        <v>Belum Tercapai</v>
      </c>
      <c r="L72" s="143" t="s">
        <v>301</v>
      </c>
    </row>
    <row r="73" spans="1:12" x14ac:dyDescent="0.35">
      <c r="A73" s="135">
        <v>2026</v>
      </c>
      <c r="B73" s="136">
        <v>6</v>
      </c>
      <c r="C73" s="133" t="s">
        <v>7</v>
      </c>
      <c r="D73" s="133" t="s">
        <v>14</v>
      </c>
      <c r="E73" s="133" t="s">
        <v>92</v>
      </c>
      <c r="F73" s="139">
        <v>147</v>
      </c>
      <c r="G73" s="139">
        <v>147</v>
      </c>
      <c r="H73" s="139">
        <f t="shared" si="3"/>
        <v>12</v>
      </c>
      <c r="I73" s="139">
        <v>2</v>
      </c>
      <c r="J73" s="141">
        <f t="shared" si="4"/>
        <v>0.16666666666666666</v>
      </c>
      <c r="K73" s="136" t="str">
        <f t="shared" si="5"/>
        <v>Belum Tercapai</v>
      </c>
      <c r="L73" s="143" t="s">
        <v>303</v>
      </c>
    </row>
    <row r="74" spans="1:12" ht="29" x14ac:dyDescent="0.35">
      <c r="A74" s="135">
        <v>2026</v>
      </c>
      <c r="B74" s="136">
        <v>1</v>
      </c>
      <c r="C74" s="133" t="s">
        <v>1</v>
      </c>
      <c r="D74" s="133" t="s">
        <v>15</v>
      </c>
      <c r="E74" s="133" t="s">
        <v>299</v>
      </c>
      <c r="F74" s="139">
        <v>3480</v>
      </c>
      <c r="G74" s="139">
        <v>3480</v>
      </c>
      <c r="H74" s="139">
        <f t="shared" si="3"/>
        <v>290</v>
      </c>
      <c r="I74" s="139">
        <v>14</v>
      </c>
      <c r="J74" s="141">
        <f t="shared" si="4"/>
        <v>4.8275862068965517E-2</v>
      </c>
      <c r="K74" s="136" t="str">
        <f t="shared" si="5"/>
        <v>Belum Tercapai</v>
      </c>
      <c r="L74" s="143" t="s">
        <v>300</v>
      </c>
    </row>
    <row r="75" spans="1:12" ht="29" x14ac:dyDescent="0.35">
      <c r="A75" s="135">
        <v>2026</v>
      </c>
      <c r="B75" s="136">
        <v>1</v>
      </c>
      <c r="C75" s="133" t="s">
        <v>1</v>
      </c>
      <c r="D75" s="133" t="s">
        <v>15</v>
      </c>
      <c r="E75" s="133" t="s">
        <v>201</v>
      </c>
      <c r="F75" s="139">
        <v>170</v>
      </c>
      <c r="G75" s="139">
        <v>170</v>
      </c>
      <c r="H75" s="139">
        <f t="shared" si="3"/>
        <v>15</v>
      </c>
      <c r="I75" s="139">
        <v>1</v>
      </c>
      <c r="J75" s="141">
        <f t="shared" si="4"/>
        <v>6.6666666666666666E-2</v>
      </c>
      <c r="K75" s="136" t="str">
        <f t="shared" si="5"/>
        <v>Belum Tercapai</v>
      </c>
      <c r="L75" s="143" t="s">
        <v>301</v>
      </c>
    </row>
    <row r="76" spans="1:12" ht="29" x14ac:dyDescent="0.35">
      <c r="A76" s="135">
        <v>2026</v>
      </c>
      <c r="B76" s="136">
        <v>1</v>
      </c>
      <c r="C76" s="133" t="s">
        <v>1</v>
      </c>
      <c r="D76" s="133" t="s">
        <v>15</v>
      </c>
      <c r="E76" s="133" t="s">
        <v>302</v>
      </c>
      <c r="F76" s="139">
        <v>43</v>
      </c>
      <c r="G76" s="139">
        <v>43</v>
      </c>
      <c r="H76" s="139">
        <f t="shared" si="3"/>
        <v>4</v>
      </c>
      <c r="I76" s="139">
        <v>0</v>
      </c>
      <c r="J76" s="141">
        <f t="shared" si="4"/>
        <v>0</v>
      </c>
      <c r="K76" s="136" t="str">
        <f t="shared" si="5"/>
        <v>Belum Tercapai</v>
      </c>
      <c r="L76" s="143" t="s">
        <v>301</v>
      </c>
    </row>
    <row r="77" spans="1:12" x14ac:dyDescent="0.35">
      <c r="A77" s="135">
        <v>2026</v>
      </c>
      <c r="B77" s="136">
        <v>1</v>
      </c>
      <c r="C77" s="133" t="s">
        <v>1</v>
      </c>
      <c r="D77" s="133" t="s">
        <v>15</v>
      </c>
      <c r="E77" s="133" t="s">
        <v>92</v>
      </c>
      <c r="F77" s="139">
        <v>84</v>
      </c>
      <c r="G77" s="139">
        <v>84</v>
      </c>
      <c r="H77" s="139">
        <f t="shared" si="3"/>
        <v>7</v>
      </c>
      <c r="I77" s="139">
        <v>0</v>
      </c>
      <c r="J77" s="141">
        <f t="shared" si="4"/>
        <v>0</v>
      </c>
      <c r="K77" s="136" t="str">
        <f t="shared" si="5"/>
        <v>Belum Tercapai</v>
      </c>
      <c r="L77" s="143" t="s">
        <v>303</v>
      </c>
    </row>
    <row r="78" spans="1:12" ht="29" x14ac:dyDescent="0.35">
      <c r="A78" s="135">
        <v>2026</v>
      </c>
      <c r="B78" s="136">
        <v>2</v>
      </c>
      <c r="C78" s="133" t="s">
        <v>2</v>
      </c>
      <c r="D78" s="133" t="s">
        <v>15</v>
      </c>
      <c r="E78" s="133" t="s">
        <v>299</v>
      </c>
      <c r="F78" s="139">
        <v>3480</v>
      </c>
      <c r="G78" s="139">
        <v>3480</v>
      </c>
      <c r="H78" s="139">
        <f t="shared" si="3"/>
        <v>290</v>
      </c>
      <c r="I78" s="139">
        <v>42</v>
      </c>
      <c r="J78" s="141">
        <f t="shared" si="4"/>
        <v>0.14482758620689656</v>
      </c>
      <c r="K78" s="136" t="str">
        <f t="shared" si="5"/>
        <v>Belum Tercapai</v>
      </c>
      <c r="L78" s="143" t="s">
        <v>300</v>
      </c>
    </row>
    <row r="79" spans="1:12" ht="29" x14ac:dyDescent="0.35">
      <c r="A79" s="135">
        <v>2026</v>
      </c>
      <c r="B79" s="136">
        <v>2</v>
      </c>
      <c r="C79" s="133" t="s">
        <v>2</v>
      </c>
      <c r="D79" s="133" t="s">
        <v>15</v>
      </c>
      <c r="E79" s="133" t="s">
        <v>201</v>
      </c>
      <c r="F79" s="139">
        <v>170</v>
      </c>
      <c r="G79" s="139">
        <v>170</v>
      </c>
      <c r="H79" s="139">
        <f t="shared" si="3"/>
        <v>15</v>
      </c>
      <c r="I79" s="139">
        <v>0</v>
      </c>
      <c r="J79" s="141">
        <f t="shared" si="4"/>
        <v>0</v>
      </c>
      <c r="K79" s="136" t="str">
        <f t="shared" si="5"/>
        <v>Belum Tercapai</v>
      </c>
      <c r="L79" s="143" t="s">
        <v>301</v>
      </c>
    </row>
    <row r="80" spans="1:12" ht="29" x14ac:dyDescent="0.35">
      <c r="A80" s="135">
        <v>2026</v>
      </c>
      <c r="B80" s="136">
        <v>2</v>
      </c>
      <c r="C80" s="133" t="s">
        <v>2</v>
      </c>
      <c r="D80" s="133" t="s">
        <v>15</v>
      </c>
      <c r="E80" s="133" t="s">
        <v>302</v>
      </c>
      <c r="F80" s="139">
        <v>43</v>
      </c>
      <c r="G80" s="139">
        <v>43</v>
      </c>
      <c r="H80" s="139">
        <f t="shared" si="3"/>
        <v>4</v>
      </c>
      <c r="I80" s="139">
        <v>1</v>
      </c>
      <c r="J80" s="141">
        <f t="shared" si="4"/>
        <v>0.25</v>
      </c>
      <c r="K80" s="136" t="str">
        <f t="shared" si="5"/>
        <v>Belum Tercapai</v>
      </c>
      <c r="L80" s="143" t="s">
        <v>301</v>
      </c>
    </row>
    <row r="81" spans="1:12" x14ac:dyDescent="0.35">
      <c r="A81" s="135">
        <v>2026</v>
      </c>
      <c r="B81" s="136">
        <v>2</v>
      </c>
      <c r="C81" s="133" t="s">
        <v>2</v>
      </c>
      <c r="D81" s="133" t="s">
        <v>15</v>
      </c>
      <c r="E81" s="133" t="s">
        <v>92</v>
      </c>
      <c r="F81" s="139">
        <v>84</v>
      </c>
      <c r="G81" s="139">
        <v>84</v>
      </c>
      <c r="H81" s="139">
        <f t="shared" si="3"/>
        <v>7</v>
      </c>
      <c r="I81" s="139">
        <v>0</v>
      </c>
      <c r="J81" s="141">
        <f t="shared" si="4"/>
        <v>0</v>
      </c>
      <c r="K81" s="136" t="str">
        <f t="shared" si="5"/>
        <v>Belum Tercapai</v>
      </c>
      <c r="L81" s="143" t="s">
        <v>303</v>
      </c>
    </row>
    <row r="82" spans="1:12" ht="29" x14ac:dyDescent="0.35">
      <c r="A82" s="135">
        <v>2026</v>
      </c>
      <c r="B82" s="136">
        <v>3</v>
      </c>
      <c r="C82" s="133" t="s">
        <v>3</v>
      </c>
      <c r="D82" s="133" t="s">
        <v>15</v>
      </c>
      <c r="E82" s="133" t="s">
        <v>299</v>
      </c>
      <c r="F82" s="139">
        <v>3480</v>
      </c>
      <c r="G82" s="139">
        <v>3480</v>
      </c>
      <c r="H82" s="139">
        <f t="shared" si="3"/>
        <v>290</v>
      </c>
      <c r="I82" s="139">
        <v>16</v>
      </c>
      <c r="J82" s="141">
        <f t="shared" si="4"/>
        <v>5.5172413793103448E-2</v>
      </c>
      <c r="K82" s="136" t="str">
        <f t="shared" si="5"/>
        <v>Belum Tercapai</v>
      </c>
      <c r="L82" s="143" t="s">
        <v>300</v>
      </c>
    </row>
    <row r="83" spans="1:12" ht="29" x14ac:dyDescent="0.35">
      <c r="A83" s="135">
        <v>2026</v>
      </c>
      <c r="B83" s="136">
        <v>3</v>
      </c>
      <c r="C83" s="133" t="s">
        <v>3</v>
      </c>
      <c r="D83" s="133" t="s">
        <v>15</v>
      </c>
      <c r="E83" s="133" t="s">
        <v>201</v>
      </c>
      <c r="F83" s="139">
        <v>170</v>
      </c>
      <c r="G83" s="139">
        <v>170</v>
      </c>
      <c r="H83" s="139">
        <f t="shared" si="3"/>
        <v>14</v>
      </c>
      <c r="I83" s="139">
        <v>1</v>
      </c>
      <c r="J83" s="141">
        <f t="shared" si="4"/>
        <v>7.1428571428571425E-2</v>
      </c>
      <c r="K83" s="136" t="str">
        <f t="shared" si="5"/>
        <v>Belum Tercapai</v>
      </c>
      <c r="L83" s="143" t="s">
        <v>301</v>
      </c>
    </row>
    <row r="84" spans="1:12" ht="29" x14ac:dyDescent="0.35">
      <c r="A84" s="135">
        <v>2026</v>
      </c>
      <c r="B84" s="136">
        <v>3</v>
      </c>
      <c r="C84" s="133" t="s">
        <v>3</v>
      </c>
      <c r="D84" s="133" t="s">
        <v>15</v>
      </c>
      <c r="E84" s="133" t="s">
        <v>302</v>
      </c>
      <c r="F84" s="139">
        <v>43</v>
      </c>
      <c r="G84" s="139">
        <v>43</v>
      </c>
      <c r="H84" s="139">
        <f t="shared" si="3"/>
        <v>4</v>
      </c>
      <c r="I84" s="139">
        <v>2</v>
      </c>
      <c r="J84" s="141">
        <f t="shared" si="4"/>
        <v>0.5</v>
      </c>
      <c r="K84" s="136" t="str">
        <f t="shared" si="5"/>
        <v>Belum Tercapai</v>
      </c>
      <c r="L84" s="143" t="s">
        <v>301</v>
      </c>
    </row>
    <row r="85" spans="1:12" x14ac:dyDescent="0.35">
      <c r="A85" s="135">
        <v>2026</v>
      </c>
      <c r="B85" s="136">
        <v>3</v>
      </c>
      <c r="C85" s="133" t="s">
        <v>3</v>
      </c>
      <c r="D85" s="133" t="s">
        <v>15</v>
      </c>
      <c r="E85" s="133" t="s">
        <v>92</v>
      </c>
      <c r="F85" s="139">
        <v>84</v>
      </c>
      <c r="G85" s="139">
        <v>84</v>
      </c>
      <c r="H85" s="139">
        <f t="shared" si="3"/>
        <v>7</v>
      </c>
      <c r="I85" s="139">
        <v>0</v>
      </c>
      <c r="J85" s="141">
        <f t="shared" si="4"/>
        <v>0</v>
      </c>
      <c r="K85" s="136" t="str">
        <f t="shared" si="5"/>
        <v>Belum Tercapai</v>
      </c>
      <c r="L85" s="143" t="s">
        <v>303</v>
      </c>
    </row>
    <row r="86" spans="1:12" ht="29" x14ac:dyDescent="0.35">
      <c r="A86" s="135">
        <v>2026</v>
      </c>
      <c r="B86" s="136">
        <v>4</v>
      </c>
      <c r="C86" s="133" t="s">
        <v>5</v>
      </c>
      <c r="D86" s="133" t="s">
        <v>15</v>
      </c>
      <c r="E86" s="133" t="s">
        <v>299</v>
      </c>
      <c r="F86" s="139">
        <v>3480</v>
      </c>
      <c r="G86" s="139">
        <v>3480</v>
      </c>
      <c r="H86" s="139">
        <f t="shared" si="3"/>
        <v>290</v>
      </c>
      <c r="I86" s="139">
        <v>148</v>
      </c>
      <c r="J86" s="141">
        <f t="shared" si="4"/>
        <v>0.51034482758620692</v>
      </c>
      <c r="K86" s="136" t="str">
        <f t="shared" si="5"/>
        <v>Belum Tercapai</v>
      </c>
      <c r="L86" s="143" t="s">
        <v>300</v>
      </c>
    </row>
    <row r="87" spans="1:12" ht="29" x14ac:dyDescent="0.35">
      <c r="A87" s="135">
        <v>2026</v>
      </c>
      <c r="B87" s="136">
        <v>4</v>
      </c>
      <c r="C87" s="133" t="s">
        <v>5</v>
      </c>
      <c r="D87" s="133" t="s">
        <v>15</v>
      </c>
      <c r="E87" s="133" t="s">
        <v>201</v>
      </c>
      <c r="F87" s="139">
        <v>170</v>
      </c>
      <c r="G87" s="139">
        <v>170</v>
      </c>
      <c r="H87" s="139">
        <f t="shared" si="3"/>
        <v>14</v>
      </c>
      <c r="I87" s="139">
        <v>2</v>
      </c>
      <c r="J87" s="141">
        <f t="shared" si="4"/>
        <v>0.14285714285714285</v>
      </c>
      <c r="K87" s="136" t="str">
        <f t="shared" si="5"/>
        <v>Belum Tercapai</v>
      </c>
      <c r="L87" s="143" t="s">
        <v>301</v>
      </c>
    </row>
    <row r="88" spans="1:12" ht="29" x14ac:dyDescent="0.35">
      <c r="A88" s="135">
        <v>2026</v>
      </c>
      <c r="B88" s="136">
        <v>4</v>
      </c>
      <c r="C88" s="133" t="s">
        <v>5</v>
      </c>
      <c r="D88" s="133" t="s">
        <v>15</v>
      </c>
      <c r="E88" s="133" t="s">
        <v>302</v>
      </c>
      <c r="F88" s="139">
        <v>43</v>
      </c>
      <c r="G88" s="139">
        <v>43</v>
      </c>
      <c r="H88" s="139">
        <f t="shared" si="3"/>
        <v>4</v>
      </c>
      <c r="I88" s="139">
        <v>0</v>
      </c>
      <c r="J88" s="141">
        <f t="shared" si="4"/>
        <v>0</v>
      </c>
      <c r="K88" s="136" t="str">
        <f t="shared" si="5"/>
        <v>Belum Tercapai</v>
      </c>
      <c r="L88" s="143" t="s">
        <v>301</v>
      </c>
    </row>
    <row r="89" spans="1:12" x14ac:dyDescent="0.35">
      <c r="A89" s="135">
        <v>2026</v>
      </c>
      <c r="B89" s="136">
        <v>4</v>
      </c>
      <c r="C89" s="133" t="s">
        <v>5</v>
      </c>
      <c r="D89" s="133" t="s">
        <v>15</v>
      </c>
      <c r="E89" s="133" t="s">
        <v>92</v>
      </c>
      <c r="F89" s="139">
        <v>84</v>
      </c>
      <c r="G89" s="139">
        <v>84</v>
      </c>
      <c r="H89" s="139">
        <f t="shared" si="3"/>
        <v>7</v>
      </c>
      <c r="I89" s="139">
        <v>0</v>
      </c>
      <c r="J89" s="141">
        <f t="shared" si="4"/>
        <v>0</v>
      </c>
      <c r="K89" s="136" t="str">
        <f t="shared" si="5"/>
        <v>Belum Tercapai</v>
      </c>
      <c r="L89" s="143" t="s">
        <v>303</v>
      </c>
    </row>
    <row r="90" spans="1:12" ht="29" x14ac:dyDescent="0.35">
      <c r="A90" s="135">
        <v>2026</v>
      </c>
      <c r="B90" s="136">
        <v>5</v>
      </c>
      <c r="C90" s="133" t="s">
        <v>6</v>
      </c>
      <c r="D90" s="133" t="s">
        <v>15</v>
      </c>
      <c r="E90" s="133" t="s">
        <v>299</v>
      </c>
      <c r="F90" s="139">
        <v>3480</v>
      </c>
      <c r="G90" s="139">
        <v>3480</v>
      </c>
      <c r="H90" s="139">
        <f t="shared" si="3"/>
        <v>290</v>
      </c>
      <c r="I90" s="139">
        <v>231</v>
      </c>
      <c r="J90" s="141">
        <f t="shared" si="4"/>
        <v>0.79655172413793107</v>
      </c>
      <c r="K90" s="136" t="str">
        <f t="shared" si="5"/>
        <v>Belum Tercapai</v>
      </c>
      <c r="L90" s="143" t="s">
        <v>300</v>
      </c>
    </row>
    <row r="91" spans="1:12" ht="29" x14ac:dyDescent="0.35">
      <c r="A91" s="135">
        <v>2026</v>
      </c>
      <c r="B91" s="136">
        <v>5</v>
      </c>
      <c r="C91" s="133" t="s">
        <v>6</v>
      </c>
      <c r="D91" s="133" t="s">
        <v>15</v>
      </c>
      <c r="E91" s="133" t="s">
        <v>201</v>
      </c>
      <c r="F91" s="139">
        <v>170</v>
      </c>
      <c r="G91" s="139">
        <v>170</v>
      </c>
      <c r="H91" s="139">
        <f t="shared" si="3"/>
        <v>14</v>
      </c>
      <c r="I91" s="139">
        <v>9</v>
      </c>
      <c r="J91" s="141">
        <f t="shared" si="4"/>
        <v>0.6428571428571429</v>
      </c>
      <c r="K91" s="136" t="str">
        <f t="shared" si="5"/>
        <v>Belum Tercapai</v>
      </c>
      <c r="L91" s="143" t="s">
        <v>301</v>
      </c>
    </row>
    <row r="92" spans="1:12" ht="29" x14ac:dyDescent="0.35">
      <c r="A92" s="135">
        <v>2026</v>
      </c>
      <c r="B92" s="136">
        <v>5</v>
      </c>
      <c r="C92" s="133" t="s">
        <v>6</v>
      </c>
      <c r="D92" s="133" t="s">
        <v>15</v>
      </c>
      <c r="E92" s="133" t="s">
        <v>302</v>
      </c>
      <c r="F92" s="139">
        <v>43</v>
      </c>
      <c r="G92" s="139">
        <v>43</v>
      </c>
      <c r="H92" s="139">
        <f t="shared" si="3"/>
        <v>4</v>
      </c>
      <c r="I92" s="139">
        <v>2</v>
      </c>
      <c r="J92" s="141">
        <f t="shared" si="4"/>
        <v>0.5</v>
      </c>
      <c r="K92" s="136" t="str">
        <f t="shared" si="5"/>
        <v>Belum Tercapai</v>
      </c>
      <c r="L92" s="143" t="s">
        <v>301</v>
      </c>
    </row>
    <row r="93" spans="1:12" x14ac:dyDescent="0.35">
      <c r="A93" s="135">
        <v>2026</v>
      </c>
      <c r="B93" s="136">
        <v>5</v>
      </c>
      <c r="C93" s="133" t="s">
        <v>6</v>
      </c>
      <c r="D93" s="133" t="s">
        <v>15</v>
      </c>
      <c r="E93" s="133" t="s">
        <v>92</v>
      </c>
      <c r="F93" s="139">
        <v>84</v>
      </c>
      <c r="G93" s="139">
        <v>84</v>
      </c>
      <c r="H93" s="139">
        <f t="shared" si="3"/>
        <v>7</v>
      </c>
      <c r="I93" s="139">
        <v>0</v>
      </c>
      <c r="J93" s="141">
        <f t="shared" si="4"/>
        <v>0</v>
      </c>
      <c r="K93" s="136" t="str">
        <f t="shared" si="5"/>
        <v>Belum Tercapai</v>
      </c>
      <c r="L93" s="143" t="s">
        <v>303</v>
      </c>
    </row>
    <row r="94" spans="1:12" ht="29" x14ac:dyDescent="0.35">
      <c r="A94" s="135">
        <v>2026</v>
      </c>
      <c r="B94" s="136">
        <v>6</v>
      </c>
      <c r="C94" s="133" t="s">
        <v>7</v>
      </c>
      <c r="D94" s="133" t="s">
        <v>15</v>
      </c>
      <c r="E94" s="133" t="s">
        <v>299</v>
      </c>
      <c r="F94" s="139">
        <v>3480</v>
      </c>
      <c r="G94" s="139">
        <v>3480</v>
      </c>
      <c r="H94" s="139">
        <f t="shared" si="3"/>
        <v>290</v>
      </c>
      <c r="I94" s="139">
        <v>618</v>
      </c>
      <c r="J94" s="141">
        <f t="shared" si="4"/>
        <v>2.1310344827586207</v>
      </c>
      <c r="K94" s="136" t="str">
        <f t="shared" si="5"/>
        <v>Tercapai</v>
      </c>
      <c r="L94" s="143" t="s">
        <v>300</v>
      </c>
    </row>
    <row r="95" spans="1:12" ht="29" x14ac:dyDescent="0.35">
      <c r="A95" s="135">
        <v>2026</v>
      </c>
      <c r="B95" s="136">
        <v>6</v>
      </c>
      <c r="C95" s="133" t="s">
        <v>7</v>
      </c>
      <c r="D95" s="133" t="s">
        <v>15</v>
      </c>
      <c r="E95" s="133" t="s">
        <v>201</v>
      </c>
      <c r="F95" s="139">
        <v>170</v>
      </c>
      <c r="G95" s="139">
        <v>170</v>
      </c>
      <c r="H95" s="139">
        <f t="shared" si="3"/>
        <v>14</v>
      </c>
      <c r="I95" s="139">
        <v>10</v>
      </c>
      <c r="J95" s="141">
        <f t="shared" si="4"/>
        <v>0.7142857142857143</v>
      </c>
      <c r="K95" s="136" t="str">
        <f t="shared" si="5"/>
        <v>Belum Tercapai</v>
      </c>
      <c r="L95" s="143" t="s">
        <v>301</v>
      </c>
    </row>
    <row r="96" spans="1:12" ht="29" x14ac:dyDescent="0.35">
      <c r="A96" s="135">
        <v>2026</v>
      </c>
      <c r="B96" s="136">
        <v>6</v>
      </c>
      <c r="C96" s="133" t="s">
        <v>7</v>
      </c>
      <c r="D96" s="133" t="s">
        <v>15</v>
      </c>
      <c r="E96" s="133" t="s">
        <v>302</v>
      </c>
      <c r="F96" s="139">
        <v>43</v>
      </c>
      <c r="G96" s="139">
        <v>43</v>
      </c>
      <c r="H96" s="139">
        <f t="shared" si="3"/>
        <v>4</v>
      </c>
      <c r="I96" s="139">
        <v>4</v>
      </c>
      <c r="J96" s="141">
        <f t="shared" si="4"/>
        <v>1</v>
      </c>
      <c r="K96" s="136" t="str">
        <f t="shared" si="5"/>
        <v>Tercapai</v>
      </c>
      <c r="L96" s="143" t="s">
        <v>301</v>
      </c>
    </row>
    <row r="97" spans="1:12" x14ac:dyDescent="0.35">
      <c r="A97" s="135">
        <v>2026</v>
      </c>
      <c r="B97" s="136">
        <v>6</v>
      </c>
      <c r="C97" s="133" t="s">
        <v>7</v>
      </c>
      <c r="D97" s="133" t="s">
        <v>15</v>
      </c>
      <c r="E97" s="133" t="s">
        <v>92</v>
      </c>
      <c r="F97" s="139">
        <v>84</v>
      </c>
      <c r="G97" s="139">
        <v>84</v>
      </c>
      <c r="H97" s="139">
        <f t="shared" si="3"/>
        <v>7</v>
      </c>
      <c r="I97" s="139">
        <v>0</v>
      </c>
      <c r="J97" s="141">
        <f t="shared" si="4"/>
        <v>0</v>
      </c>
      <c r="K97" s="136" t="str">
        <f t="shared" si="5"/>
        <v>Belum Tercapai</v>
      </c>
      <c r="L97" s="143" t="s">
        <v>303</v>
      </c>
    </row>
    <row r="98" spans="1:12" ht="29" x14ac:dyDescent="0.35">
      <c r="A98" s="135">
        <v>2026</v>
      </c>
      <c r="B98" s="136">
        <v>1</v>
      </c>
      <c r="C98" s="133" t="s">
        <v>1</v>
      </c>
      <c r="D98" s="133" t="s">
        <v>16</v>
      </c>
      <c r="E98" s="133" t="s">
        <v>299</v>
      </c>
      <c r="F98" s="139">
        <v>5856</v>
      </c>
      <c r="G98" s="139">
        <v>5856</v>
      </c>
      <c r="H98" s="139">
        <f t="shared" si="3"/>
        <v>488</v>
      </c>
      <c r="I98" s="139">
        <v>475</v>
      </c>
      <c r="J98" s="141">
        <f t="shared" si="4"/>
        <v>0.97336065573770492</v>
      </c>
      <c r="K98" s="136" t="str">
        <f t="shared" si="5"/>
        <v>Belum Tercapai</v>
      </c>
      <c r="L98" s="143" t="s">
        <v>300</v>
      </c>
    </row>
    <row r="99" spans="1:12" ht="29" x14ac:dyDescent="0.35">
      <c r="A99" s="135">
        <v>2026</v>
      </c>
      <c r="B99" s="136">
        <v>1</v>
      </c>
      <c r="C99" s="133" t="s">
        <v>1</v>
      </c>
      <c r="D99" s="133" t="s">
        <v>16</v>
      </c>
      <c r="E99" s="133" t="s">
        <v>201</v>
      </c>
      <c r="F99" s="139">
        <v>284</v>
      </c>
      <c r="G99" s="139">
        <v>284</v>
      </c>
      <c r="H99" s="139">
        <f t="shared" si="3"/>
        <v>24</v>
      </c>
      <c r="I99" s="139">
        <v>21</v>
      </c>
      <c r="J99" s="141">
        <f t="shared" si="4"/>
        <v>0.875</v>
      </c>
      <c r="K99" s="136" t="str">
        <f t="shared" si="5"/>
        <v>Belum Tercapai</v>
      </c>
      <c r="L99" s="143" t="s">
        <v>301</v>
      </c>
    </row>
    <row r="100" spans="1:12" ht="29" x14ac:dyDescent="0.35">
      <c r="A100" s="135">
        <v>2026</v>
      </c>
      <c r="B100" s="136">
        <v>1</v>
      </c>
      <c r="C100" s="133" t="s">
        <v>1</v>
      </c>
      <c r="D100" s="133" t="s">
        <v>16</v>
      </c>
      <c r="E100" s="133" t="s">
        <v>302</v>
      </c>
      <c r="F100" s="139">
        <v>71</v>
      </c>
      <c r="G100" s="139">
        <v>71</v>
      </c>
      <c r="H100" s="139">
        <f t="shared" si="3"/>
        <v>6</v>
      </c>
      <c r="I100" s="139">
        <v>8</v>
      </c>
      <c r="J100" s="141">
        <f t="shared" si="4"/>
        <v>1.3333333333333333</v>
      </c>
      <c r="K100" s="136" t="str">
        <f t="shared" si="5"/>
        <v>Tercapai</v>
      </c>
      <c r="L100" s="143" t="s">
        <v>301</v>
      </c>
    </row>
    <row r="101" spans="1:12" x14ac:dyDescent="0.35">
      <c r="A101" s="135">
        <v>2026</v>
      </c>
      <c r="B101" s="136">
        <v>1</v>
      </c>
      <c r="C101" s="133" t="s">
        <v>1</v>
      </c>
      <c r="D101" s="133" t="s">
        <v>16</v>
      </c>
      <c r="E101" s="133" t="s">
        <v>92</v>
      </c>
      <c r="F101" s="139">
        <v>155</v>
      </c>
      <c r="G101" s="139">
        <v>155</v>
      </c>
      <c r="H101" s="139">
        <f t="shared" si="3"/>
        <v>13</v>
      </c>
      <c r="I101" s="139">
        <v>0</v>
      </c>
      <c r="J101" s="141">
        <f t="shared" si="4"/>
        <v>0</v>
      </c>
      <c r="K101" s="136" t="str">
        <f t="shared" si="5"/>
        <v>Belum Tercapai</v>
      </c>
      <c r="L101" s="143" t="s">
        <v>303</v>
      </c>
    </row>
    <row r="102" spans="1:12" ht="29" x14ac:dyDescent="0.35">
      <c r="A102" s="135">
        <v>2026</v>
      </c>
      <c r="B102" s="136">
        <v>2</v>
      </c>
      <c r="C102" s="133" t="s">
        <v>2</v>
      </c>
      <c r="D102" s="133" t="s">
        <v>16</v>
      </c>
      <c r="E102" s="133" t="s">
        <v>299</v>
      </c>
      <c r="F102" s="139">
        <v>5856</v>
      </c>
      <c r="G102" s="139">
        <v>5856</v>
      </c>
      <c r="H102" s="139">
        <f t="shared" si="3"/>
        <v>488</v>
      </c>
      <c r="I102" s="139">
        <v>198</v>
      </c>
      <c r="J102" s="141">
        <f t="shared" si="4"/>
        <v>0.40573770491803279</v>
      </c>
      <c r="K102" s="136" t="str">
        <f t="shared" si="5"/>
        <v>Belum Tercapai</v>
      </c>
      <c r="L102" s="143" t="s">
        <v>300</v>
      </c>
    </row>
    <row r="103" spans="1:12" ht="29" x14ac:dyDescent="0.35">
      <c r="A103" s="135">
        <v>2026</v>
      </c>
      <c r="B103" s="136">
        <v>2</v>
      </c>
      <c r="C103" s="133" t="s">
        <v>2</v>
      </c>
      <c r="D103" s="133" t="s">
        <v>16</v>
      </c>
      <c r="E103" s="133" t="s">
        <v>201</v>
      </c>
      <c r="F103" s="139">
        <v>284</v>
      </c>
      <c r="G103" s="139">
        <v>284</v>
      </c>
      <c r="H103" s="139">
        <f t="shared" si="3"/>
        <v>24</v>
      </c>
      <c r="I103" s="139">
        <v>23</v>
      </c>
      <c r="J103" s="141">
        <f t="shared" si="4"/>
        <v>0.95833333333333337</v>
      </c>
      <c r="K103" s="136" t="str">
        <f t="shared" si="5"/>
        <v>Belum Tercapai</v>
      </c>
      <c r="L103" s="143" t="s">
        <v>301</v>
      </c>
    </row>
    <row r="104" spans="1:12" ht="29" x14ac:dyDescent="0.35">
      <c r="A104" s="135">
        <v>2026</v>
      </c>
      <c r="B104" s="136">
        <v>2</v>
      </c>
      <c r="C104" s="133" t="s">
        <v>2</v>
      </c>
      <c r="D104" s="133" t="s">
        <v>16</v>
      </c>
      <c r="E104" s="133" t="s">
        <v>302</v>
      </c>
      <c r="F104" s="139">
        <v>71</v>
      </c>
      <c r="G104" s="139">
        <v>71</v>
      </c>
      <c r="H104" s="139">
        <f t="shared" si="3"/>
        <v>6</v>
      </c>
      <c r="I104" s="139">
        <v>10</v>
      </c>
      <c r="J104" s="141">
        <f t="shared" si="4"/>
        <v>1.6666666666666667</v>
      </c>
      <c r="K104" s="136" t="str">
        <f t="shared" si="5"/>
        <v>Tercapai</v>
      </c>
      <c r="L104" s="143" t="s">
        <v>301</v>
      </c>
    </row>
    <row r="105" spans="1:12" x14ac:dyDescent="0.35">
      <c r="A105" s="135">
        <v>2026</v>
      </c>
      <c r="B105" s="136">
        <v>2</v>
      </c>
      <c r="C105" s="133" t="s">
        <v>2</v>
      </c>
      <c r="D105" s="133" t="s">
        <v>16</v>
      </c>
      <c r="E105" s="133" t="s">
        <v>92</v>
      </c>
      <c r="F105" s="139">
        <v>155</v>
      </c>
      <c r="G105" s="139">
        <v>155</v>
      </c>
      <c r="H105" s="139">
        <f t="shared" si="3"/>
        <v>13</v>
      </c>
      <c r="I105" s="139">
        <v>0</v>
      </c>
      <c r="J105" s="141">
        <f t="shared" si="4"/>
        <v>0</v>
      </c>
      <c r="K105" s="136" t="str">
        <f t="shared" si="5"/>
        <v>Belum Tercapai</v>
      </c>
      <c r="L105" s="143" t="s">
        <v>303</v>
      </c>
    </row>
    <row r="106" spans="1:12" ht="29" x14ac:dyDescent="0.35">
      <c r="A106" s="135">
        <v>2026</v>
      </c>
      <c r="B106" s="136">
        <v>3</v>
      </c>
      <c r="C106" s="133" t="s">
        <v>3</v>
      </c>
      <c r="D106" s="133" t="s">
        <v>16</v>
      </c>
      <c r="E106" s="133" t="s">
        <v>299</v>
      </c>
      <c r="F106" s="139">
        <v>5856</v>
      </c>
      <c r="G106" s="139">
        <v>5856</v>
      </c>
      <c r="H106" s="139">
        <f t="shared" si="3"/>
        <v>488</v>
      </c>
      <c r="I106" s="139">
        <v>139</v>
      </c>
      <c r="J106" s="141">
        <f t="shared" si="4"/>
        <v>0.2848360655737705</v>
      </c>
      <c r="K106" s="136" t="str">
        <f t="shared" si="5"/>
        <v>Belum Tercapai</v>
      </c>
      <c r="L106" s="143" t="s">
        <v>300</v>
      </c>
    </row>
    <row r="107" spans="1:12" ht="29" x14ac:dyDescent="0.35">
      <c r="A107" s="135">
        <v>2026</v>
      </c>
      <c r="B107" s="136">
        <v>3</v>
      </c>
      <c r="C107" s="133" t="s">
        <v>3</v>
      </c>
      <c r="D107" s="133" t="s">
        <v>16</v>
      </c>
      <c r="E107" s="133" t="s">
        <v>201</v>
      </c>
      <c r="F107" s="139">
        <v>284</v>
      </c>
      <c r="G107" s="139">
        <v>284</v>
      </c>
      <c r="H107" s="139">
        <f t="shared" si="3"/>
        <v>24</v>
      </c>
      <c r="I107" s="139">
        <v>8</v>
      </c>
      <c r="J107" s="141">
        <f t="shared" si="4"/>
        <v>0.33333333333333331</v>
      </c>
      <c r="K107" s="136" t="str">
        <f t="shared" si="5"/>
        <v>Belum Tercapai</v>
      </c>
      <c r="L107" s="143" t="s">
        <v>301</v>
      </c>
    </row>
    <row r="108" spans="1:12" ht="29" x14ac:dyDescent="0.35">
      <c r="A108" s="135">
        <v>2026</v>
      </c>
      <c r="B108" s="136">
        <v>3</v>
      </c>
      <c r="C108" s="133" t="s">
        <v>3</v>
      </c>
      <c r="D108" s="133" t="s">
        <v>16</v>
      </c>
      <c r="E108" s="133" t="s">
        <v>302</v>
      </c>
      <c r="F108" s="139">
        <v>71</v>
      </c>
      <c r="G108" s="139">
        <v>71</v>
      </c>
      <c r="H108" s="139">
        <f t="shared" si="3"/>
        <v>6</v>
      </c>
      <c r="I108" s="139">
        <v>7</v>
      </c>
      <c r="J108" s="141">
        <f t="shared" si="4"/>
        <v>1.1666666666666667</v>
      </c>
      <c r="K108" s="136" t="str">
        <f t="shared" si="5"/>
        <v>Tercapai</v>
      </c>
      <c r="L108" s="143" t="s">
        <v>301</v>
      </c>
    </row>
    <row r="109" spans="1:12" x14ac:dyDescent="0.35">
      <c r="A109" s="135">
        <v>2026</v>
      </c>
      <c r="B109" s="136">
        <v>3</v>
      </c>
      <c r="C109" s="133" t="s">
        <v>3</v>
      </c>
      <c r="D109" s="133" t="s">
        <v>16</v>
      </c>
      <c r="E109" s="133" t="s">
        <v>92</v>
      </c>
      <c r="F109" s="139">
        <v>155</v>
      </c>
      <c r="G109" s="139">
        <v>155</v>
      </c>
      <c r="H109" s="139">
        <f t="shared" si="3"/>
        <v>13</v>
      </c>
      <c r="I109" s="139">
        <v>0</v>
      </c>
      <c r="J109" s="141">
        <f t="shared" si="4"/>
        <v>0</v>
      </c>
      <c r="K109" s="136" t="str">
        <f t="shared" si="5"/>
        <v>Belum Tercapai</v>
      </c>
      <c r="L109" s="143" t="s">
        <v>303</v>
      </c>
    </row>
    <row r="110" spans="1:12" ht="29" x14ac:dyDescent="0.35">
      <c r="A110" s="135">
        <v>2026</v>
      </c>
      <c r="B110" s="136">
        <v>4</v>
      </c>
      <c r="C110" s="133" t="s">
        <v>5</v>
      </c>
      <c r="D110" s="133" t="s">
        <v>16</v>
      </c>
      <c r="E110" s="133" t="s">
        <v>299</v>
      </c>
      <c r="F110" s="139">
        <v>5856</v>
      </c>
      <c r="G110" s="139">
        <v>5856</v>
      </c>
      <c r="H110" s="139">
        <f t="shared" si="3"/>
        <v>488</v>
      </c>
      <c r="I110" s="139">
        <v>228</v>
      </c>
      <c r="J110" s="141">
        <f t="shared" si="4"/>
        <v>0.46721311475409838</v>
      </c>
      <c r="K110" s="136" t="str">
        <f t="shared" si="5"/>
        <v>Belum Tercapai</v>
      </c>
      <c r="L110" s="143" t="s">
        <v>300</v>
      </c>
    </row>
    <row r="111" spans="1:12" ht="29" x14ac:dyDescent="0.35">
      <c r="A111" s="135">
        <v>2026</v>
      </c>
      <c r="B111" s="136">
        <v>4</v>
      </c>
      <c r="C111" s="133" t="s">
        <v>5</v>
      </c>
      <c r="D111" s="133" t="s">
        <v>16</v>
      </c>
      <c r="E111" s="133" t="s">
        <v>201</v>
      </c>
      <c r="F111" s="139">
        <v>284</v>
      </c>
      <c r="G111" s="139">
        <v>284</v>
      </c>
      <c r="H111" s="139">
        <f t="shared" si="3"/>
        <v>24</v>
      </c>
      <c r="I111" s="139">
        <v>29</v>
      </c>
      <c r="J111" s="141">
        <f t="shared" si="4"/>
        <v>1.2083333333333333</v>
      </c>
      <c r="K111" s="136" t="str">
        <f t="shared" si="5"/>
        <v>Tercapai</v>
      </c>
      <c r="L111" s="143" t="s">
        <v>301</v>
      </c>
    </row>
    <row r="112" spans="1:12" ht="29" x14ac:dyDescent="0.35">
      <c r="A112" s="135">
        <v>2026</v>
      </c>
      <c r="B112" s="136">
        <v>4</v>
      </c>
      <c r="C112" s="133" t="s">
        <v>5</v>
      </c>
      <c r="D112" s="133" t="s">
        <v>16</v>
      </c>
      <c r="E112" s="133" t="s">
        <v>302</v>
      </c>
      <c r="F112" s="139">
        <v>71</v>
      </c>
      <c r="G112" s="139">
        <v>71</v>
      </c>
      <c r="H112" s="139">
        <f t="shared" si="3"/>
        <v>6</v>
      </c>
      <c r="I112" s="139">
        <v>9</v>
      </c>
      <c r="J112" s="141">
        <f t="shared" si="4"/>
        <v>1.5</v>
      </c>
      <c r="K112" s="136" t="str">
        <f t="shared" si="5"/>
        <v>Tercapai</v>
      </c>
      <c r="L112" s="143" t="s">
        <v>301</v>
      </c>
    </row>
    <row r="113" spans="1:12" x14ac:dyDescent="0.35">
      <c r="A113" s="135">
        <v>2026</v>
      </c>
      <c r="B113" s="136">
        <v>4</v>
      </c>
      <c r="C113" s="133" t="s">
        <v>5</v>
      </c>
      <c r="D113" s="133" t="s">
        <v>16</v>
      </c>
      <c r="E113" s="133" t="s">
        <v>92</v>
      </c>
      <c r="F113" s="139">
        <v>155</v>
      </c>
      <c r="G113" s="139">
        <v>155</v>
      </c>
      <c r="H113" s="139">
        <f t="shared" si="3"/>
        <v>13</v>
      </c>
      <c r="I113" s="139">
        <v>0</v>
      </c>
      <c r="J113" s="141">
        <f t="shared" si="4"/>
        <v>0</v>
      </c>
      <c r="K113" s="136" t="str">
        <f t="shared" si="5"/>
        <v>Belum Tercapai</v>
      </c>
      <c r="L113" s="143" t="s">
        <v>303</v>
      </c>
    </row>
    <row r="114" spans="1:12" ht="29" x14ac:dyDescent="0.35">
      <c r="A114" s="135">
        <v>2026</v>
      </c>
      <c r="B114" s="136">
        <v>5</v>
      </c>
      <c r="C114" s="133" t="s">
        <v>6</v>
      </c>
      <c r="D114" s="133" t="s">
        <v>16</v>
      </c>
      <c r="E114" s="133" t="s">
        <v>299</v>
      </c>
      <c r="F114" s="139">
        <v>5856</v>
      </c>
      <c r="G114" s="139">
        <v>5856</v>
      </c>
      <c r="H114" s="139">
        <f t="shared" si="3"/>
        <v>488</v>
      </c>
      <c r="I114" s="139">
        <v>204</v>
      </c>
      <c r="J114" s="141">
        <f t="shared" si="4"/>
        <v>0.41803278688524592</v>
      </c>
      <c r="K114" s="136" t="str">
        <f t="shared" si="5"/>
        <v>Belum Tercapai</v>
      </c>
      <c r="L114" s="143" t="s">
        <v>300</v>
      </c>
    </row>
    <row r="115" spans="1:12" ht="29" x14ac:dyDescent="0.35">
      <c r="A115" s="135">
        <v>2026</v>
      </c>
      <c r="B115" s="136">
        <v>5</v>
      </c>
      <c r="C115" s="133" t="s">
        <v>6</v>
      </c>
      <c r="D115" s="133" t="s">
        <v>16</v>
      </c>
      <c r="E115" s="133" t="s">
        <v>201</v>
      </c>
      <c r="F115" s="139">
        <v>284</v>
      </c>
      <c r="G115" s="139">
        <v>284</v>
      </c>
      <c r="H115" s="139">
        <f t="shared" si="3"/>
        <v>24</v>
      </c>
      <c r="I115" s="139">
        <v>24</v>
      </c>
      <c r="J115" s="141">
        <f t="shared" si="4"/>
        <v>1</v>
      </c>
      <c r="K115" s="136" t="str">
        <f t="shared" si="5"/>
        <v>Tercapai</v>
      </c>
      <c r="L115" s="143" t="s">
        <v>301</v>
      </c>
    </row>
    <row r="116" spans="1:12" ht="29" x14ac:dyDescent="0.35">
      <c r="A116" s="135">
        <v>2026</v>
      </c>
      <c r="B116" s="136">
        <v>5</v>
      </c>
      <c r="C116" s="133" t="s">
        <v>6</v>
      </c>
      <c r="D116" s="133" t="s">
        <v>16</v>
      </c>
      <c r="E116" s="133" t="s">
        <v>302</v>
      </c>
      <c r="F116" s="139">
        <v>71</v>
      </c>
      <c r="G116" s="139">
        <v>71</v>
      </c>
      <c r="H116" s="139">
        <f t="shared" si="3"/>
        <v>6</v>
      </c>
      <c r="I116" s="139">
        <v>11</v>
      </c>
      <c r="J116" s="141">
        <f t="shared" si="4"/>
        <v>1.8333333333333333</v>
      </c>
      <c r="K116" s="136" t="str">
        <f t="shared" si="5"/>
        <v>Tercapai</v>
      </c>
      <c r="L116" s="143" t="s">
        <v>301</v>
      </c>
    </row>
    <row r="117" spans="1:12" x14ac:dyDescent="0.35">
      <c r="A117" s="135">
        <v>2026</v>
      </c>
      <c r="B117" s="136">
        <v>5</v>
      </c>
      <c r="C117" s="133" t="s">
        <v>6</v>
      </c>
      <c r="D117" s="133" t="s">
        <v>16</v>
      </c>
      <c r="E117" s="133" t="s">
        <v>92</v>
      </c>
      <c r="F117" s="139">
        <v>155</v>
      </c>
      <c r="G117" s="139">
        <v>155</v>
      </c>
      <c r="H117" s="139">
        <f t="shared" si="3"/>
        <v>13</v>
      </c>
      <c r="I117" s="139">
        <v>0</v>
      </c>
      <c r="J117" s="141">
        <f t="shared" si="4"/>
        <v>0</v>
      </c>
      <c r="K117" s="136" t="str">
        <f t="shared" si="5"/>
        <v>Belum Tercapai</v>
      </c>
      <c r="L117" s="143" t="s">
        <v>303</v>
      </c>
    </row>
    <row r="118" spans="1:12" ht="29" x14ac:dyDescent="0.35">
      <c r="A118" s="135">
        <v>2026</v>
      </c>
      <c r="B118" s="136">
        <v>6</v>
      </c>
      <c r="C118" s="133" t="s">
        <v>7</v>
      </c>
      <c r="D118" s="133" t="s">
        <v>16</v>
      </c>
      <c r="E118" s="133" t="s">
        <v>299</v>
      </c>
      <c r="F118" s="139">
        <v>5856</v>
      </c>
      <c r="G118" s="139">
        <v>5856</v>
      </c>
      <c r="H118" s="139">
        <f t="shared" si="3"/>
        <v>488</v>
      </c>
      <c r="I118" s="139">
        <v>113</v>
      </c>
      <c r="J118" s="141">
        <f t="shared" si="4"/>
        <v>0.23155737704918034</v>
      </c>
      <c r="K118" s="136" t="str">
        <f t="shared" si="5"/>
        <v>Belum Tercapai</v>
      </c>
      <c r="L118" s="143" t="s">
        <v>300</v>
      </c>
    </row>
    <row r="119" spans="1:12" ht="29" x14ac:dyDescent="0.35">
      <c r="A119" s="135">
        <v>2026</v>
      </c>
      <c r="B119" s="136">
        <v>6</v>
      </c>
      <c r="C119" s="133" t="s">
        <v>7</v>
      </c>
      <c r="D119" s="133" t="s">
        <v>16</v>
      </c>
      <c r="E119" s="133" t="s">
        <v>201</v>
      </c>
      <c r="F119" s="139">
        <v>284</v>
      </c>
      <c r="G119" s="139">
        <v>284</v>
      </c>
      <c r="H119" s="139">
        <f t="shared" si="3"/>
        <v>24</v>
      </c>
      <c r="I119" s="139">
        <v>12</v>
      </c>
      <c r="J119" s="141">
        <f t="shared" si="4"/>
        <v>0.5</v>
      </c>
      <c r="K119" s="136" t="str">
        <f t="shared" si="5"/>
        <v>Belum Tercapai</v>
      </c>
      <c r="L119" s="143" t="s">
        <v>301</v>
      </c>
    </row>
    <row r="120" spans="1:12" ht="29" x14ac:dyDescent="0.35">
      <c r="A120" s="135">
        <v>2026</v>
      </c>
      <c r="B120" s="136">
        <v>6</v>
      </c>
      <c r="C120" s="133" t="s">
        <v>7</v>
      </c>
      <c r="D120" s="133" t="s">
        <v>16</v>
      </c>
      <c r="E120" s="133" t="s">
        <v>302</v>
      </c>
      <c r="F120" s="139">
        <v>71</v>
      </c>
      <c r="G120" s="139">
        <v>71</v>
      </c>
      <c r="H120" s="139">
        <f t="shared" si="3"/>
        <v>6</v>
      </c>
      <c r="I120" s="139">
        <v>6</v>
      </c>
      <c r="J120" s="141">
        <f t="shared" si="4"/>
        <v>1</v>
      </c>
      <c r="K120" s="136" t="str">
        <f t="shared" si="5"/>
        <v>Tercapai</v>
      </c>
      <c r="L120" s="143" t="s">
        <v>301</v>
      </c>
    </row>
    <row r="121" spans="1:12" x14ac:dyDescent="0.35">
      <c r="A121" s="135">
        <v>2026</v>
      </c>
      <c r="B121" s="136">
        <v>6</v>
      </c>
      <c r="C121" s="133" t="s">
        <v>7</v>
      </c>
      <c r="D121" s="133" t="s">
        <v>16</v>
      </c>
      <c r="E121" s="133" t="s">
        <v>92</v>
      </c>
      <c r="F121" s="139">
        <v>155</v>
      </c>
      <c r="G121" s="139">
        <v>155</v>
      </c>
      <c r="H121" s="139">
        <f t="shared" si="3"/>
        <v>13</v>
      </c>
      <c r="I121" s="139">
        <v>0</v>
      </c>
      <c r="J121" s="141">
        <f t="shared" si="4"/>
        <v>0</v>
      </c>
      <c r="K121" s="136" t="str">
        <f t="shared" si="5"/>
        <v>Belum Tercapai</v>
      </c>
      <c r="L121" s="143" t="s">
        <v>303</v>
      </c>
    </row>
    <row r="122" spans="1:12" ht="29" x14ac:dyDescent="0.35">
      <c r="A122" s="135">
        <v>2026</v>
      </c>
      <c r="B122" s="136">
        <v>1</v>
      </c>
      <c r="C122" s="133" t="s">
        <v>1</v>
      </c>
      <c r="D122" s="133" t="s">
        <v>17</v>
      </c>
      <c r="E122" s="133" t="s">
        <v>299</v>
      </c>
      <c r="F122" s="139">
        <v>19105</v>
      </c>
      <c r="G122" s="139">
        <v>19105</v>
      </c>
      <c r="H122" s="139">
        <f t="shared" si="3"/>
        <v>1593</v>
      </c>
      <c r="I122" s="139">
        <v>1120</v>
      </c>
      <c r="J122" s="141">
        <f t="shared" si="4"/>
        <v>0.70307595731324546</v>
      </c>
      <c r="K122" s="136" t="str">
        <f t="shared" si="5"/>
        <v>Belum Tercapai</v>
      </c>
      <c r="L122" s="143" t="s">
        <v>300</v>
      </c>
    </row>
    <row r="123" spans="1:12" ht="29" x14ac:dyDescent="0.35">
      <c r="A123" s="135">
        <v>2026</v>
      </c>
      <c r="B123" s="136">
        <v>1</v>
      </c>
      <c r="C123" s="133" t="s">
        <v>1</v>
      </c>
      <c r="D123" s="133" t="s">
        <v>17</v>
      </c>
      <c r="E123" s="133" t="s">
        <v>201</v>
      </c>
      <c r="F123" s="139">
        <v>909</v>
      </c>
      <c r="G123" s="139">
        <v>909</v>
      </c>
      <c r="H123" s="139">
        <f t="shared" si="3"/>
        <v>76</v>
      </c>
      <c r="I123" s="139">
        <v>152</v>
      </c>
      <c r="J123" s="141">
        <f t="shared" si="4"/>
        <v>2</v>
      </c>
      <c r="K123" s="136" t="str">
        <f t="shared" si="5"/>
        <v>Tercapai</v>
      </c>
      <c r="L123" s="143" t="s">
        <v>301</v>
      </c>
    </row>
    <row r="124" spans="1:12" ht="29" x14ac:dyDescent="0.35">
      <c r="A124" s="135">
        <v>2026</v>
      </c>
      <c r="B124" s="136">
        <v>1</v>
      </c>
      <c r="C124" s="133" t="s">
        <v>1</v>
      </c>
      <c r="D124" s="133" t="s">
        <v>17</v>
      </c>
      <c r="E124" s="133" t="s">
        <v>302</v>
      </c>
      <c r="F124" s="139">
        <v>227</v>
      </c>
      <c r="G124" s="139">
        <v>227</v>
      </c>
      <c r="H124" s="139">
        <f t="shared" si="3"/>
        <v>19</v>
      </c>
      <c r="I124" s="139">
        <v>61</v>
      </c>
      <c r="J124" s="141">
        <f t="shared" si="4"/>
        <v>3.2105263157894739</v>
      </c>
      <c r="K124" s="136" t="str">
        <f t="shared" si="5"/>
        <v>Tercapai</v>
      </c>
      <c r="L124" s="143" t="s">
        <v>301</v>
      </c>
    </row>
    <row r="125" spans="1:12" x14ac:dyDescent="0.35">
      <c r="A125" s="135">
        <v>2026</v>
      </c>
      <c r="B125" s="136">
        <v>1</v>
      </c>
      <c r="C125" s="133" t="s">
        <v>1</v>
      </c>
      <c r="D125" s="133" t="s">
        <v>17</v>
      </c>
      <c r="E125" s="133" t="s">
        <v>92</v>
      </c>
      <c r="F125" s="139">
        <v>546</v>
      </c>
      <c r="G125" s="139">
        <v>546</v>
      </c>
      <c r="H125" s="139">
        <f t="shared" si="3"/>
        <v>46</v>
      </c>
      <c r="I125" s="139">
        <v>0</v>
      </c>
      <c r="J125" s="141">
        <f t="shared" si="4"/>
        <v>0</v>
      </c>
      <c r="K125" s="136" t="str">
        <f t="shared" si="5"/>
        <v>Belum Tercapai</v>
      </c>
      <c r="L125" s="143" t="s">
        <v>303</v>
      </c>
    </row>
    <row r="126" spans="1:12" ht="29" x14ac:dyDescent="0.35">
      <c r="A126" s="135">
        <v>2026</v>
      </c>
      <c r="B126" s="136">
        <v>2</v>
      </c>
      <c r="C126" s="133" t="s">
        <v>2</v>
      </c>
      <c r="D126" s="133" t="s">
        <v>17</v>
      </c>
      <c r="E126" s="133" t="s">
        <v>299</v>
      </c>
      <c r="F126" s="139">
        <v>19105</v>
      </c>
      <c r="G126" s="139">
        <v>19105</v>
      </c>
      <c r="H126" s="139">
        <f t="shared" si="3"/>
        <v>1592</v>
      </c>
      <c r="I126" s="139">
        <v>778</v>
      </c>
      <c r="J126" s="141">
        <f t="shared" si="4"/>
        <v>0.4886934673366834</v>
      </c>
      <c r="K126" s="136" t="str">
        <f t="shared" si="5"/>
        <v>Belum Tercapai</v>
      </c>
      <c r="L126" s="143" t="s">
        <v>300</v>
      </c>
    </row>
    <row r="127" spans="1:12" ht="29" x14ac:dyDescent="0.35">
      <c r="A127" s="135">
        <v>2026</v>
      </c>
      <c r="B127" s="136">
        <v>2</v>
      </c>
      <c r="C127" s="133" t="s">
        <v>2</v>
      </c>
      <c r="D127" s="133" t="s">
        <v>17</v>
      </c>
      <c r="E127" s="133" t="s">
        <v>201</v>
      </c>
      <c r="F127" s="139">
        <v>909</v>
      </c>
      <c r="G127" s="139">
        <v>909</v>
      </c>
      <c r="H127" s="139">
        <f t="shared" si="3"/>
        <v>76</v>
      </c>
      <c r="I127" s="139">
        <v>76</v>
      </c>
      <c r="J127" s="141">
        <f t="shared" si="4"/>
        <v>1</v>
      </c>
      <c r="K127" s="136" t="str">
        <f t="shared" si="5"/>
        <v>Tercapai</v>
      </c>
      <c r="L127" s="143" t="s">
        <v>301</v>
      </c>
    </row>
    <row r="128" spans="1:12" ht="29" x14ac:dyDescent="0.35">
      <c r="A128" s="135">
        <v>2026</v>
      </c>
      <c r="B128" s="136">
        <v>2</v>
      </c>
      <c r="C128" s="133" t="s">
        <v>2</v>
      </c>
      <c r="D128" s="133" t="s">
        <v>17</v>
      </c>
      <c r="E128" s="133" t="s">
        <v>302</v>
      </c>
      <c r="F128" s="139">
        <v>227</v>
      </c>
      <c r="G128" s="139">
        <v>227</v>
      </c>
      <c r="H128" s="139">
        <f t="shared" si="3"/>
        <v>19</v>
      </c>
      <c r="I128" s="139">
        <v>16</v>
      </c>
      <c r="J128" s="141">
        <f t="shared" si="4"/>
        <v>0.84210526315789469</v>
      </c>
      <c r="K128" s="136" t="str">
        <f t="shared" si="5"/>
        <v>Belum Tercapai</v>
      </c>
      <c r="L128" s="143" t="s">
        <v>301</v>
      </c>
    </row>
    <row r="129" spans="1:12" x14ac:dyDescent="0.35">
      <c r="A129" s="135">
        <v>2026</v>
      </c>
      <c r="B129" s="136">
        <v>2</v>
      </c>
      <c r="C129" s="133" t="s">
        <v>2</v>
      </c>
      <c r="D129" s="133" t="s">
        <v>17</v>
      </c>
      <c r="E129" s="133" t="s">
        <v>92</v>
      </c>
      <c r="F129" s="139">
        <v>546</v>
      </c>
      <c r="G129" s="139">
        <v>546</v>
      </c>
      <c r="H129" s="139">
        <f t="shared" si="3"/>
        <v>46</v>
      </c>
      <c r="I129" s="139">
        <v>0</v>
      </c>
      <c r="J129" s="141">
        <f t="shared" si="4"/>
        <v>0</v>
      </c>
      <c r="K129" s="136" t="str">
        <f t="shared" si="5"/>
        <v>Belum Tercapai</v>
      </c>
      <c r="L129" s="143" t="s">
        <v>303</v>
      </c>
    </row>
    <row r="130" spans="1:12" ht="29" x14ac:dyDescent="0.35">
      <c r="A130" s="135">
        <v>2026</v>
      </c>
      <c r="B130" s="136">
        <v>3</v>
      </c>
      <c r="C130" s="133" t="s">
        <v>3</v>
      </c>
      <c r="D130" s="133" t="s">
        <v>17</v>
      </c>
      <c r="E130" s="133" t="s">
        <v>299</v>
      </c>
      <c r="F130" s="139">
        <v>19105</v>
      </c>
      <c r="G130" s="139">
        <v>19105</v>
      </c>
      <c r="H130" s="139">
        <f t="shared" ref="H130:H193" si="6">QUOTIENT(G130,12)+IF(B130&lt;=MOD(G130,12),1,0)</f>
        <v>1592</v>
      </c>
      <c r="I130" s="139">
        <v>843</v>
      </c>
      <c r="J130" s="141">
        <f t="shared" ref="J130:J193" si="7">IF(H130=0,"",I130/H130)</f>
        <v>0.52952261306532666</v>
      </c>
      <c r="K130" s="136" t="str">
        <f t="shared" ref="K130:K193" si="8">IF(H130=0,"",IF(I130&gt;=H130,"Tercapai","Belum Tercapai"))</f>
        <v>Belum Tercapai</v>
      </c>
      <c r="L130" s="143" t="s">
        <v>300</v>
      </c>
    </row>
    <row r="131" spans="1:12" ht="29" x14ac:dyDescent="0.35">
      <c r="A131" s="135">
        <v>2026</v>
      </c>
      <c r="B131" s="136">
        <v>3</v>
      </c>
      <c r="C131" s="133" t="s">
        <v>3</v>
      </c>
      <c r="D131" s="133" t="s">
        <v>17</v>
      </c>
      <c r="E131" s="133" t="s">
        <v>201</v>
      </c>
      <c r="F131" s="139">
        <v>909</v>
      </c>
      <c r="G131" s="139">
        <v>909</v>
      </c>
      <c r="H131" s="139">
        <f t="shared" si="6"/>
        <v>76</v>
      </c>
      <c r="I131" s="139">
        <v>118</v>
      </c>
      <c r="J131" s="141">
        <f t="shared" si="7"/>
        <v>1.5526315789473684</v>
      </c>
      <c r="K131" s="136" t="str">
        <f t="shared" si="8"/>
        <v>Tercapai</v>
      </c>
      <c r="L131" s="143" t="s">
        <v>301</v>
      </c>
    </row>
    <row r="132" spans="1:12" ht="29" x14ac:dyDescent="0.35">
      <c r="A132" s="135">
        <v>2026</v>
      </c>
      <c r="B132" s="136">
        <v>3</v>
      </c>
      <c r="C132" s="133" t="s">
        <v>3</v>
      </c>
      <c r="D132" s="133" t="s">
        <v>17</v>
      </c>
      <c r="E132" s="133" t="s">
        <v>302</v>
      </c>
      <c r="F132" s="139">
        <v>227</v>
      </c>
      <c r="G132" s="139">
        <v>227</v>
      </c>
      <c r="H132" s="139">
        <f t="shared" si="6"/>
        <v>19</v>
      </c>
      <c r="I132" s="139">
        <v>35</v>
      </c>
      <c r="J132" s="141">
        <f t="shared" si="7"/>
        <v>1.8421052631578947</v>
      </c>
      <c r="K132" s="136" t="str">
        <f t="shared" si="8"/>
        <v>Tercapai</v>
      </c>
      <c r="L132" s="143" t="s">
        <v>301</v>
      </c>
    </row>
    <row r="133" spans="1:12" x14ac:dyDescent="0.35">
      <c r="A133" s="135">
        <v>2026</v>
      </c>
      <c r="B133" s="136">
        <v>3</v>
      </c>
      <c r="C133" s="133" t="s">
        <v>3</v>
      </c>
      <c r="D133" s="133" t="s">
        <v>17</v>
      </c>
      <c r="E133" s="133" t="s">
        <v>92</v>
      </c>
      <c r="F133" s="139">
        <v>546</v>
      </c>
      <c r="G133" s="139">
        <v>546</v>
      </c>
      <c r="H133" s="139">
        <f t="shared" si="6"/>
        <v>46</v>
      </c>
      <c r="I133" s="139">
        <v>0</v>
      </c>
      <c r="J133" s="141">
        <f t="shared" si="7"/>
        <v>0</v>
      </c>
      <c r="K133" s="136" t="str">
        <f t="shared" si="8"/>
        <v>Belum Tercapai</v>
      </c>
      <c r="L133" s="143" t="s">
        <v>303</v>
      </c>
    </row>
    <row r="134" spans="1:12" ht="29" x14ac:dyDescent="0.35">
      <c r="A134" s="135">
        <v>2026</v>
      </c>
      <c r="B134" s="136">
        <v>4</v>
      </c>
      <c r="C134" s="133" t="s">
        <v>5</v>
      </c>
      <c r="D134" s="133" t="s">
        <v>17</v>
      </c>
      <c r="E134" s="133" t="s">
        <v>299</v>
      </c>
      <c r="F134" s="139">
        <v>19105</v>
      </c>
      <c r="G134" s="139">
        <v>19105</v>
      </c>
      <c r="H134" s="139">
        <f t="shared" si="6"/>
        <v>1592</v>
      </c>
      <c r="I134" s="139">
        <v>770</v>
      </c>
      <c r="J134" s="141">
        <f t="shared" si="7"/>
        <v>0.48366834170854273</v>
      </c>
      <c r="K134" s="136" t="str">
        <f t="shared" si="8"/>
        <v>Belum Tercapai</v>
      </c>
      <c r="L134" s="143" t="s">
        <v>300</v>
      </c>
    </row>
    <row r="135" spans="1:12" ht="29" x14ac:dyDescent="0.35">
      <c r="A135" s="135">
        <v>2026</v>
      </c>
      <c r="B135" s="136">
        <v>4</v>
      </c>
      <c r="C135" s="133" t="s">
        <v>5</v>
      </c>
      <c r="D135" s="133" t="s">
        <v>17</v>
      </c>
      <c r="E135" s="133" t="s">
        <v>201</v>
      </c>
      <c r="F135" s="139">
        <v>909</v>
      </c>
      <c r="G135" s="139">
        <v>909</v>
      </c>
      <c r="H135" s="139">
        <f t="shared" si="6"/>
        <v>76</v>
      </c>
      <c r="I135" s="139">
        <v>79</v>
      </c>
      <c r="J135" s="141">
        <f t="shared" si="7"/>
        <v>1.0394736842105263</v>
      </c>
      <c r="K135" s="136" t="str">
        <f t="shared" si="8"/>
        <v>Tercapai</v>
      </c>
      <c r="L135" s="143" t="s">
        <v>301</v>
      </c>
    </row>
    <row r="136" spans="1:12" ht="29" x14ac:dyDescent="0.35">
      <c r="A136" s="135">
        <v>2026</v>
      </c>
      <c r="B136" s="136">
        <v>4</v>
      </c>
      <c r="C136" s="133" t="s">
        <v>5</v>
      </c>
      <c r="D136" s="133" t="s">
        <v>17</v>
      </c>
      <c r="E136" s="133" t="s">
        <v>302</v>
      </c>
      <c r="F136" s="139">
        <v>227</v>
      </c>
      <c r="G136" s="139">
        <v>227</v>
      </c>
      <c r="H136" s="139">
        <f t="shared" si="6"/>
        <v>19</v>
      </c>
      <c r="I136" s="139">
        <v>23</v>
      </c>
      <c r="J136" s="141">
        <f t="shared" si="7"/>
        <v>1.2105263157894737</v>
      </c>
      <c r="K136" s="136" t="str">
        <f t="shared" si="8"/>
        <v>Tercapai</v>
      </c>
      <c r="L136" s="143" t="s">
        <v>301</v>
      </c>
    </row>
    <row r="137" spans="1:12" x14ac:dyDescent="0.35">
      <c r="A137" s="135">
        <v>2026</v>
      </c>
      <c r="B137" s="136">
        <v>4</v>
      </c>
      <c r="C137" s="133" t="s">
        <v>5</v>
      </c>
      <c r="D137" s="133" t="s">
        <v>17</v>
      </c>
      <c r="E137" s="133" t="s">
        <v>92</v>
      </c>
      <c r="F137" s="139">
        <v>546</v>
      </c>
      <c r="G137" s="139">
        <v>546</v>
      </c>
      <c r="H137" s="139">
        <f t="shared" si="6"/>
        <v>46</v>
      </c>
      <c r="I137" s="139">
        <v>0</v>
      </c>
      <c r="J137" s="141">
        <f t="shared" si="7"/>
        <v>0</v>
      </c>
      <c r="K137" s="136" t="str">
        <f t="shared" si="8"/>
        <v>Belum Tercapai</v>
      </c>
      <c r="L137" s="143" t="s">
        <v>303</v>
      </c>
    </row>
    <row r="138" spans="1:12" ht="29" x14ac:dyDescent="0.35">
      <c r="A138" s="135">
        <v>2026</v>
      </c>
      <c r="B138" s="136">
        <v>5</v>
      </c>
      <c r="C138" s="133" t="s">
        <v>6</v>
      </c>
      <c r="D138" s="133" t="s">
        <v>17</v>
      </c>
      <c r="E138" s="133" t="s">
        <v>299</v>
      </c>
      <c r="F138" s="139">
        <v>19105</v>
      </c>
      <c r="G138" s="139">
        <v>19105</v>
      </c>
      <c r="H138" s="139">
        <f t="shared" si="6"/>
        <v>1592</v>
      </c>
      <c r="I138" s="139">
        <v>535</v>
      </c>
      <c r="J138" s="141">
        <f t="shared" si="7"/>
        <v>0.33605527638190957</v>
      </c>
      <c r="K138" s="136" t="str">
        <f t="shared" si="8"/>
        <v>Belum Tercapai</v>
      </c>
      <c r="L138" s="143" t="s">
        <v>300</v>
      </c>
    </row>
    <row r="139" spans="1:12" ht="29" x14ac:dyDescent="0.35">
      <c r="A139" s="135">
        <v>2026</v>
      </c>
      <c r="B139" s="136">
        <v>5</v>
      </c>
      <c r="C139" s="133" t="s">
        <v>6</v>
      </c>
      <c r="D139" s="133" t="s">
        <v>17</v>
      </c>
      <c r="E139" s="133" t="s">
        <v>201</v>
      </c>
      <c r="F139" s="139">
        <v>909</v>
      </c>
      <c r="G139" s="139">
        <v>909</v>
      </c>
      <c r="H139" s="139">
        <f t="shared" si="6"/>
        <v>76</v>
      </c>
      <c r="I139" s="139">
        <v>70</v>
      </c>
      <c r="J139" s="141">
        <f t="shared" si="7"/>
        <v>0.92105263157894735</v>
      </c>
      <c r="K139" s="136" t="str">
        <f t="shared" si="8"/>
        <v>Belum Tercapai</v>
      </c>
      <c r="L139" s="143" t="s">
        <v>301</v>
      </c>
    </row>
    <row r="140" spans="1:12" ht="29" x14ac:dyDescent="0.35">
      <c r="A140" s="135">
        <v>2026</v>
      </c>
      <c r="B140" s="136">
        <v>5</v>
      </c>
      <c r="C140" s="133" t="s">
        <v>6</v>
      </c>
      <c r="D140" s="133" t="s">
        <v>17</v>
      </c>
      <c r="E140" s="133" t="s">
        <v>302</v>
      </c>
      <c r="F140" s="139">
        <v>227</v>
      </c>
      <c r="G140" s="139">
        <v>227</v>
      </c>
      <c r="H140" s="139">
        <f t="shared" si="6"/>
        <v>19</v>
      </c>
      <c r="I140" s="139">
        <v>14</v>
      </c>
      <c r="J140" s="141">
        <f t="shared" si="7"/>
        <v>0.73684210526315785</v>
      </c>
      <c r="K140" s="136" t="str">
        <f t="shared" si="8"/>
        <v>Belum Tercapai</v>
      </c>
      <c r="L140" s="143" t="s">
        <v>301</v>
      </c>
    </row>
    <row r="141" spans="1:12" x14ac:dyDescent="0.35">
      <c r="A141" s="135">
        <v>2026</v>
      </c>
      <c r="B141" s="136">
        <v>5</v>
      </c>
      <c r="C141" s="133" t="s">
        <v>6</v>
      </c>
      <c r="D141" s="133" t="s">
        <v>17</v>
      </c>
      <c r="E141" s="133" t="s">
        <v>92</v>
      </c>
      <c r="F141" s="139">
        <v>546</v>
      </c>
      <c r="G141" s="139">
        <v>546</v>
      </c>
      <c r="H141" s="139">
        <f t="shared" si="6"/>
        <v>46</v>
      </c>
      <c r="I141" s="139">
        <v>0</v>
      </c>
      <c r="J141" s="141">
        <f t="shared" si="7"/>
        <v>0</v>
      </c>
      <c r="K141" s="136" t="str">
        <f t="shared" si="8"/>
        <v>Belum Tercapai</v>
      </c>
      <c r="L141" s="143" t="s">
        <v>303</v>
      </c>
    </row>
    <row r="142" spans="1:12" ht="29" x14ac:dyDescent="0.35">
      <c r="A142" s="135">
        <v>2026</v>
      </c>
      <c r="B142" s="136">
        <v>6</v>
      </c>
      <c r="C142" s="133" t="s">
        <v>7</v>
      </c>
      <c r="D142" s="133" t="s">
        <v>17</v>
      </c>
      <c r="E142" s="133" t="s">
        <v>299</v>
      </c>
      <c r="F142" s="139">
        <v>19105</v>
      </c>
      <c r="G142" s="139">
        <v>19105</v>
      </c>
      <c r="H142" s="139">
        <f t="shared" si="6"/>
        <v>1592</v>
      </c>
      <c r="I142" s="139">
        <v>943</v>
      </c>
      <c r="J142" s="141">
        <f t="shared" si="7"/>
        <v>0.59233668341708545</v>
      </c>
      <c r="K142" s="136" t="str">
        <f t="shared" si="8"/>
        <v>Belum Tercapai</v>
      </c>
      <c r="L142" s="143" t="s">
        <v>300</v>
      </c>
    </row>
    <row r="143" spans="1:12" ht="29" x14ac:dyDescent="0.35">
      <c r="A143" s="135">
        <v>2026</v>
      </c>
      <c r="B143" s="136">
        <v>6</v>
      </c>
      <c r="C143" s="133" t="s">
        <v>7</v>
      </c>
      <c r="D143" s="133" t="s">
        <v>17</v>
      </c>
      <c r="E143" s="133" t="s">
        <v>201</v>
      </c>
      <c r="F143" s="139">
        <v>909</v>
      </c>
      <c r="G143" s="139">
        <v>909</v>
      </c>
      <c r="H143" s="139">
        <f t="shared" si="6"/>
        <v>76</v>
      </c>
      <c r="I143" s="139">
        <v>100</v>
      </c>
      <c r="J143" s="141">
        <f t="shared" si="7"/>
        <v>1.3157894736842106</v>
      </c>
      <c r="K143" s="136" t="str">
        <f t="shared" si="8"/>
        <v>Tercapai</v>
      </c>
      <c r="L143" s="143" t="s">
        <v>301</v>
      </c>
    </row>
    <row r="144" spans="1:12" ht="29" x14ac:dyDescent="0.35">
      <c r="A144" s="135">
        <v>2026</v>
      </c>
      <c r="B144" s="136">
        <v>6</v>
      </c>
      <c r="C144" s="133" t="s">
        <v>7</v>
      </c>
      <c r="D144" s="133" t="s">
        <v>17</v>
      </c>
      <c r="E144" s="133" t="s">
        <v>302</v>
      </c>
      <c r="F144" s="139">
        <v>227</v>
      </c>
      <c r="G144" s="139">
        <v>227</v>
      </c>
      <c r="H144" s="139">
        <f t="shared" si="6"/>
        <v>19</v>
      </c>
      <c r="I144" s="139">
        <v>21</v>
      </c>
      <c r="J144" s="141">
        <f t="shared" si="7"/>
        <v>1.1052631578947369</v>
      </c>
      <c r="K144" s="136" t="str">
        <f t="shared" si="8"/>
        <v>Tercapai</v>
      </c>
      <c r="L144" s="143" t="s">
        <v>301</v>
      </c>
    </row>
    <row r="145" spans="1:12" x14ac:dyDescent="0.35">
      <c r="A145" s="135">
        <v>2026</v>
      </c>
      <c r="B145" s="136">
        <v>6</v>
      </c>
      <c r="C145" s="133" t="s">
        <v>7</v>
      </c>
      <c r="D145" s="133" t="s">
        <v>17</v>
      </c>
      <c r="E145" s="133" t="s">
        <v>92</v>
      </c>
      <c r="F145" s="139">
        <v>546</v>
      </c>
      <c r="G145" s="139">
        <v>546</v>
      </c>
      <c r="H145" s="139">
        <f t="shared" si="6"/>
        <v>46</v>
      </c>
      <c r="I145" s="139">
        <v>0</v>
      </c>
      <c r="J145" s="141">
        <f t="shared" si="7"/>
        <v>0</v>
      </c>
      <c r="K145" s="136" t="str">
        <f t="shared" si="8"/>
        <v>Belum Tercapai</v>
      </c>
      <c r="L145" s="143" t="s">
        <v>303</v>
      </c>
    </row>
    <row r="146" spans="1:12" ht="29" x14ac:dyDescent="0.35">
      <c r="A146" s="135">
        <v>2026</v>
      </c>
      <c r="B146" s="136">
        <v>1</v>
      </c>
      <c r="C146" s="133" t="s">
        <v>1</v>
      </c>
      <c r="D146" s="133" t="s">
        <v>18</v>
      </c>
      <c r="E146" s="133" t="s">
        <v>299</v>
      </c>
      <c r="F146" s="139">
        <v>3923</v>
      </c>
      <c r="G146" s="139">
        <v>3923</v>
      </c>
      <c r="H146" s="139">
        <f t="shared" si="6"/>
        <v>327</v>
      </c>
      <c r="I146" s="139">
        <v>48</v>
      </c>
      <c r="J146" s="141">
        <f t="shared" si="7"/>
        <v>0.14678899082568808</v>
      </c>
      <c r="K146" s="136" t="str">
        <f t="shared" si="8"/>
        <v>Belum Tercapai</v>
      </c>
      <c r="L146" s="143" t="s">
        <v>300</v>
      </c>
    </row>
    <row r="147" spans="1:12" ht="29" x14ac:dyDescent="0.35">
      <c r="A147" s="135">
        <v>2026</v>
      </c>
      <c r="B147" s="136">
        <v>1</v>
      </c>
      <c r="C147" s="133" t="s">
        <v>1</v>
      </c>
      <c r="D147" s="133" t="s">
        <v>18</v>
      </c>
      <c r="E147" s="133" t="s">
        <v>201</v>
      </c>
      <c r="F147" s="139">
        <v>188</v>
      </c>
      <c r="G147" s="139">
        <v>188</v>
      </c>
      <c r="H147" s="139">
        <f t="shared" si="6"/>
        <v>16</v>
      </c>
      <c r="I147" s="139">
        <v>22</v>
      </c>
      <c r="J147" s="141">
        <f t="shared" si="7"/>
        <v>1.375</v>
      </c>
      <c r="K147" s="136" t="str">
        <f t="shared" si="8"/>
        <v>Tercapai</v>
      </c>
      <c r="L147" s="143" t="s">
        <v>301</v>
      </c>
    </row>
    <row r="148" spans="1:12" ht="29" x14ac:dyDescent="0.35">
      <c r="A148" s="135">
        <v>2026</v>
      </c>
      <c r="B148" s="136">
        <v>1</v>
      </c>
      <c r="C148" s="133" t="s">
        <v>1</v>
      </c>
      <c r="D148" s="133" t="s">
        <v>18</v>
      </c>
      <c r="E148" s="133" t="s">
        <v>302</v>
      </c>
      <c r="F148" s="139">
        <v>47</v>
      </c>
      <c r="G148" s="139">
        <v>47</v>
      </c>
      <c r="H148" s="139">
        <f t="shared" si="6"/>
        <v>4</v>
      </c>
      <c r="I148" s="139">
        <v>0</v>
      </c>
      <c r="J148" s="141">
        <f t="shared" si="7"/>
        <v>0</v>
      </c>
      <c r="K148" s="136" t="str">
        <f t="shared" si="8"/>
        <v>Belum Tercapai</v>
      </c>
      <c r="L148" s="143" t="s">
        <v>301</v>
      </c>
    </row>
    <row r="149" spans="1:12" x14ac:dyDescent="0.35">
      <c r="A149" s="135">
        <v>2026</v>
      </c>
      <c r="B149" s="136">
        <v>1</v>
      </c>
      <c r="C149" s="133" t="s">
        <v>1</v>
      </c>
      <c r="D149" s="133" t="s">
        <v>18</v>
      </c>
      <c r="E149" s="133" t="s">
        <v>92</v>
      </c>
      <c r="F149" s="139">
        <v>96</v>
      </c>
      <c r="G149" s="139">
        <v>96</v>
      </c>
      <c r="H149" s="139">
        <f t="shared" si="6"/>
        <v>8</v>
      </c>
      <c r="I149" s="139">
        <v>0</v>
      </c>
      <c r="J149" s="141">
        <f t="shared" si="7"/>
        <v>0</v>
      </c>
      <c r="K149" s="136" t="str">
        <f t="shared" si="8"/>
        <v>Belum Tercapai</v>
      </c>
      <c r="L149" s="143" t="s">
        <v>303</v>
      </c>
    </row>
    <row r="150" spans="1:12" ht="29" x14ac:dyDescent="0.35">
      <c r="A150" s="135">
        <v>2026</v>
      </c>
      <c r="B150" s="136">
        <v>2</v>
      </c>
      <c r="C150" s="133" t="s">
        <v>2</v>
      </c>
      <c r="D150" s="133" t="s">
        <v>18</v>
      </c>
      <c r="E150" s="133" t="s">
        <v>299</v>
      </c>
      <c r="F150" s="139">
        <v>3923</v>
      </c>
      <c r="G150" s="139">
        <v>3923</v>
      </c>
      <c r="H150" s="139">
        <f t="shared" si="6"/>
        <v>327</v>
      </c>
      <c r="I150" s="139">
        <v>70</v>
      </c>
      <c r="J150" s="141">
        <f t="shared" si="7"/>
        <v>0.21406727828746178</v>
      </c>
      <c r="K150" s="136" t="str">
        <f t="shared" si="8"/>
        <v>Belum Tercapai</v>
      </c>
      <c r="L150" s="143" t="s">
        <v>300</v>
      </c>
    </row>
    <row r="151" spans="1:12" ht="29" x14ac:dyDescent="0.35">
      <c r="A151" s="135">
        <v>2026</v>
      </c>
      <c r="B151" s="136">
        <v>2</v>
      </c>
      <c r="C151" s="133" t="s">
        <v>2</v>
      </c>
      <c r="D151" s="133" t="s">
        <v>18</v>
      </c>
      <c r="E151" s="133" t="s">
        <v>201</v>
      </c>
      <c r="F151" s="139">
        <v>188</v>
      </c>
      <c r="G151" s="139">
        <v>188</v>
      </c>
      <c r="H151" s="139">
        <f t="shared" si="6"/>
        <v>16</v>
      </c>
      <c r="I151" s="139">
        <v>23</v>
      </c>
      <c r="J151" s="141">
        <f t="shared" si="7"/>
        <v>1.4375</v>
      </c>
      <c r="K151" s="136" t="str">
        <f t="shared" si="8"/>
        <v>Tercapai</v>
      </c>
      <c r="L151" s="143" t="s">
        <v>301</v>
      </c>
    </row>
    <row r="152" spans="1:12" ht="29" x14ac:dyDescent="0.35">
      <c r="A152" s="135">
        <v>2026</v>
      </c>
      <c r="B152" s="136">
        <v>2</v>
      </c>
      <c r="C152" s="133" t="s">
        <v>2</v>
      </c>
      <c r="D152" s="133" t="s">
        <v>18</v>
      </c>
      <c r="E152" s="133" t="s">
        <v>302</v>
      </c>
      <c r="F152" s="139">
        <v>47</v>
      </c>
      <c r="G152" s="139">
        <v>47</v>
      </c>
      <c r="H152" s="139">
        <f t="shared" si="6"/>
        <v>4</v>
      </c>
      <c r="I152" s="139">
        <v>0</v>
      </c>
      <c r="J152" s="141">
        <f t="shared" si="7"/>
        <v>0</v>
      </c>
      <c r="K152" s="136" t="str">
        <f t="shared" si="8"/>
        <v>Belum Tercapai</v>
      </c>
      <c r="L152" s="143" t="s">
        <v>301</v>
      </c>
    </row>
    <row r="153" spans="1:12" x14ac:dyDescent="0.35">
      <c r="A153" s="135">
        <v>2026</v>
      </c>
      <c r="B153" s="136">
        <v>2</v>
      </c>
      <c r="C153" s="133" t="s">
        <v>2</v>
      </c>
      <c r="D153" s="133" t="s">
        <v>18</v>
      </c>
      <c r="E153" s="133" t="s">
        <v>92</v>
      </c>
      <c r="F153" s="139">
        <v>96</v>
      </c>
      <c r="G153" s="139">
        <v>96</v>
      </c>
      <c r="H153" s="139">
        <f t="shared" si="6"/>
        <v>8</v>
      </c>
      <c r="I153" s="139">
        <v>0</v>
      </c>
      <c r="J153" s="141">
        <f t="shared" si="7"/>
        <v>0</v>
      </c>
      <c r="K153" s="136" t="str">
        <f t="shared" si="8"/>
        <v>Belum Tercapai</v>
      </c>
      <c r="L153" s="143" t="s">
        <v>303</v>
      </c>
    </row>
    <row r="154" spans="1:12" ht="29" x14ac:dyDescent="0.35">
      <c r="A154" s="135">
        <v>2026</v>
      </c>
      <c r="B154" s="136">
        <v>3</v>
      </c>
      <c r="C154" s="133" t="s">
        <v>3</v>
      </c>
      <c r="D154" s="133" t="s">
        <v>18</v>
      </c>
      <c r="E154" s="133" t="s">
        <v>299</v>
      </c>
      <c r="F154" s="139">
        <v>3923</v>
      </c>
      <c r="G154" s="139">
        <v>3923</v>
      </c>
      <c r="H154" s="139">
        <f t="shared" si="6"/>
        <v>327</v>
      </c>
      <c r="I154" s="139">
        <v>231</v>
      </c>
      <c r="J154" s="141">
        <f t="shared" si="7"/>
        <v>0.70642201834862384</v>
      </c>
      <c r="K154" s="136" t="str">
        <f t="shared" si="8"/>
        <v>Belum Tercapai</v>
      </c>
      <c r="L154" s="143" t="s">
        <v>300</v>
      </c>
    </row>
    <row r="155" spans="1:12" ht="29" x14ac:dyDescent="0.35">
      <c r="A155" s="135">
        <v>2026</v>
      </c>
      <c r="B155" s="136">
        <v>3</v>
      </c>
      <c r="C155" s="133" t="s">
        <v>3</v>
      </c>
      <c r="D155" s="133" t="s">
        <v>18</v>
      </c>
      <c r="E155" s="133" t="s">
        <v>201</v>
      </c>
      <c r="F155" s="139">
        <v>188</v>
      </c>
      <c r="G155" s="139">
        <v>188</v>
      </c>
      <c r="H155" s="139">
        <f t="shared" si="6"/>
        <v>16</v>
      </c>
      <c r="I155" s="139">
        <v>11</v>
      </c>
      <c r="J155" s="141">
        <f t="shared" si="7"/>
        <v>0.6875</v>
      </c>
      <c r="K155" s="136" t="str">
        <f t="shared" si="8"/>
        <v>Belum Tercapai</v>
      </c>
      <c r="L155" s="143" t="s">
        <v>301</v>
      </c>
    </row>
    <row r="156" spans="1:12" ht="29" x14ac:dyDescent="0.35">
      <c r="A156" s="135">
        <v>2026</v>
      </c>
      <c r="B156" s="136">
        <v>3</v>
      </c>
      <c r="C156" s="133" t="s">
        <v>3</v>
      </c>
      <c r="D156" s="133" t="s">
        <v>18</v>
      </c>
      <c r="E156" s="133" t="s">
        <v>302</v>
      </c>
      <c r="F156" s="139">
        <v>47</v>
      </c>
      <c r="G156" s="139">
        <v>47</v>
      </c>
      <c r="H156" s="139">
        <f t="shared" si="6"/>
        <v>4</v>
      </c>
      <c r="I156" s="139">
        <v>8</v>
      </c>
      <c r="J156" s="141">
        <f t="shared" si="7"/>
        <v>2</v>
      </c>
      <c r="K156" s="136" t="str">
        <f t="shared" si="8"/>
        <v>Tercapai</v>
      </c>
      <c r="L156" s="143" t="s">
        <v>301</v>
      </c>
    </row>
    <row r="157" spans="1:12" x14ac:dyDescent="0.35">
      <c r="A157" s="135">
        <v>2026</v>
      </c>
      <c r="B157" s="136">
        <v>3</v>
      </c>
      <c r="C157" s="133" t="s">
        <v>3</v>
      </c>
      <c r="D157" s="133" t="s">
        <v>18</v>
      </c>
      <c r="E157" s="133" t="s">
        <v>92</v>
      </c>
      <c r="F157" s="139">
        <v>96</v>
      </c>
      <c r="G157" s="139">
        <v>96</v>
      </c>
      <c r="H157" s="139">
        <f t="shared" si="6"/>
        <v>8</v>
      </c>
      <c r="I157" s="139">
        <v>0</v>
      </c>
      <c r="J157" s="141">
        <f t="shared" si="7"/>
        <v>0</v>
      </c>
      <c r="K157" s="136" t="str">
        <f t="shared" si="8"/>
        <v>Belum Tercapai</v>
      </c>
      <c r="L157" s="143" t="s">
        <v>303</v>
      </c>
    </row>
    <row r="158" spans="1:12" ht="29" x14ac:dyDescent="0.35">
      <c r="A158" s="135">
        <v>2026</v>
      </c>
      <c r="B158" s="136">
        <v>4</v>
      </c>
      <c r="C158" s="133" t="s">
        <v>5</v>
      </c>
      <c r="D158" s="133" t="s">
        <v>18</v>
      </c>
      <c r="E158" s="133" t="s">
        <v>299</v>
      </c>
      <c r="F158" s="139">
        <v>3923</v>
      </c>
      <c r="G158" s="139">
        <v>3923</v>
      </c>
      <c r="H158" s="139">
        <f t="shared" si="6"/>
        <v>327</v>
      </c>
      <c r="I158" s="139">
        <v>257</v>
      </c>
      <c r="J158" s="141">
        <f t="shared" si="7"/>
        <v>0.78593272171253825</v>
      </c>
      <c r="K158" s="136" t="str">
        <f t="shared" si="8"/>
        <v>Belum Tercapai</v>
      </c>
      <c r="L158" s="143" t="s">
        <v>300</v>
      </c>
    </row>
    <row r="159" spans="1:12" ht="29" x14ac:dyDescent="0.35">
      <c r="A159" s="135">
        <v>2026</v>
      </c>
      <c r="B159" s="136">
        <v>4</v>
      </c>
      <c r="C159" s="133" t="s">
        <v>5</v>
      </c>
      <c r="D159" s="133" t="s">
        <v>18</v>
      </c>
      <c r="E159" s="133" t="s">
        <v>201</v>
      </c>
      <c r="F159" s="139">
        <v>188</v>
      </c>
      <c r="G159" s="139">
        <v>188</v>
      </c>
      <c r="H159" s="139">
        <f t="shared" si="6"/>
        <v>16</v>
      </c>
      <c r="I159" s="139">
        <v>1</v>
      </c>
      <c r="J159" s="141">
        <f t="shared" si="7"/>
        <v>6.25E-2</v>
      </c>
      <c r="K159" s="136" t="str">
        <f t="shared" si="8"/>
        <v>Belum Tercapai</v>
      </c>
      <c r="L159" s="143" t="s">
        <v>301</v>
      </c>
    </row>
    <row r="160" spans="1:12" ht="29" x14ac:dyDescent="0.35">
      <c r="A160" s="135">
        <v>2026</v>
      </c>
      <c r="B160" s="136">
        <v>4</v>
      </c>
      <c r="C160" s="133" t="s">
        <v>5</v>
      </c>
      <c r="D160" s="133" t="s">
        <v>18</v>
      </c>
      <c r="E160" s="133" t="s">
        <v>302</v>
      </c>
      <c r="F160" s="139">
        <v>47</v>
      </c>
      <c r="G160" s="139">
        <v>47</v>
      </c>
      <c r="H160" s="139">
        <f t="shared" si="6"/>
        <v>4</v>
      </c>
      <c r="I160" s="139">
        <v>0</v>
      </c>
      <c r="J160" s="141">
        <f t="shared" si="7"/>
        <v>0</v>
      </c>
      <c r="K160" s="136" t="str">
        <f t="shared" si="8"/>
        <v>Belum Tercapai</v>
      </c>
      <c r="L160" s="143" t="s">
        <v>301</v>
      </c>
    </row>
    <row r="161" spans="1:12" x14ac:dyDescent="0.35">
      <c r="A161" s="135">
        <v>2026</v>
      </c>
      <c r="B161" s="136">
        <v>4</v>
      </c>
      <c r="C161" s="133" t="s">
        <v>5</v>
      </c>
      <c r="D161" s="133" t="s">
        <v>18</v>
      </c>
      <c r="E161" s="133" t="s">
        <v>92</v>
      </c>
      <c r="F161" s="139">
        <v>96</v>
      </c>
      <c r="G161" s="139">
        <v>96</v>
      </c>
      <c r="H161" s="139">
        <f t="shared" si="6"/>
        <v>8</v>
      </c>
      <c r="I161" s="139">
        <v>0</v>
      </c>
      <c r="J161" s="141">
        <f t="shared" si="7"/>
        <v>0</v>
      </c>
      <c r="K161" s="136" t="str">
        <f t="shared" si="8"/>
        <v>Belum Tercapai</v>
      </c>
      <c r="L161" s="143" t="s">
        <v>303</v>
      </c>
    </row>
    <row r="162" spans="1:12" ht="29" x14ac:dyDescent="0.35">
      <c r="A162" s="135">
        <v>2026</v>
      </c>
      <c r="B162" s="136">
        <v>5</v>
      </c>
      <c r="C162" s="133" t="s">
        <v>6</v>
      </c>
      <c r="D162" s="133" t="s">
        <v>18</v>
      </c>
      <c r="E162" s="133" t="s">
        <v>299</v>
      </c>
      <c r="F162" s="139">
        <v>3923</v>
      </c>
      <c r="G162" s="139">
        <v>3923</v>
      </c>
      <c r="H162" s="139">
        <f t="shared" si="6"/>
        <v>327</v>
      </c>
      <c r="I162" s="139">
        <v>311</v>
      </c>
      <c r="J162" s="141">
        <f t="shared" si="7"/>
        <v>0.95107033639143734</v>
      </c>
      <c r="K162" s="136" t="str">
        <f t="shared" si="8"/>
        <v>Belum Tercapai</v>
      </c>
      <c r="L162" s="143" t="s">
        <v>300</v>
      </c>
    </row>
    <row r="163" spans="1:12" ht="29" x14ac:dyDescent="0.35">
      <c r="A163" s="135">
        <v>2026</v>
      </c>
      <c r="B163" s="136">
        <v>5</v>
      </c>
      <c r="C163" s="133" t="s">
        <v>6</v>
      </c>
      <c r="D163" s="133" t="s">
        <v>18</v>
      </c>
      <c r="E163" s="133" t="s">
        <v>201</v>
      </c>
      <c r="F163" s="139">
        <v>188</v>
      </c>
      <c r="G163" s="139">
        <v>188</v>
      </c>
      <c r="H163" s="139">
        <f t="shared" si="6"/>
        <v>16</v>
      </c>
      <c r="I163" s="139">
        <v>4</v>
      </c>
      <c r="J163" s="141">
        <f t="shared" si="7"/>
        <v>0.25</v>
      </c>
      <c r="K163" s="136" t="str">
        <f t="shared" si="8"/>
        <v>Belum Tercapai</v>
      </c>
      <c r="L163" s="143" t="s">
        <v>301</v>
      </c>
    </row>
    <row r="164" spans="1:12" ht="29" x14ac:dyDescent="0.35">
      <c r="A164" s="135">
        <v>2026</v>
      </c>
      <c r="B164" s="136">
        <v>5</v>
      </c>
      <c r="C164" s="133" t="s">
        <v>6</v>
      </c>
      <c r="D164" s="133" t="s">
        <v>18</v>
      </c>
      <c r="E164" s="133" t="s">
        <v>302</v>
      </c>
      <c r="F164" s="139">
        <v>47</v>
      </c>
      <c r="G164" s="139">
        <v>47</v>
      </c>
      <c r="H164" s="139">
        <f t="shared" si="6"/>
        <v>4</v>
      </c>
      <c r="I164" s="139">
        <v>1</v>
      </c>
      <c r="J164" s="141">
        <f t="shared" si="7"/>
        <v>0.25</v>
      </c>
      <c r="K164" s="136" t="str">
        <f t="shared" si="8"/>
        <v>Belum Tercapai</v>
      </c>
      <c r="L164" s="143" t="s">
        <v>301</v>
      </c>
    </row>
    <row r="165" spans="1:12" x14ac:dyDescent="0.35">
      <c r="A165" s="135">
        <v>2026</v>
      </c>
      <c r="B165" s="136">
        <v>5</v>
      </c>
      <c r="C165" s="133" t="s">
        <v>6</v>
      </c>
      <c r="D165" s="133" t="s">
        <v>18</v>
      </c>
      <c r="E165" s="133" t="s">
        <v>92</v>
      </c>
      <c r="F165" s="139">
        <v>96</v>
      </c>
      <c r="G165" s="139">
        <v>96</v>
      </c>
      <c r="H165" s="139">
        <f t="shared" si="6"/>
        <v>8</v>
      </c>
      <c r="I165" s="139">
        <v>0</v>
      </c>
      <c r="J165" s="141">
        <f t="shared" si="7"/>
        <v>0</v>
      </c>
      <c r="K165" s="136" t="str">
        <f t="shared" si="8"/>
        <v>Belum Tercapai</v>
      </c>
      <c r="L165" s="143" t="s">
        <v>303</v>
      </c>
    </row>
    <row r="166" spans="1:12" ht="29" x14ac:dyDescent="0.35">
      <c r="A166" s="135">
        <v>2026</v>
      </c>
      <c r="B166" s="136">
        <v>6</v>
      </c>
      <c r="C166" s="133" t="s">
        <v>7</v>
      </c>
      <c r="D166" s="133" t="s">
        <v>18</v>
      </c>
      <c r="E166" s="133" t="s">
        <v>299</v>
      </c>
      <c r="F166" s="139">
        <v>3923</v>
      </c>
      <c r="G166" s="139">
        <v>3923</v>
      </c>
      <c r="H166" s="139">
        <f t="shared" si="6"/>
        <v>327</v>
      </c>
      <c r="I166" s="139">
        <v>55</v>
      </c>
      <c r="J166" s="141">
        <f t="shared" si="7"/>
        <v>0.16819571865443425</v>
      </c>
      <c r="K166" s="136" t="str">
        <f t="shared" si="8"/>
        <v>Belum Tercapai</v>
      </c>
      <c r="L166" s="143" t="s">
        <v>300</v>
      </c>
    </row>
    <row r="167" spans="1:12" ht="29" x14ac:dyDescent="0.35">
      <c r="A167" s="135">
        <v>2026</v>
      </c>
      <c r="B167" s="136">
        <v>6</v>
      </c>
      <c r="C167" s="133" t="s">
        <v>7</v>
      </c>
      <c r="D167" s="133" t="s">
        <v>18</v>
      </c>
      <c r="E167" s="133" t="s">
        <v>201</v>
      </c>
      <c r="F167" s="139">
        <v>188</v>
      </c>
      <c r="G167" s="139">
        <v>188</v>
      </c>
      <c r="H167" s="139">
        <f t="shared" si="6"/>
        <v>16</v>
      </c>
      <c r="I167" s="139">
        <v>22</v>
      </c>
      <c r="J167" s="141">
        <f t="shared" si="7"/>
        <v>1.375</v>
      </c>
      <c r="K167" s="136" t="str">
        <f t="shared" si="8"/>
        <v>Tercapai</v>
      </c>
      <c r="L167" s="143" t="s">
        <v>301</v>
      </c>
    </row>
    <row r="168" spans="1:12" ht="29" x14ac:dyDescent="0.35">
      <c r="A168" s="135">
        <v>2026</v>
      </c>
      <c r="B168" s="136">
        <v>6</v>
      </c>
      <c r="C168" s="133" t="s">
        <v>7</v>
      </c>
      <c r="D168" s="133" t="s">
        <v>18</v>
      </c>
      <c r="E168" s="133" t="s">
        <v>302</v>
      </c>
      <c r="F168" s="139">
        <v>47</v>
      </c>
      <c r="G168" s="139">
        <v>47</v>
      </c>
      <c r="H168" s="139">
        <f t="shared" si="6"/>
        <v>4</v>
      </c>
      <c r="I168" s="139">
        <v>10</v>
      </c>
      <c r="J168" s="141">
        <f t="shared" si="7"/>
        <v>2.5</v>
      </c>
      <c r="K168" s="136" t="str">
        <f t="shared" si="8"/>
        <v>Tercapai</v>
      </c>
      <c r="L168" s="143" t="s">
        <v>301</v>
      </c>
    </row>
    <row r="169" spans="1:12" x14ac:dyDescent="0.35">
      <c r="A169" s="135">
        <v>2026</v>
      </c>
      <c r="B169" s="136">
        <v>6</v>
      </c>
      <c r="C169" s="133" t="s">
        <v>7</v>
      </c>
      <c r="D169" s="133" t="s">
        <v>18</v>
      </c>
      <c r="E169" s="133" t="s">
        <v>92</v>
      </c>
      <c r="F169" s="139">
        <v>96</v>
      </c>
      <c r="G169" s="139">
        <v>96</v>
      </c>
      <c r="H169" s="139">
        <f t="shared" si="6"/>
        <v>8</v>
      </c>
      <c r="I169" s="139">
        <v>13</v>
      </c>
      <c r="J169" s="141">
        <f t="shared" si="7"/>
        <v>1.625</v>
      </c>
      <c r="K169" s="136" t="str">
        <f t="shared" si="8"/>
        <v>Tercapai</v>
      </c>
      <c r="L169" s="143" t="s">
        <v>303</v>
      </c>
    </row>
    <row r="170" spans="1:12" ht="29" x14ac:dyDescent="0.35">
      <c r="A170" s="135">
        <v>2026</v>
      </c>
      <c r="B170" s="136">
        <v>1</v>
      </c>
      <c r="C170" s="133" t="s">
        <v>1</v>
      </c>
      <c r="D170" s="133" t="s">
        <v>19</v>
      </c>
      <c r="E170" s="133" t="s">
        <v>299</v>
      </c>
      <c r="F170" s="139">
        <v>10052</v>
      </c>
      <c r="G170" s="139">
        <v>10052</v>
      </c>
      <c r="H170" s="139">
        <f t="shared" si="6"/>
        <v>838</v>
      </c>
      <c r="I170" s="139">
        <v>114</v>
      </c>
      <c r="J170" s="141">
        <f t="shared" si="7"/>
        <v>0.13603818615751789</v>
      </c>
      <c r="K170" s="136" t="str">
        <f t="shared" si="8"/>
        <v>Belum Tercapai</v>
      </c>
      <c r="L170" s="143" t="s">
        <v>300</v>
      </c>
    </row>
    <row r="171" spans="1:12" ht="29" x14ac:dyDescent="0.35">
      <c r="A171" s="135">
        <v>2026</v>
      </c>
      <c r="B171" s="136">
        <v>1</v>
      </c>
      <c r="C171" s="133" t="s">
        <v>1</v>
      </c>
      <c r="D171" s="133" t="s">
        <v>19</v>
      </c>
      <c r="E171" s="133" t="s">
        <v>201</v>
      </c>
      <c r="F171" s="139">
        <v>459</v>
      </c>
      <c r="G171" s="139">
        <v>459</v>
      </c>
      <c r="H171" s="139">
        <f t="shared" si="6"/>
        <v>39</v>
      </c>
      <c r="I171" s="139">
        <v>8</v>
      </c>
      <c r="J171" s="141">
        <f t="shared" si="7"/>
        <v>0.20512820512820512</v>
      </c>
      <c r="K171" s="136" t="str">
        <f t="shared" si="8"/>
        <v>Belum Tercapai</v>
      </c>
      <c r="L171" s="143" t="s">
        <v>301</v>
      </c>
    </row>
    <row r="172" spans="1:12" ht="29" x14ac:dyDescent="0.35">
      <c r="A172" s="135">
        <v>2026</v>
      </c>
      <c r="B172" s="136">
        <v>1</v>
      </c>
      <c r="C172" s="133" t="s">
        <v>1</v>
      </c>
      <c r="D172" s="133" t="s">
        <v>19</v>
      </c>
      <c r="E172" s="133" t="s">
        <v>302</v>
      </c>
      <c r="F172" s="139">
        <v>115</v>
      </c>
      <c r="G172" s="139">
        <v>115</v>
      </c>
      <c r="H172" s="139">
        <f t="shared" si="6"/>
        <v>10</v>
      </c>
      <c r="I172" s="139">
        <v>1</v>
      </c>
      <c r="J172" s="141">
        <f t="shared" si="7"/>
        <v>0.1</v>
      </c>
      <c r="K172" s="136" t="str">
        <f t="shared" si="8"/>
        <v>Belum Tercapai</v>
      </c>
      <c r="L172" s="143" t="s">
        <v>301</v>
      </c>
    </row>
    <row r="173" spans="1:12" x14ac:dyDescent="0.35">
      <c r="A173" s="135">
        <v>2026</v>
      </c>
      <c r="B173" s="136">
        <v>1</v>
      </c>
      <c r="C173" s="133" t="s">
        <v>1</v>
      </c>
      <c r="D173" s="133" t="s">
        <v>19</v>
      </c>
      <c r="E173" s="133" t="s">
        <v>92</v>
      </c>
      <c r="F173" s="139">
        <v>243</v>
      </c>
      <c r="G173" s="139">
        <v>243</v>
      </c>
      <c r="H173" s="139">
        <f t="shared" si="6"/>
        <v>21</v>
      </c>
      <c r="I173" s="139">
        <v>0</v>
      </c>
      <c r="J173" s="141">
        <f t="shared" si="7"/>
        <v>0</v>
      </c>
      <c r="K173" s="136" t="str">
        <f t="shared" si="8"/>
        <v>Belum Tercapai</v>
      </c>
      <c r="L173" s="143" t="s">
        <v>303</v>
      </c>
    </row>
    <row r="174" spans="1:12" ht="29" x14ac:dyDescent="0.35">
      <c r="A174" s="135">
        <v>2026</v>
      </c>
      <c r="B174" s="136">
        <v>2</v>
      </c>
      <c r="C174" s="133" t="s">
        <v>2</v>
      </c>
      <c r="D174" s="133" t="s">
        <v>19</v>
      </c>
      <c r="E174" s="133" t="s">
        <v>299</v>
      </c>
      <c r="F174" s="139">
        <v>10052</v>
      </c>
      <c r="G174" s="139">
        <v>10052</v>
      </c>
      <c r="H174" s="139">
        <f t="shared" si="6"/>
        <v>838</v>
      </c>
      <c r="I174" s="139">
        <v>106</v>
      </c>
      <c r="J174" s="141">
        <f t="shared" si="7"/>
        <v>0.12649164677804295</v>
      </c>
      <c r="K174" s="136" t="str">
        <f t="shared" si="8"/>
        <v>Belum Tercapai</v>
      </c>
      <c r="L174" s="143" t="s">
        <v>300</v>
      </c>
    </row>
    <row r="175" spans="1:12" ht="29" x14ac:dyDescent="0.35">
      <c r="A175" s="135">
        <v>2026</v>
      </c>
      <c r="B175" s="136">
        <v>2</v>
      </c>
      <c r="C175" s="133" t="s">
        <v>2</v>
      </c>
      <c r="D175" s="133" t="s">
        <v>19</v>
      </c>
      <c r="E175" s="133" t="s">
        <v>201</v>
      </c>
      <c r="F175" s="139">
        <v>459</v>
      </c>
      <c r="G175" s="139">
        <v>459</v>
      </c>
      <c r="H175" s="139">
        <f t="shared" si="6"/>
        <v>39</v>
      </c>
      <c r="I175" s="139">
        <v>11</v>
      </c>
      <c r="J175" s="141">
        <f t="shared" si="7"/>
        <v>0.28205128205128205</v>
      </c>
      <c r="K175" s="136" t="str">
        <f t="shared" si="8"/>
        <v>Belum Tercapai</v>
      </c>
      <c r="L175" s="143" t="s">
        <v>301</v>
      </c>
    </row>
    <row r="176" spans="1:12" ht="29" x14ac:dyDescent="0.35">
      <c r="A176" s="135">
        <v>2026</v>
      </c>
      <c r="B176" s="136">
        <v>2</v>
      </c>
      <c r="C176" s="133" t="s">
        <v>2</v>
      </c>
      <c r="D176" s="133" t="s">
        <v>19</v>
      </c>
      <c r="E176" s="133" t="s">
        <v>302</v>
      </c>
      <c r="F176" s="139">
        <v>115</v>
      </c>
      <c r="G176" s="139">
        <v>115</v>
      </c>
      <c r="H176" s="139">
        <f t="shared" si="6"/>
        <v>10</v>
      </c>
      <c r="I176" s="139">
        <v>1</v>
      </c>
      <c r="J176" s="141">
        <f t="shared" si="7"/>
        <v>0.1</v>
      </c>
      <c r="K176" s="136" t="str">
        <f t="shared" si="8"/>
        <v>Belum Tercapai</v>
      </c>
      <c r="L176" s="143" t="s">
        <v>301</v>
      </c>
    </row>
    <row r="177" spans="1:12" x14ac:dyDescent="0.35">
      <c r="A177" s="135">
        <v>2026</v>
      </c>
      <c r="B177" s="136">
        <v>2</v>
      </c>
      <c r="C177" s="133" t="s">
        <v>2</v>
      </c>
      <c r="D177" s="133" t="s">
        <v>19</v>
      </c>
      <c r="E177" s="133" t="s">
        <v>92</v>
      </c>
      <c r="F177" s="139">
        <v>243</v>
      </c>
      <c r="G177" s="139">
        <v>243</v>
      </c>
      <c r="H177" s="139">
        <f t="shared" si="6"/>
        <v>21</v>
      </c>
      <c r="I177" s="139">
        <v>0</v>
      </c>
      <c r="J177" s="141">
        <f t="shared" si="7"/>
        <v>0</v>
      </c>
      <c r="K177" s="136" t="str">
        <f t="shared" si="8"/>
        <v>Belum Tercapai</v>
      </c>
      <c r="L177" s="143" t="s">
        <v>303</v>
      </c>
    </row>
    <row r="178" spans="1:12" ht="29" x14ac:dyDescent="0.35">
      <c r="A178" s="135">
        <v>2026</v>
      </c>
      <c r="B178" s="136">
        <v>3</v>
      </c>
      <c r="C178" s="133" t="s">
        <v>3</v>
      </c>
      <c r="D178" s="133" t="s">
        <v>19</v>
      </c>
      <c r="E178" s="133" t="s">
        <v>299</v>
      </c>
      <c r="F178" s="139">
        <v>10052</v>
      </c>
      <c r="G178" s="139">
        <v>10052</v>
      </c>
      <c r="H178" s="139">
        <f t="shared" si="6"/>
        <v>838</v>
      </c>
      <c r="I178" s="139">
        <v>148</v>
      </c>
      <c r="J178" s="141">
        <f t="shared" si="7"/>
        <v>0.1766109785202864</v>
      </c>
      <c r="K178" s="136" t="str">
        <f t="shared" si="8"/>
        <v>Belum Tercapai</v>
      </c>
      <c r="L178" s="143" t="s">
        <v>300</v>
      </c>
    </row>
    <row r="179" spans="1:12" ht="29" x14ac:dyDescent="0.35">
      <c r="A179" s="135">
        <v>2026</v>
      </c>
      <c r="B179" s="136">
        <v>3</v>
      </c>
      <c r="C179" s="133" t="s">
        <v>3</v>
      </c>
      <c r="D179" s="133" t="s">
        <v>19</v>
      </c>
      <c r="E179" s="133" t="s">
        <v>201</v>
      </c>
      <c r="F179" s="139">
        <v>459</v>
      </c>
      <c r="G179" s="139">
        <v>459</v>
      </c>
      <c r="H179" s="139">
        <f t="shared" si="6"/>
        <v>39</v>
      </c>
      <c r="I179" s="139">
        <v>23</v>
      </c>
      <c r="J179" s="141">
        <f t="shared" si="7"/>
        <v>0.58974358974358976</v>
      </c>
      <c r="K179" s="136" t="str">
        <f t="shared" si="8"/>
        <v>Belum Tercapai</v>
      </c>
      <c r="L179" s="143" t="s">
        <v>301</v>
      </c>
    </row>
    <row r="180" spans="1:12" ht="29" x14ac:dyDescent="0.35">
      <c r="A180" s="135">
        <v>2026</v>
      </c>
      <c r="B180" s="136">
        <v>3</v>
      </c>
      <c r="C180" s="133" t="s">
        <v>3</v>
      </c>
      <c r="D180" s="133" t="s">
        <v>19</v>
      </c>
      <c r="E180" s="133" t="s">
        <v>302</v>
      </c>
      <c r="F180" s="139">
        <v>115</v>
      </c>
      <c r="G180" s="139">
        <v>115</v>
      </c>
      <c r="H180" s="139">
        <f t="shared" si="6"/>
        <v>10</v>
      </c>
      <c r="I180" s="139">
        <v>0</v>
      </c>
      <c r="J180" s="141">
        <f t="shared" si="7"/>
        <v>0</v>
      </c>
      <c r="K180" s="136" t="str">
        <f t="shared" si="8"/>
        <v>Belum Tercapai</v>
      </c>
      <c r="L180" s="143" t="s">
        <v>301</v>
      </c>
    </row>
    <row r="181" spans="1:12" x14ac:dyDescent="0.35">
      <c r="A181" s="135">
        <v>2026</v>
      </c>
      <c r="B181" s="136">
        <v>3</v>
      </c>
      <c r="C181" s="133" t="s">
        <v>3</v>
      </c>
      <c r="D181" s="133" t="s">
        <v>19</v>
      </c>
      <c r="E181" s="133" t="s">
        <v>92</v>
      </c>
      <c r="F181" s="139">
        <v>243</v>
      </c>
      <c r="G181" s="139">
        <v>243</v>
      </c>
      <c r="H181" s="139">
        <f t="shared" si="6"/>
        <v>21</v>
      </c>
      <c r="I181" s="139">
        <v>0</v>
      </c>
      <c r="J181" s="141">
        <f t="shared" si="7"/>
        <v>0</v>
      </c>
      <c r="K181" s="136" t="str">
        <f t="shared" si="8"/>
        <v>Belum Tercapai</v>
      </c>
      <c r="L181" s="143" t="s">
        <v>303</v>
      </c>
    </row>
    <row r="182" spans="1:12" ht="29" x14ac:dyDescent="0.35">
      <c r="A182" s="135">
        <v>2026</v>
      </c>
      <c r="B182" s="136">
        <v>4</v>
      </c>
      <c r="C182" s="133" t="s">
        <v>5</v>
      </c>
      <c r="D182" s="133" t="s">
        <v>19</v>
      </c>
      <c r="E182" s="133" t="s">
        <v>299</v>
      </c>
      <c r="F182" s="139">
        <v>10052</v>
      </c>
      <c r="G182" s="139">
        <v>10052</v>
      </c>
      <c r="H182" s="139">
        <f t="shared" si="6"/>
        <v>838</v>
      </c>
      <c r="I182" s="139">
        <v>941</v>
      </c>
      <c r="J182" s="141">
        <f t="shared" si="7"/>
        <v>1.1229116945107398</v>
      </c>
      <c r="K182" s="136" t="str">
        <f t="shared" si="8"/>
        <v>Tercapai</v>
      </c>
      <c r="L182" s="143" t="s">
        <v>300</v>
      </c>
    </row>
    <row r="183" spans="1:12" ht="29" x14ac:dyDescent="0.35">
      <c r="A183" s="135">
        <v>2026</v>
      </c>
      <c r="B183" s="136">
        <v>4</v>
      </c>
      <c r="C183" s="133" t="s">
        <v>5</v>
      </c>
      <c r="D183" s="133" t="s">
        <v>19</v>
      </c>
      <c r="E183" s="133" t="s">
        <v>201</v>
      </c>
      <c r="F183" s="139">
        <v>459</v>
      </c>
      <c r="G183" s="139">
        <v>459</v>
      </c>
      <c r="H183" s="139">
        <f t="shared" si="6"/>
        <v>38</v>
      </c>
      <c r="I183" s="139">
        <v>6</v>
      </c>
      <c r="J183" s="141">
        <f t="shared" si="7"/>
        <v>0.15789473684210525</v>
      </c>
      <c r="K183" s="136" t="str">
        <f t="shared" si="8"/>
        <v>Belum Tercapai</v>
      </c>
      <c r="L183" s="143" t="s">
        <v>301</v>
      </c>
    </row>
    <row r="184" spans="1:12" ht="29" x14ac:dyDescent="0.35">
      <c r="A184" s="135">
        <v>2026</v>
      </c>
      <c r="B184" s="136">
        <v>4</v>
      </c>
      <c r="C184" s="133" t="s">
        <v>5</v>
      </c>
      <c r="D184" s="133" t="s">
        <v>19</v>
      </c>
      <c r="E184" s="133" t="s">
        <v>302</v>
      </c>
      <c r="F184" s="139">
        <v>115</v>
      </c>
      <c r="G184" s="139">
        <v>115</v>
      </c>
      <c r="H184" s="139">
        <f t="shared" si="6"/>
        <v>10</v>
      </c>
      <c r="I184" s="139">
        <v>0</v>
      </c>
      <c r="J184" s="141">
        <f t="shared" si="7"/>
        <v>0</v>
      </c>
      <c r="K184" s="136" t="str">
        <f t="shared" si="8"/>
        <v>Belum Tercapai</v>
      </c>
      <c r="L184" s="143" t="s">
        <v>301</v>
      </c>
    </row>
    <row r="185" spans="1:12" x14ac:dyDescent="0.35">
      <c r="A185" s="135">
        <v>2026</v>
      </c>
      <c r="B185" s="136">
        <v>4</v>
      </c>
      <c r="C185" s="133" t="s">
        <v>5</v>
      </c>
      <c r="D185" s="133" t="s">
        <v>19</v>
      </c>
      <c r="E185" s="133" t="s">
        <v>92</v>
      </c>
      <c r="F185" s="139">
        <v>243</v>
      </c>
      <c r="G185" s="139">
        <v>243</v>
      </c>
      <c r="H185" s="139">
        <f t="shared" si="6"/>
        <v>20</v>
      </c>
      <c r="I185" s="139">
        <v>0</v>
      </c>
      <c r="J185" s="141">
        <f t="shared" si="7"/>
        <v>0</v>
      </c>
      <c r="K185" s="136" t="str">
        <f t="shared" si="8"/>
        <v>Belum Tercapai</v>
      </c>
      <c r="L185" s="143" t="s">
        <v>303</v>
      </c>
    </row>
    <row r="186" spans="1:12" ht="29" x14ac:dyDescent="0.35">
      <c r="A186" s="135">
        <v>2026</v>
      </c>
      <c r="B186" s="136">
        <v>5</v>
      </c>
      <c r="C186" s="133" t="s">
        <v>6</v>
      </c>
      <c r="D186" s="133" t="s">
        <v>19</v>
      </c>
      <c r="E186" s="133" t="s">
        <v>299</v>
      </c>
      <c r="F186" s="139">
        <v>10052</v>
      </c>
      <c r="G186" s="139">
        <v>10052</v>
      </c>
      <c r="H186" s="139">
        <f t="shared" si="6"/>
        <v>838</v>
      </c>
      <c r="I186" s="139">
        <v>122</v>
      </c>
      <c r="J186" s="141">
        <f t="shared" si="7"/>
        <v>0.14558472553699284</v>
      </c>
      <c r="K186" s="136" t="str">
        <f t="shared" si="8"/>
        <v>Belum Tercapai</v>
      </c>
      <c r="L186" s="143" t="s">
        <v>300</v>
      </c>
    </row>
    <row r="187" spans="1:12" ht="29" x14ac:dyDescent="0.35">
      <c r="A187" s="135">
        <v>2026</v>
      </c>
      <c r="B187" s="136">
        <v>5</v>
      </c>
      <c r="C187" s="133" t="s">
        <v>6</v>
      </c>
      <c r="D187" s="133" t="s">
        <v>19</v>
      </c>
      <c r="E187" s="133" t="s">
        <v>201</v>
      </c>
      <c r="F187" s="139">
        <v>459</v>
      </c>
      <c r="G187" s="139">
        <v>459</v>
      </c>
      <c r="H187" s="139">
        <f t="shared" si="6"/>
        <v>38</v>
      </c>
      <c r="I187" s="139">
        <v>29</v>
      </c>
      <c r="J187" s="141">
        <f t="shared" si="7"/>
        <v>0.76315789473684215</v>
      </c>
      <c r="K187" s="136" t="str">
        <f t="shared" si="8"/>
        <v>Belum Tercapai</v>
      </c>
      <c r="L187" s="143" t="s">
        <v>301</v>
      </c>
    </row>
    <row r="188" spans="1:12" ht="29" x14ac:dyDescent="0.35">
      <c r="A188" s="135">
        <v>2026</v>
      </c>
      <c r="B188" s="136">
        <v>5</v>
      </c>
      <c r="C188" s="133" t="s">
        <v>6</v>
      </c>
      <c r="D188" s="133" t="s">
        <v>19</v>
      </c>
      <c r="E188" s="133" t="s">
        <v>302</v>
      </c>
      <c r="F188" s="139">
        <v>115</v>
      </c>
      <c r="G188" s="139">
        <v>115</v>
      </c>
      <c r="H188" s="139">
        <f t="shared" si="6"/>
        <v>10</v>
      </c>
      <c r="I188" s="139">
        <v>4</v>
      </c>
      <c r="J188" s="141">
        <f t="shared" si="7"/>
        <v>0.4</v>
      </c>
      <c r="K188" s="136" t="str">
        <f t="shared" si="8"/>
        <v>Belum Tercapai</v>
      </c>
      <c r="L188" s="143" t="s">
        <v>301</v>
      </c>
    </row>
    <row r="189" spans="1:12" x14ac:dyDescent="0.35">
      <c r="A189" s="135">
        <v>2026</v>
      </c>
      <c r="B189" s="136">
        <v>5</v>
      </c>
      <c r="C189" s="133" t="s">
        <v>6</v>
      </c>
      <c r="D189" s="133" t="s">
        <v>19</v>
      </c>
      <c r="E189" s="133" t="s">
        <v>92</v>
      </c>
      <c r="F189" s="139">
        <v>243</v>
      </c>
      <c r="G189" s="139">
        <v>243</v>
      </c>
      <c r="H189" s="139">
        <f t="shared" si="6"/>
        <v>20</v>
      </c>
      <c r="I189" s="139">
        <v>10</v>
      </c>
      <c r="J189" s="141">
        <f t="shared" si="7"/>
        <v>0.5</v>
      </c>
      <c r="K189" s="136" t="str">
        <f t="shared" si="8"/>
        <v>Belum Tercapai</v>
      </c>
      <c r="L189" s="143" t="s">
        <v>303</v>
      </c>
    </row>
    <row r="190" spans="1:12" ht="29" x14ac:dyDescent="0.35">
      <c r="A190" s="135">
        <v>2026</v>
      </c>
      <c r="B190" s="136">
        <v>6</v>
      </c>
      <c r="C190" s="133" t="s">
        <v>7</v>
      </c>
      <c r="D190" s="133" t="s">
        <v>19</v>
      </c>
      <c r="E190" s="133" t="s">
        <v>299</v>
      </c>
      <c r="F190" s="139">
        <v>10052</v>
      </c>
      <c r="G190" s="139">
        <v>10052</v>
      </c>
      <c r="H190" s="139">
        <f t="shared" si="6"/>
        <v>838</v>
      </c>
      <c r="I190" s="139">
        <v>122</v>
      </c>
      <c r="J190" s="141">
        <f t="shared" si="7"/>
        <v>0.14558472553699284</v>
      </c>
      <c r="K190" s="136" t="str">
        <f t="shared" si="8"/>
        <v>Belum Tercapai</v>
      </c>
      <c r="L190" s="143" t="s">
        <v>300</v>
      </c>
    </row>
    <row r="191" spans="1:12" ht="29" x14ac:dyDescent="0.35">
      <c r="A191" s="135">
        <v>2026</v>
      </c>
      <c r="B191" s="136">
        <v>6</v>
      </c>
      <c r="C191" s="133" t="s">
        <v>7</v>
      </c>
      <c r="D191" s="133" t="s">
        <v>19</v>
      </c>
      <c r="E191" s="133" t="s">
        <v>201</v>
      </c>
      <c r="F191" s="139">
        <v>459</v>
      </c>
      <c r="G191" s="139">
        <v>459</v>
      </c>
      <c r="H191" s="139">
        <f t="shared" si="6"/>
        <v>38</v>
      </c>
      <c r="I191" s="139">
        <v>42</v>
      </c>
      <c r="J191" s="141">
        <f t="shared" si="7"/>
        <v>1.1052631578947369</v>
      </c>
      <c r="K191" s="136" t="str">
        <f t="shared" si="8"/>
        <v>Tercapai</v>
      </c>
      <c r="L191" s="143" t="s">
        <v>301</v>
      </c>
    </row>
    <row r="192" spans="1:12" ht="29" x14ac:dyDescent="0.35">
      <c r="A192" s="135">
        <v>2026</v>
      </c>
      <c r="B192" s="136">
        <v>6</v>
      </c>
      <c r="C192" s="133" t="s">
        <v>7</v>
      </c>
      <c r="D192" s="133" t="s">
        <v>19</v>
      </c>
      <c r="E192" s="133" t="s">
        <v>302</v>
      </c>
      <c r="F192" s="139">
        <v>115</v>
      </c>
      <c r="G192" s="139">
        <v>115</v>
      </c>
      <c r="H192" s="139">
        <f t="shared" si="6"/>
        <v>10</v>
      </c>
      <c r="I192" s="139">
        <v>4</v>
      </c>
      <c r="J192" s="141">
        <f t="shared" si="7"/>
        <v>0.4</v>
      </c>
      <c r="K192" s="136" t="str">
        <f t="shared" si="8"/>
        <v>Belum Tercapai</v>
      </c>
      <c r="L192" s="143" t="s">
        <v>301</v>
      </c>
    </row>
    <row r="193" spans="1:12" x14ac:dyDescent="0.35">
      <c r="A193" s="135">
        <v>2026</v>
      </c>
      <c r="B193" s="136">
        <v>6</v>
      </c>
      <c r="C193" s="133" t="s">
        <v>7</v>
      </c>
      <c r="D193" s="133" t="s">
        <v>19</v>
      </c>
      <c r="E193" s="133" t="s">
        <v>92</v>
      </c>
      <c r="F193" s="139">
        <v>243</v>
      </c>
      <c r="G193" s="139">
        <v>243</v>
      </c>
      <c r="H193" s="139">
        <f t="shared" si="6"/>
        <v>20</v>
      </c>
      <c r="I193" s="139">
        <v>13</v>
      </c>
      <c r="J193" s="141">
        <f t="shared" si="7"/>
        <v>0.65</v>
      </c>
      <c r="K193" s="136" t="str">
        <f t="shared" si="8"/>
        <v>Belum Tercapai</v>
      </c>
      <c r="L193" s="143" t="s">
        <v>303</v>
      </c>
    </row>
    <row r="194" spans="1:12" ht="29" x14ac:dyDescent="0.35">
      <c r="A194" s="135">
        <v>2026</v>
      </c>
      <c r="B194" s="136">
        <v>1</v>
      </c>
      <c r="C194" s="133" t="s">
        <v>1</v>
      </c>
      <c r="D194" s="133" t="s">
        <v>20</v>
      </c>
      <c r="E194" s="133" t="s">
        <v>299</v>
      </c>
      <c r="F194" s="139">
        <v>7502</v>
      </c>
      <c r="G194" s="139">
        <v>7502</v>
      </c>
      <c r="H194" s="139">
        <f t="shared" ref="H194:H257" si="9">QUOTIENT(G194,12)+IF(B194&lt;=MOD(G194,12),1,0)</f>
        <v>626</v>
      </c>
      <c r="I194" s="139">
        <v>0</v>
      </c>
      <c r="J194" s="141">
        <f t="shared" ref="J194:J257" si="10">IF(H194=0,"",I194/H194)</f>
        <v>0</v>
      </c>
      <c r="K194" s="136" t="str">
        <f t="shared" ref="K194:K257" si="11">IF(H194=0,"",IF(I194&gt;=H194,"Tercapai","Belum Tercapai"))</f>
        <v>Belum Tercapai</v>
      </c>
      <c r="L194" s="143" t="s">
        <v>300</v>
      </c>
    </row>
    <row r="195" spans="1:12" ht="29" x14ac:dyDescent="0.35">
      <c r="A195" s="135">
        <v>2026</v>
      </c>
      <c r="B195" s="136">
        <v>1</v>
      </c>
      <c r="C195" s="133" t="s">
        <v>1</v>
      </c>
      <c r="D195" s="133" t="s">
        <v>20</v>
      </c>
      <c r="E195" s="133" t="s">
        <v>201</v>
      </c>
      <c r="F195" s="139">
        <v>341</v>
      </c>
      <c r="G195" s="139">
        <v>341</v>
      </c>
      <c r="H195" s="139">
        <f t="shared" si="9"/>
        <v>29</v>
      </c>
      <c r="I195" s="139">
        <v>1</v>
      </c>
      <c r="J195" s="141">
        <f t="shared" si="10"/>
        <v>3.4482758620689655E-2</v>
      </c>
      <c r="K195" s="136" t="str">
        <f t="shared" si="11"/>
        <v>Belum Tercapai</v>
      </c>
      <c r="L195" s="143" t="s">
        <v>301</v>
      </c>
    </row>
    <row r="196" spans="1:12" ht="29" x14ac:dyDescent="0.35">
      <c r="A196" s="135">
        <v>2026</v>
      </c>
      <c r="B196" s="136">
        <v>1</v>
      </c>
      <c r="C196" s="133" t="s">
        <v>1</v>
      </c>
      <c r="D196" s="133" t="s">
        <v>20</v>
      </c>
      <c r="E196" s="133" t="s">
        <v>302</v>
      </c>
      <c r="F196" s="139">
        <v>85</v>
      </c>
      <c r="G196" s="139">
        <v>85</v>
      </c>
      <c r="H196" s="139">
        <f t="shared" si="9"/>
        <v>8</v>
      </c>
      <c r="I196" s="139">
        <v>5</v>
      </c>
      <c r="J196" s="141">
        <f t="shared" si="10"/>
        <v>0.625</v>
      </c>
      <c r="K196" s="136" t="str">
        <f t="shared" si="11"/>
        <v>Belum Tercapai</v>
      </c>
      <c r="L196" s="143" t="s">
        <v>301</v>
      </c>
    </row>
    <row r="197" spans="1:12" x14ac:dyDescent="0.35">
      <c r="A197" s="135">
        <v>2026</v>
      </c>
      <c r="B197" s="136">
        <v>1</v>
      </c>
      <c r="C197" s="133" t="s">
        <v>1</v>
      </c>
      <c r="D197" s="133" t="s">
        <v>20</v>
      </c>
      <c r="E197" s="133" t="s">
        <v>92</v>
      </c>
      <c r="F197" s="139">
        <v>170</v>
      </c>
      <c r="G197" s="139">
        <v>170</v>
      </c>
      <c r="H197" s="139">
        <f t="shared" si="9"/>
        <v>15</v>
      </c>
      <c r="I197" s="139">
        <v>0</v>
      </c>
      <c r="J197" s="141">
        <f t="shared" si="10"/>
        <v>0</v>
      </c>
      <c r="K197" s="136" t="str">
        <f t="shared" si="11"/>
        <v>Belum Tercapai</v>
      </c>
      <c r="L197" s="143" t="s">
        <v>303</v>
      </c>
    </row>
    <row r="198" spans="1:12" ht="29" x14ac:dyDescent="0.35">
      <c r="A198" s="135">
        <v>2026</v>
      </c>
      <c r="B198" s="136">
        <v>2</v>
      </c>
      <c r="C198" s="133" t="s">
        <v>2</v>
      </c>
      <c r="D198" s="133" t="s">
        <v>20</v>
      </c>
      <c r="E198" s="133" t="s">
        <v>299</v>
      </c>
      <c r="F198" s="139">
        <v>7502</v>
      </c>
      <c r="G198" s="139">
        <v>7502</v>
      </c>
      <c r="H198" s="139">
        <f t="shared" si="9"/>
        <v>626</v>
      </c>
      <c r="I198" s="139">
        <v>1493</v>
      </c>
      <c r="J198" s="141">
        <f t="shared" si="10"/>
        <v>2.3849840255591053</v>
      </c>
      <c r="K198" s="136" t="str">
        <f t="shared" si="11"/>
        <v>Tercapai</v>
      </c>
      <c r="L198" s="143" t="s">
        <v>300</v>
      </c>
    </row>
    <row r="199" spans="1:12" ht="29" x14ac:dyDescent="0.35">
      <c r="A199" s="135">
        <v>2026</v>
      </c>
      <c r="B199" s="136">
        <v>2</v>
      </c>
      <c r="C199" s="133" t="s">
        <v>2</v>
      </c>
      <c r="D199" s="133" t="s">
        <v>20</v>
      </c>
      <c r="E199" s="133" t="s">
        <v>201</v>
      </c>
      <c r="F199" s="139">
        <v>341</v>
      </c>
      <c r="G199" s="139">
        <v>341</v>
      </c>
      <c r="H199" s="139">
        <f t="shared" si="9"/>
        <v>29</v>
      </c>
      <c r="I199" s="139">
        <v>0</v>
      </c>
      <c r="J199" s="141">
        <f t="shared" si="10"/>
        <v>0</v>
      </c>
      <c r="K199" s="136" t="str">
        <f t="shared" si="11"/>
        <v>Belum Tercapai</v>
      </c>
      <c r="L199" s="143" t="s">
        <v>301</v>
      </c>
    </row>
    <row r="200" spans="1:12" ht="29" x14ac:dyDescent="0.35">
      <c r="A200" s="135">
        <v>2026</v>
      </c>
      <c r="B200" s="136">
        <v>2</v>
      </c>
      <c r="C200" s="133" t="s">
        <v>2</v>
      </c>
      <c r="D200" s="133" t="s">
        <v>20</v>
      </c>
      <c r="E200" s="133" t="s">
        <v>302</v>
      </c>
      <c r="F200" s="139">
        <v>85</v>
      </c>
      <c r="G200" s="139">
        <v>85</v>
      </c>
      <c r="H200" s="139">
        <f t="shared" si="9"/>
        <v>7</v>
      </c>
      <c r="I200" s="139">
        <v>0</v>
      </c>
      <c r="J200" s="141">
        <f t="shared" si="10"/>
        <v>0</v>
      </c>
      <c r="K200" s="136" t="str">
        <f t="shared" si="11"/>
        <v>Belum Tercapai</v>
      </c>
      <c r="L200" s="143" t="s">
        <v>301</v>
      </c>
    </row>
    <row r="201" spans="1:12" x14ac:dyDescent="0.35">
      <c r="A201" s="135">
        <v>2026</v>
      </c>
      <c r="B201" s="136">
        <v>2</v>
      </c>
      <c r="C201" s="133" t="s">
        <v>2</v>
      </c>
      <c r="D201" s="133" t="s">
        <v>20</v>
      </c>
      <c r="E201" s="133" t="s">
        <v>92</v>
      </c>
      <c r="F201" s="139">
        <v>170</v>
      </c>
      <c r="G201" s="139">
        <v>170</v>
      </c>
      <c r="H201" s="139">
        <f t="shared" si="9"/>
        <v>15</v>
      </c>
      <c r="I201" s="139">
        <v>0</v>
      </c>
      <c r="J201" s="141">
        <f t="shared" si="10"/>
        <v>0</v>
      </c>
      <c r="K201" s="136" t="str">
        <f t="shared" si="11"/>
        <v>Belum Tercapai</v>
      </c>
      <c r="L201" s="143" t="s">
        <v>303</v>
      </c>
    </row>
    <row r="202" spans="1:12" ht="29" x14ac:dyDescent="0.35">
      <c r="A202" s="135">
        <v>2026</v>
      </c>
      <c r="B202" s="136">
        <v>3</v>
      </c>
      <c r="C202" s="133" t="s">
        <v>3</v>
      </c>
      <c r="D202" s="133" t="s">
        <v>20</v>
      </c>
      <c r="E202" s="133" t="s">
        <v>299</v>
      </c>
      <c r="F202" s="139">
        <v>7502</v>
      </c>
      <c r="G202" s="139">
        <v>7502</v>
      </c>
      <c r="H202" s="139">
        <f t="shared" si="9"/>
        <v>625</v>
      </c>
      <c r="I202" s="139">
        <v>15</v>
      </c>
      <c r="J202" s="141">
        <f t="shared" si="10"/>
        <v>2.4E-2</v>
      </c>
      <c r="K202" s="136" t="str">
        <f t="shared" si="11"/>
        <v>Belum Tercapai</v>
      </c>
      <c r="L202" s="143" t="s">
        <v>300</v>
      </c>
    </row>
    <row r="203" spans="1:12" ht="29" x14ac:dyDescent="0.35">
      <c r="A203" s="135">
        <v>2026</v>
      </c>
      <c r="B203" s="136">
        <v>3</v>
      </c>
      <c r="C203" s="133" t="s">
        <v>3</v>
      </c>
      <c r="D203" s="133" t="s">
        <v>20</v>
      </c>
      <c r="E203" s="133" t="s">
        <v>201</v>
      </c>
      <c r="F203" s="139">
        <v>341</v>
      </c>
      <c r="G203" s="139">
        <v>341</v>
      </c>
      <c r="H203" s="139">
        <f t="shared" si="9"/>
        <v>29</v>
      </c>
      <c r="I203" s="139">
        <v>7</v>
      </c>
      <c r="J203" s="141">
        <f t="shared" si="10"/>
        <v>0.2413793103448276</v>
      </c>
      <c r="K203" s="136" t="str">
        <f t="shared" si="11"/>
        <v>Belum Tercapai</v>
      </c>
      <c r="L203" s="143" t="s">
        <v>301</v>
      </c>
    </row>
    <row r="204" spans="1:12" ht="29" x14ac:dyDescent="0.35">
      <c r="A204" s="135">
        <v>2026</v>
      </c>
      <c r="B204" s="136">
        <v>3</v>
      </c>
      <c r="C204" s="133" t="s">
        <v>3</v>
      </c>
      <c r="D204" s="133" t="s">
        <v>20</v>
      </c>
      <c r="E204" s="133" t="s">
        <v>302</v>
      </c>
      <c r="F204" s="139">
        <v>85</v>
      </c>
      <c r="G204" s="139">
        <v>85</v>
      </c>
      <c r="H204" s="139">
        <f t="shared" si="9"/>
        <v>7</v>
      </c>
      <c r="I204" s="139">
        <v>2</v>
      </c>
      <c r="J204" s="141">
        <f t="shared" si="10"/>
        <v>0.2857142857142857</v>
      </c>
      <c r="K204" s="136" t="str">
        <f t="shared" si="11"/>
        <v>Belum Tercapai</v>
      </c>
      <c r="L204" s="143" t="s">
        <v>301</v>
      </c>
    </row>
    <row r="205" spans="1:12" x14ac:dyDescent="0.35">
      <c r="A205" s="135">
        <v>2026</v>
      </c>
      <c r="B205" s="136">
        <v>3</v>
      </c>
      <c r="C205" s="133" t="s">
        <v>3</v>
      </c>
      <c r="D205" s="133" t="s">
        <v>20</v>
      </c>
      <c r="E205" s="133" t="s">
        <v>92</v>
      </c>
      <c r="F205" s="139">
        <v>170</v>
      </c>
      <c r="G205" s="139">
        <v>170</v>
      </c>
      <c r="H205" s="139">
        <f t="shared" si="9"/>
        <v>14</v>
      </c>
      <c r="I205" s="139">
        <v>0</v>
      </c>
      <c r="J205" s="141">
        <f t="shared" si="10"/>
        <v>0</v>
      </c>
      <c r="K205" s="136" t="str">
        <f t="shared" si="11"/>
        <v>Belum Tercapai</v>
      </c>
      <c r="L205" s="143" t="s">
        <v>303</v>
      </c>
    </row>
    <row r="206" spans="1:12" ht="29" x14ac:dyDescent="0.35">
      <c r="A206" s="135">
        <v>2026</v>
      </c>
      <c r="B206" s="136">
        <v>4</v>
      </c>
      <c r="C206" s="133" t="s">
        <v>5</v>
      </c>
      <c r="D206" s="133" t="s">
        <v>20</v>
      </c>
      <c r="E206" s="133" t="s">
        <v>299</v>
      </c>
      <c r="F206" s="139">
        <v>7502</v>
      </c>
      <c r="G206" s="139">
        <v>7502</v>
      </c>
      <c r="H206" s="139">
        <f t="shared" si="9"/>
        <v>625</v>
      </c>
      <c r="I206" s="139">
        <v>1082</v>
      </c>
      <c r="J206" s="141">
        <f t="shared" si="10"/>
        <v>1.7312000000000001</v>
      </c>
      <c r="K206" s="136" t="str">
        <f t="shared" si="11"/>
        <v>Tercapai</v>
      </c>
      <c r="L206" s="143" t="s">
        <v>300</v>
      </c>
    </row>
    <row r="207" spans="1:12" ht="29" x14ac:dyDescent="0.35">
      <c r="A207" s="135">
        <v>2026</v>
      </c>
      <c r="B207" s="136">
        <v>4</v>
      </c>
      <c r="C207" s="133" t="s">
        <v>5</v>
      </c>
      <c r="D207" s="133" t="s">
        <v>20</v>
      </c>
      <c r="E207" s="133" t="s">
        <v>201</v>
      </c>
      <c r="F207" s="139">
        <v>341</v>
      </c>
      <c r="G207" s="139">
        <v>341</v>
      </c>
      <c r="H207" s="139">
        <f t="shared" si="9"/>
        <v>29</v>
      </c>
      <c r="I207" s="139">
        <v>16</v>
      </c>
      <c r="J207" s="141">
        <f t="shared" si="10"/>
        <v>0.55172413793103448</v>
      </c>
      <c r="K207" s="136" t="str">
        <f t="shared" si="11"/>
        <v>Belum Tercapai</v>
      </c>
      <c r="L207" s="143" t="s">
        <v>301</v>
      </c>
    </row>
    <row r="208" spans="1:12" ht="29" x14ac:dyDescent="0.35">
      <c r="A208" s="135">
        <v>2026</v>
      </c>
      <c r="B208" s="136">
        <v>4</v>
      </c>
      <c r="C208" s="133" t="s">
        <v>5</v>
      </c>
      <c r="D208" s="133" t="s">
        <v>20</v>
      </c>
      <c r="E208" s="133" t="s">
        <v>302</v>
      </c>
      <c r="F208" s="139">
        <v>85</v>
      </c>
      <c r="G208" s="139">
        <v>85</v>
      </c>
      <c r="H208" s="139">
        <f t="shared" si="9"/>
        <v>7</v>
      </c>
      <c r="I208" s="139">
        <v>3</v>
      </c>
      <c r="J208" s="141">
        <f t="shared" si="10"/>
        <v>0.42857142857142855</v>
      </c>
      <c r="K208" s="136" t="str">
        <f t="shared" si="11"/>
        <v>Belum Tercapai</v>
      </c>
      <c r="L208" s="143" t="s">
        <v>301</v>
      </c>
    </row>
    <row r="209" spans="1:12" x14ac:dyDescent="0.35">
      <c r="A209" s="135">
        <v>2026</v>
      </c>
      <c r="B209" s="136">
        <v>4</v>
      </c>
      <c r="C209" s="133" t="s">
        <v>5</v>
      </c>
      <c r="D209" s="133" t="s">
        <v>20</v>
      </c>
      <c r="E209" s="133" t="s">
        <v>92</v>
      </c>
      <c r="F209" s="139">
        <v>170</v>
      </c>
      <c r="G209" s="139">
        <v>170</v>
      </c>
      <c r="H209" s="139">
        <f t="shared" si="9"/>
        <v>14</v>
      </c>
      <c r="I209" s="139">
        <v>22</v>
      </c>
      <c r="J209" s="141">
        <f t="shared" si="10"/>
        <v>1.5714285714285714</v>
      </c>
      <c r="K209" s="136" t="str">
        <f t="shared" si="11"/>
        <v>Tercapai</v>
      </c>
      <c r="L209" s="143" t="s">
        <v>303</v>
      </c>
    </row>
    <row r="210" spans="1:12" ht="29" x14ac:dyDescent="0.35">
      <c r="A210" s="135">
        <v>2026</v>
      </c>
      <c r="B210" s="136">
        <v>5</v>
      </c>
      <c r="C210" s="133" t="s">
        <v>6</v>
      </c>
      <c r="D210" s="133" t="s">
        <v>20</v>
      </c>
      <c r="E210" s="133" t="s">
        <v>299</v>
      </c>
      <c r="F210" s="139">
        <v>7502</v>
      </c>
      <c r="G210" s="139">
        <v>7502</v>
      </c>
      <c r="H210" s="139">
        <f t="shared" si="9"/>
        <v>625</v>
      </c>
      <c r="I210" s="139">
        <v>980</v>
      </c>
      <c r="J210" s="141">
        <f t="shared" si="10"/>
        <v>1.5680000000000001</v>
      </c>
      <c r="K210" s="136" t="str">
        <f t="shared" si="11"/>
        <v>Tercapai</v>
      </c>
      <c r="L210" s="143" t="s">
        <v>300</v>
      </c>
    </row>
    <row r="211" spans="1:12" ht="29" x14ac:dyDescent="0.35">
      <c r="A211" s="135">
        <v>2026</v>
      </c>
      <c r="B211" s="136">
        <v>5</v>
      </c>
      <c r="C211" s="133" t="s">
        <v>6</v>
      </c>
      <c r="D211" s="133" t="s">
        <v>20</v>
      </c>
      <c r="E211" s="133" t="s">
        <v>201</v>
      </c>
      <c r="F211" s="139">
        <v>341</v>
      </c>
      <c r="G211" s="139">
        <v>341</v>
      </c>
      <c r="H211" s="139">
        <f t="shared" si="9"/>
        <v>29</v>
      </c>
      <c r="I211" s="139">
        <v>28</v>
      </c>
      <c r="J211" s="141">
        <f t="shared" si="10"/>
        <v>0.96551724137931039</v>
      </c>
      <c r="K211" s="136" t="str">
        <f t="shared" si="11"/>
        <v>Belum Tercapai</v>
      </c>
      <c r="L211" s="143" t="s">
        <v>301</v>
      </c>
    </row>
    <row r="212" spans="1:12" ht="29" x14ac:dyDescent="0.35">
      <c r="A212" s="135">
        <v>2026</v>
      </c>
      <c r="B212" s="136">
        <v>5</v>
      </c>
      <c r="C212" s="133" t="s">
        <v>6</v>
      </c>
      <c r="D212" s="133" t="s">
        <v>20</v>
      </c>
      <c r="E212" s="133" t="s">
        <v>302</v>
      </c>
      <c r="F212" s="139">
        <v>85</v>
      </c>
      <c r="G212" s="139">
        <v>85</v>
      </c>
      <c r="H212" s="139">
        <f t="shared" si="9"/>
        <v>7</v>
      </c>
      <c r="I212" s="139">
        <v>5</v>
      </c>
      <c r="J212" s="141">
        <f t="shared" si="10"/>
        <v>0.7142857142857143</v>
      </c>
      <c r="K212" s="136" t="str">
        <f t="shared" si="11"/>
        <v>Belum Tercapai</v>
      </c>
      <c r="L212" s="143" t="s">
        <v>301</v>
      </c>
    </row>
    <row r="213" spans="1:12" x14ac:dyDescent="0.35">
      <c r="A213" s="135">
        <v>2026</v>
      </c>
      <c r="B213" s="136">
        <v>5</v>
      </c>
      <c r="C213" s="133" t="s">
        <v>6</v>
      </c>
      <c r="D213" s="133" t="s">
        <v>20</v>
      </c>
      <c r="E213" s="133" t="s">
        <v>92</v>
      </c>
      <c r="F213" s="139">
        <v>170</v>
      </c>
      <c r="G213" s="139">
        <v>170</v>
      </c>
      <c r="H213" s="139">
        <f t="shared" si="9"/>
        <v>14</v>
      </c>
      <c r="I213" s="139">
        <v>0</v>
      </c>
      <c r="J213" s="141">
        <f t="shared" si="10"/>
        <v>0</v>
      </c>
      <c r="K213" s="136" t="str">
        <f t="shared" si="11"/>
        <v>Belum Tercapai</v>
      </c>
      <c r="L213" s="143" t="s">
        <v>303</v>
      </c>
    </row>
    <row r="214" spans="1:12" ht="29" x14ac:dyDescent="0.35">
      <c r="A214" s="135">
        <v>2026</v>
      </c>
      <c r="B214" s="136">
        <v>6</v>
      </c>
      <c r="C214" s="133" t="s">
        <v>7</v>
      </c>
      <c r="D214" s="133" t="s">
        <v>20</v>
      </c>
      <c r="E214" s="133" t="s">
        <v>299</v>
      </c>
      <c r="F214" s="139">
        <v>7502</v>
      </c>
      <c r="G214" s="139">
        <v>7502</v>
      </c>
      <c r="H214" s="139">
        <f t="shared" si="9"/>
        <v>625</v>
      </c>
      <c r="I214" s="139">
        <v>587</v>
      </c>
      <c r="J214" s="141">
        <f t="shared" si="10"/>
        <v>0.93920000000000003</v>
      </c>
      <c r="K214" s="136" t="str">
        <f t="shared" si="11"/>
        <v>Belum Tercapai</v>
      </c>
      <c r="L214" s="143" t="s">
        <v>300</v>
      </c>
    </row>
    <row r="215" spans="1:12" ht="29" x14ac:dyDescent="0.35">
      <c r="A215" s="135">
        <v>2026</v>
      </c>
      <c r="B215" s="136">
        <v>6</v>
      </c>
      <c r="C215" s="133" t="s">
        <v>7</v>
      </c>
      <c r="D215" s="133" t="s">
        <v>20</v>
      </c>
      <c r="E215" s="133" t="s">
        <v>201</v>
      </c>
      <c r="F215" s="139">
        <v>341</v>
      </c>
      <c r="G215" s="139">
        <v>341</v>
      </c>
      <c r="H215" s="139">
        <f t="shared" si="9"/>
        <v>28</v>
      </c>
      <c r="I215" s="139">
        <v>33</v>
      </c>
      <c r="J215" s="141">
        <f t="shared" si="10"/>
        <v>1.1785714285714286</v>
      </c>
      <c r="K215" s="136" t="str">
        <f t="shared" si="11"/>
        <v>Tercapai</v>
      </c>
      <c r="L215" s="143" t="s">
        <v>301</v>
      </c>
    </row>
    <row r="216" spans="1:12" ht="29" x14ac:dyDescent="0.35">
      <c r="A216" s="135">
        <v>2026</v>
      </c>
      <c r="B216" s="136">
        <v>6</v>
      </c>
      <c r="C216" s="133" t="s">
        <v>7</v>
      </c>
      <c r="D216" s="133" t="s">
        <v>20</v>
      </c>
      <c r="E216" s="133" t="s">
        <v>302</v>
      </c>
      <c r="F216" s="139">
        <v>85</v>
      </c>
      <c r="G216" s="139">
        <v>85</v>
      </c>
      <c r="H216" s="139">
        <f t="shared" si="9"/>
        <v>7</v>
      </c>
      <c r="I216" s="139">
        <v>4</v>
      </c>
      <c r="J216" s="141">
        <f t="shared" si="10"/>
        <v>0.5714285714285714</v>
      </c>
      <c r="K216" s="136" t="str">
        <f t="shared" si="11"/>
        <v>Belum Tercapai</v>
      </c>
      <c r="L216" s="143" t="s">
        <v>301</v>
      </c>
    </row>
    <row r="217" spans="1:12" x14ac:dyDescent="0.35">
      <c r="A217" s="135">
        <v>2026</v>
      </c>
      <c r="B217" s="136">
        <v>6</v>
      </c>
      <c r="C217" s="133" t="s">
        <v>7</v>
      </c>
      <c r="D217" s="133" t="s">
        <v>20</v>
      </c>
      <c r="E217" s="133" t="s">
        <v>92</v>
      </c>
      <c r="F217" s="139">
        <v>170</v>
      </c>
      <c r="G217" s="139">
        <v>170</v>
      </c>
      <c r="H217" s="139">
        <f t="shared" si="9"/>
        <v>14</v>
      </c>
      <c r="I217" s="139">
        <v>0</v>
      </c>
      <c r="J217" s="141">
        <f t="shared" si="10"/>
        <v>0</v>
      </c>
      <c r="K217" s="136" t="str">
        <f t="shared" si="11"/>
        <v>Belum Tercapai</v>
      </c>
      <c r="L217" s="143" t="s">
        <v>303</v>
      </c>
    </row>
    <row r="218" spans="1:12" ht="29" x14ac:dyDescent="0.35">
      <c r="A218" s="135">
        <v>2026</v>
      </c>
      <c r="B218" s="136">
        <v>1</v>
      </c>
      <c r="C218" s="133" t="s">
        <v>1</v>
      </c>
      <c r="D218" s="133" t="s">
        <v>21</v>
      </c>
      <c r="E218" s="133" t="s">
        <v>299</v>
      </c>
      <c r="F218" s="139">
        <v>16392</v>
      </c>
      <c r="G218" s="139">
        <v>16392</v>
      </c>
      <c r="H218" s="139">
        <f t="shared" si="9"/>
        <v>1366</v>
      </c>
      <c r="I218" s="139">
        <v>138</v>
      </c>
      <c r="J218" s="141">
        <f t="shared" si="10"/>
        <v>0.10102489019033675</v>
      </c>
      <c r="K218" s="136" t="str">
        <f t="shared" si="11"/>
        <v>Belum Tercapai</v>
      </c>
      <c r="L218" s="143" t="s">
        <v>300</v>
      </c>
    </row>
    <row r="219" spans="1:12" ht="29" x14ac:dyDescent="0.35">
      <c r="A219" s="135">
        <v>2026</v>
      </c>
      <c r="B219" s="136">
        <v>1</v>
      </c>
      <c r="C219" s="133" t="s">
        <v>1</v>
      </c>
      <c r="D219" s="133" t="s">
        <v>21</v>
      </c>
      <c r="E219" s="133" t="s">
        <v>201</v>
      </c>
      <c r="F219" s="139">
        <v>726</v>
      </c>
      <c r="G219" s="139">
        <v>726</v>
      </c>
      <c r="H219" s="139">
        <f t="shared" si="9"/>
        <v>61</v>
      </c>
      <c r="I219" s="139">
        <v>9</v>
      </c>
      <c r="J219" s="141">
        <f t="shared" si="10"/>
        <v>0.14754098360655737</v>
      </c>
      <c r="K219" s="136" t="str">
        <f t="shared" si="11"/>
        <v>Belum Tercapai</v>
      </c>
      <c r="L219" s="143" t="s">
        <v>301</v>
      </c>
    </row>
    <row r="220" spans="1:12" ht="29" x14ac:dyDescent="0.35">
      <c r="A220" s="135">
        <v>2026</v>
      </c>
      <c r="B220" s="136">
        <v>1</v>
      </c>
      <c r="C220" s="133" t="s">
        <v>1</v>
      </c>
      <c r="D220" s="133" t="s">
        <v>21</v>
      </c>
      <c r="E220" s="133" t="s">
        <v>302</v>
      </c>
      <c r="F220" s="139">
        <v>182</v>
      </c>
      <c r="G220" s="139">
        <v>182</v>
      </c>
      <c r="H220" s="139">
        <f t="shared" si="9"/>
        <v>16</v>
      </c>
      <c r="I220" s="139">
        <v>2</v>
      </c>
      <c r="J220" s="141">
        <f t="shared" si="10"/>
        <v>0.125</v>
      </c>
      <c r="K220" s="136" t="str">
        <f t="shared" si="11"/>
        <v>Belum Tercapai</v>
      </c>
      <c r="L220" s="143" t="s">
        <v>301</v>
      </c>
    </row>
    <row r="221" spans="1:12" x14ac:dyDescent="0.35">
      <c r="A221" s="135">
        <v>2026</v>
      </c>
      <c r="B221" s="136">
        <v>1</v>
      </c>
      <c r="C221" s="133" t="s">
        <v>1</v>
      </c>
      <c r="D221" s="133" t="s">
        <v>21</v>
      </c>
      <c r="E221" s="133" t="s">
        <v>92</v>
      </c>
      <c r="F221" s="139">
        <v>368</v>
      </c>
      <c r="G221" s="139">
        <v>368</v>
      </c>
      <c r="H221" s="139">
        <f t="shared" si="9"/>
        <v>31</v>
      </c>
      <c r="I221" s="139">
        <v>0</v>
      </c>
      <c r="J221" s="141">
        <f t="shared" si="10"/>
        <v>0</v>
      </c>
      <c r="K221" s="136" t="str">
        <f t="shared" si="11"/>
        <v>Belum Tercapai</v>
      </c>
      <c r="L221" s="143" t="s">
        <v>303</v>
      </c>
    </row>
    <row r="222" spans="1:12" ht="29" x14ac:dyDescent="0.35">
      <c r="A222" s="135">
        <v>2026</v>
      </c>
      <c r="B222" s="136">
        <v>2</v>
      </c>
      <c r="C222" s="133" t="s">
        <v>2</v>
      </c>
      <c r="D222" s="133" t="s">
        <v>21</v>
      </c>
      <c r="E222" s="133" t="s">
        <v>299</v>
      </c>
      <c r="F222" s="139">
        <v>16392</v>
      </c>
      <c r="G222" s="139">
        <v>16392</v>
      </c>
      <c r="H222" s="139">
        <f t="shared" si="9"/>
        <v>1366</v>
      </c>
      <c r="I222" s="139">
        <v>108</v>
      </c>
      <c r="J222" s="141">
        <f t="shared" si="10"/>
        <v>7.9062957540263545E-2</v>
      </c>
      <c r="K222" s="136" t="str">
        <f t="shared" si="11"/>
        <v>Belum Tercapai</v>
      </c>
      <c r="L222" s="143" t="s">
        <v>300</v>
      </c>
    </row>
    <row r="223" spans="1:12" ht="29" x14ac:dyDescent="0.35">
      <c r="A223" s="135">
        <v>2026</v>
      </c>
      <c r="B223" s="136">
        <v>2</v>
      </c>
      <c r="C223" s="133" t="s">
        <v>2</v>
      </c>
      <c r="D223" s="133" t="s">
        <v>21</v>
      </c>
      <c r="E223" s="133" t="s">
        <v>201</v>
      </c>
      <c r="F223" s="139">
        <v>726</v>
      </c>
      <c r="G223" s="139">
        <v>726</v>
      </c>
      <c r="H223" s="139">
        <f t="shared" si="9"/>
        <v>61</v>
      </c>
      <c r="I223" s="139">
        <v>1</v>
      </c>
      <c r="J223" s="141">
        <f t="shared" si="10"/>
        <v>1.6393442622950821E-2</v>
      </c>
      <c r="K223" s="136" t="str">
        <f t="shared" si="11"/>
        <v>Belum Tercapai</v>
      </c>
      <c r="L223" s="143" t="s">
        <v>301</v>
      </c>
    </row>
    <row r="224" spans="1:12" ht="29" x14ac:dyDescent="0.35">
      <c r="A224" s="135">
        <v>2026</v>
      </c>
      <c r="B224" s="136">
        <v>2</v>
      </c>
      <c r="C224" s="133" t="s">
        <v>2</v>
      </c>
      <c r="D224" s="133" t="s">
        <v>21</v>
      </c>
      <c r="E224" s="133" t="s">
        <v>302</v>
      </c>
      <c r="F224" s="139">
        <v>182</v>
      </c>
      <c r="G224" s="139">
        <v>182</v>
      </c>
      <c r="H224" s="139">
        <f t="shared" si="9"/>
        <v>16</v>
      </c>
      <c r="I224" s="139">
        <v>2</v>
      </c>
      <c r="J224" s="141">
        <f t="shared" si="10"/>
        <v>0.125</v>
      </c>
      <c r="K224" s="136" t="str">
        <f t="shared" si="11"/>
        <v>Belum Tercapai</v>
      </c>
      <c r="L224" s="143" t="s">
        <v>301</v>
      </c>
    </row>
    <row r="225" spans="1:12" x14ac:dyDescent="0.35">
      <c r="A225" s="135">
        <v>2026</v>
      </c>
      <c r="B225" s="136">
        <v>2</v>
      </c>
      <c r="C225" s="133" t="s">
        <v>2</v>
      </c>
      <c r="D225" s="133" t="s">
        <v>21</v>
      </c>
      <c r="E225" s="133" t="s">
        <v>92</v>
      </c>
      <c r="F225" s="139">
        <v>368</v>
      </c>
      <c r="G225" s="139">
        <v>368</v>
      </c>
      <c r="H225" s="139">
        <f t="shared" si="9"/>
        <v>31</v>
      </c>
      <c r="I225" s="139">
        <v>0</v>
      </c>
      <c r="J225" s="141">
        <f t="shared" si="10"/>
        <v>0</v>
      </c>
      <c r="K225" s="136" t="str">
        <f t="shared" si="11"/>
        <v>Belum Tercapai</v>
      </c>
      <c r="L225" s="143" t="s">
        <v>303</v>
      </c>
    </row>
    <row r="226" spans="1:12" ht="29" x14ac:dyDescent="0.35">
      <c r="A226" s="135">
        <v>2026</v>
      </c>
      <c r="B226" s="136">
        <v>3</v>
      </c>
      <c r="C226" s="133" t="s">
        <v>3</v>
      </c>
      <c r="D226" s="133" t="s">
        <v>21</v>
      </c>
      <c r="E226" s="133" t="s">
        <v>299</v>
      </c>
      <c r="F226" s="139">
        <v>16392</v>
      </c>
      <c r="G226" s="139">
        <v>16392</v>
      </c>
      <c r="H226" s="139">
        <f t="shared" si="9"/>
        <v>1366</v>
      </c>
      <c r="I226" s="139">
        <v>121</v>
      </c>
      <c r="J226" s="141">
        <f t="shared" si="10"/>
        <v>8.8579795021961935E-2</v>
      </c>
      <c r="K226" s="136" t="str">
        <f t="shared" si="11"/>
        <v>Belum Tercapai</v>
      </c>
      <c r="L226" s="143" t="s">
        <v>300</v>
      </c>
    </row>
    <row r="227" spans="1:12" ht="29" x14ac:dyDescent="0.35">
      <c r="A227" s="135">
        <v>2026</v>
      </c>
      <c r="B227" s="136">
        <v>3</v>
      </c>
      <c r="C227" s="133" t="s">
        <v>3</v>
      </c>
      <c r="D227" s="133" t="s">
        <v>21</v>
      </c>
      <c r="E227" s="133" t="s">
        <v>201</v>
      </c>
      <c r="F227" s="139">
        <v>726</v>
      </c>
      <c r="G227" s="139">
        <v>726</v>
      </c>
      <c r="H227" s="139">
        <f t="shared" si="9"/>
        <v>61</v>
      </c>
      <c r="I227" s="139">
        <v>2</v>
      </c>
      <c r="J227" s="141">
        <f t="shared" si="10"/>
        <v>3.2786885245901641E-2</v>
      </c>
      <c r="K227" s="136" t="str">
        <f t="shared" si="11"/>
        <v>Belum Tercapai</v>
      </c>
      <c r="L227" s="143" t="s">
        <v>301</v>
      </c>
    </row>
    <row r="228" spans="1:12" ht="29" x14ac:dyDescent="0.35">
      <c r="A228" s="135">
        <v>2026</v>
      </c>
      <c r="B228" s="136">
        <v>3</v>
      </c>
      <c r="C228" s="133" t="s">
        <v>3</v>
      </c>
      <c r="D228" s="133" t="s">
        <v>21</v>
      </c>
      <c r="E228" s="133" t="s">
        <v>302</v>
      </c>
      <c r="F228" s="139">
        <v>182</v>
      </c>
      <c r="G228" s="139">
        <v>182</v>
      </c>
      <c r="H228" s="139">
        <f t="shared" si="9"/>
        <v>15</v>
      </c>
      <c r="I228" s="139">
        <v>0</v>
      </c>
      <c r="J228" s="141">
        <f t="shared" si="10"/>
        <v>0</v>
      </c>
      <c r="K228" s="136" t="str">
        <f t="shared" si="11"/>
        <v>Belum Tercapai</v>
      </c>
      <c r="L228" s="143" t="s">
        <v>301</v>
      </c>
    </row>
    <row r="229" spans="1:12" x14ac:dyDescent="0.35">
      <c r="A229" s="135">
        <v>2026</v>
      </c>
      <c r="B229" s="136">
        <v>3</v>
      </c>
      <c r="C229" s="133" t="s">
        <v>3</v>
      </c>
      <c r="D229" s="133" t="s">
        <v>21</v>
      </c>
      <c r="E229" s="133" t="s">
        <v>92</v>
      </c>
      <c r="F229" s="139">
        <v>368</v>
      </c>
      <c r="G229" s="139">
        <v>368</v>
      </c>
      <c r="H229" s="139">
        <f t="shared" si="9"/>
        <v>31</v>
      </c>
      <c r="I229" s="139">
        <v>0</v>
      </c>
      <c r="J229" s="141">
        <f t="shared" si="10"/>
        <v>0</v>
      </c>
      <c r="K229" s="136" t="str">
        <f t="shared" si="11"/>
        <v>Belum Tercapai</v>
      </c>
      <c r="L229" s="143" t="s">
        <v>303</v>
      </c>
    </row>
    <row r="230" spans="1:12" ht="29" x14ac:dyDescent="0.35">
      <c r="A230" s="135">
        <v>2026</v>
      </c>
      <c r="B230" s="136">
        <v>4</v>
      </c>
      <c r="C230" s="133" t="s">
        <v>5</v>
      </c>
      <c r="D230" s="133" t="s">
        <v>21</v>
      </c>
      <c r="E230" s="133" t="s">
        <v>299</v>
      </c>
      <c r="F230" s="139">
        <v>16392</v>
      </c>
      <c r="G230" s="139">
        <v>16392</v>
      </c>
      <c r="H230" s="139">
        <f t="shared" si="9"/>
        <v>1366</v>
      </c>
      <c r="I230" s="139">
        <v>1218</v>
      </c>
      <c r="J230" s="141">
        <f t="shared" si="10"/>
        <v>0.89165446559297223</v>
      </c>
      <c r="K230" s="136" t="str">
        <f t="shared" si="11"/>
        <v>Belum Tercapai</v>
      </c>
      <c r="L230" s="143" t="s">
        <v>300</v>
      </c>
    </row>
    <row r="231" spans="1:12" ht="29" x14ac:dyDescent="0.35">
      <c r="A231" s="135">
        <v>2026</v>
      </c>
      <c r="B231" s="136">
        <v>4</v>
      </c>
      <c r="C231" s="133" t="s">
        <v>5</v>
      </c>
      <c r="D231" s="133" t="s">
        <v>21</v>
      </c>
      <c r="E231" s="133" t="s">
        <v>201</v>
      </c>
      <c r="F231" s="139">
        <v>726</v>
      </c>
      <c r="G231" s="139">
        <v>726</v>
      </c>
      <c r="H231" s="139">
        <f t="shared" si="9"/>
        <v>61</v>
      </c>
      <c r="I231" s="139">
        <v>3</v>
      </c>
      <c r="J231" s="141">
        <f t="shared" si="10"/>
        <v>4.9180327868852458E-2</v>
      </c>
      <c r="K231" s="136" t="str">
        <f t="shared" si="11"/>
        <v>Belum Tercapai</v>
      </c>
      <c r="L231" s="143" t="s">
        <v>301</v>
      </c>
    </row>
    <row r="232" spans="1:12" ht="29" x14ac:dyDescent="0.35">
      <c r="A232" s="135">
        <v>2026</v>
      </c>
      <c r="B232" s="136">
        <v>4</v>
      </c>
      <c r="C232" s="133" t="s">
        <v>5</v>
      </c>
      <c r="D232" s="133" t="s">
        <v>21</v>
      </c>
      <c r="E232" s="133" t="s">
        <v>302</v>
      </c>
      <c r="F232" s="139">
        <v>182</v>
      </c>
      <c r="G232" s="139">
        <v>182</v>
      </c>
      <c r="H232" s="139">
        <f t="shared" si="9"/>
        <v>15</v>
      </c>
      <c r="I232" s="139">
        <v>8</v>
      </c>
      <c r="J232" s="141">
        <f t="shared" si="10"/>
        <v>0.53333333333333333</v>
      </c>
      <c r="K232" s="136" t="str">
        <f t="shared" si="11"/>
        <v>Belum Tercapai</v>
      </c>
      <c r="L232" s="143" t="s">
        <v>301</v>
      </c>
    </row>
    <row r="233" spans="1:12" x14ac:dyDescent="0.35">
      <c r="A233" s="135">
        <v>2026</v>
      </c>
      <c r="B233" s="136">
        <v>4</v>
      </c>
      <c r="C233" s="133" t="s">
        <v>5</v>
      </c>
      <c r="D233" s="133" t="s">
        <v>21</v>
      </c>
      <c r="E233" s="133" t="s">
        <v>92</v>
      </c>
      <c r="F233" s="139">
        <v>368</v>
      </c>
      <c r="G233" s="139">
        <v>368</v>
      </c>
      <c r="H233" s="139">
        <f t="shared" si="9"/>
        <v>31</v>
      </c>
      <c r="I233" s="139">
        <v>0</v>
      </c>
      <c r="J233" s="141">
        <f t="shared" si="10"/>
        <v>0</v>
      </c>
      <c r="K233" s="136" t="str">
        <f t="shared" si="11"/>
        <v>Belum Tercapai</v>
      </c>
      <c r="L233" s="143" t="s">
        <v>303</v>
      </c>
    </row>
    <row r="234" spans="1:12" ht="29" x14ac:dyDescent="0.35">
      <c r="A234" s="135">
        <v>2026</v>
      </c>
      <c r="B234" s="136">
        <v>5</v>
      </c>
      <c r="C234" s="133" t="s">
        <v>6</v>
      </c>
      <c r="D234" s="133" t="s">
        <v>21</v>
      </c>
      <c r="E234" s="133" t="s">
        <v>299</v>
      </c>
      <c r="F234" s="139">
        <v>16392</v>
      </c>
      <c r="G234" s="139">
        <v>16392</v>
      </c>
      <c r="H234" s="139">
        <f t="shared" si="9"/>
        <v>1366</v>
      </c>
      <c r="I234" s="139">
        <v>342</v>
      </c>
      <c r="J234" s="141">
        <f t="shared" si="10"/>
        <v>0.25036603221083453</v>
      </c>
      <c r="K234" s="136" t="str">
        <f t="shared" si="11"/>
        <v>Belum Tercapai</v>
      </c>
      <c r="L234" s="143" t="s">
        <v>300</v>
      </c>
    </row>
    <row r="235" spans="1:12" ht="29" x14ac:dyDescent="0.35">
      <c r="A235" s="135">
        <v>2026</v>
      </c>
      <c r="B235" s="136">
        <v>5</v>
      </c>
      <c r="C235" s="133" t="s">
        <v>6</v>
      </c>
      <c r="D235" s="133" t="s">
        <v>21</v>
      </c>
      <c r="E235" s="133" t="s">
        <v>201</v>
      </c>
      <c r="F235" s="139">
        <v>726</v>
      </c>
      <c r="G235" s="139">
        <v>726</v>
      </c>
      <c r="H235" s="139">
        <f t="shared" si="9"/>
        <v>61</v>
      </c>
      <c r="I235" s="139">
        <v>4</v>
      </c>
      <c r="J235" s="141">
        <f t="shared" si="10"/>
        <v>6.5573770491803282E-2</v>
      </c>
      <c r="K235" s="136" t="str">
        <f t="shared" si="11"/>
        <v>Belum Tercapai</v>
      </c>
      <c r="L235" s="143" t="s">
        <v>301</v>
      </c>
    </row>
    <row r="236" spans="1:12" ht="29" x14ac:dyDescent="0.35">
      <c r="A236" s="135">
        <v>2026</v>
      </c>
      <c r="B236" s="136">
        <v>5</v>
      </c>
      <c r="C236" s="133" t="s">
        <v>6</v>
      </c>
      <c r="D236" s="133" t="s">
        <v>21</v>
      </c>
      <c r="E236" s="133" t="s">
        <v>302</v>
      </c>
      <c r="F236" s="139">
        <v>182</v>
      </c>
      <c r="G236" s="139">
        <v>182</v>
      </c>
      <c r="H236" s="139">
        <f t="shared" si="9"/>
        <v>15</v>
      </c>
      <c r="I236" s="139">
        <v>10</v>
      </c>
      <c r="J236" s="141">
        <f t="shared" si="10"/>
        <v>0.66666666666666663</v>
      </c>
      <c r="K236" s="136" t="str">
        <f t="shared" si="11"/>
        <v>Belum Tercapai</v>
      </c>
      <c r="L236" s="143" t="s">
        <v>301</v>
      </c>
    </row>
    <row r="237" spans="1:12" x14ac:dyDescent="0.35">
      <c r="A237" s="135">
        <v>2026</v>
      </c>
      <c r="B237" s="136">
        <v>5</v>
      </c>
      <c r="C237" s="133" t="s">
        <v>6</v>
      </c>
      <c r="D237" s="133" t="s">
        <v>21</v>
      </c>
      <c r="E237" s="133" t="s">
        <v>92</v>
      </c>
      <c r="F237" s="139">
        <v>368</v>
      </c>
      <c r="G237" s="139">
        <v>368</v>
      </c>
      <c r="H237" s="139">
        <f t="shared" si="9"/>
        <v>31</v>
      </c>
      <c r="I237" s="139">
        <v>23</v>
      </c>
      <c r="J237" s="141">
        <f t="shared" si="10"/>
        <v>0.74193548387096775</v>
      </c>
      <c r="K237" s="136" t="str">
        <f t="shared" si="11"/>
        <v>Belum Tercapai</v>
      </c>
      <c r="L237" s="143" t="s">
        <v>303</v>
      </c>
    </row>
    <row r="238" spans="1:12" ht="29" x14ac:dyDescent="0.35">
      <c r="A238" s="135">
        <v>2026</v>
      </c>
      <c r="B238" s="136">
        <v>6</v>
      </c>
      <c r="C238" s="133" t="s">
        <v>7</v>
      </c>
      <c r="D238" s="133" t="s">
        <v>21</v>
      </c>
      <c r="E238" s="133" t="s">
        <v>299</v>
      </c>
      <c r="F238" s="139">
        <v>16392</v>
      </c>
      <c r="G238" s="139">
        <v>16392</v>
      </c>
      <c r="H238" s="139">
        <f t="shared" si="9"/>
        <v>1366</v>
      </c>
      <c r="I238" s="139">
        <v>13</v>
      </c>
      <c r="J238" s="141">
        <f t="shared" si="10"/>
        <v>9.5168374816983897E-3</v>
      </c>
      <c r="K238" s="136" t="str">
        <f t="shared" si="11"/>
        <v>Belum Tercapai</v>
      </c>
      <c r="L238" s="143" t="s">
        <v>300</v>
      </c>
    </row>
    <row r="239" spans="1:12" ht="29" x14ac:dyDescent="0.35">
      <c r="A239" s="135">
        <v>2026</v>
      </c>
      <c r="B239" s="136">
        <v>6</v>
      </c>
      <c r="C239" s="133" t="s">
        <v>7</v>
      </c>
      <c r="D239" s="133" t="s">
        <v>21</v>
      </c>
      <c r="E239" s="133" t="s">
        <v>201</v>
      </c>
      <c r="F239" s="139">
        <v>726</v>
      </c>
      <c r="G239" s="139">
        <v>726</v>
      </c>
      <c r="H239" s="139">
        <f t="shared" si="9"/>
        <v>61</v>
      </c>
      <c r="I239" s="139">
        <v>0</v>
      </c>
      <c r="J239" s="141">
        <f t="shared" si="10"/>
        <v>0</v>
      </c>
      <c r="K239" s="136" t="str">
        <f t="shared" si="11"/>
        <v>Belum Tercapai</v>
      </c>
      <c r="L239" s="143" t="s">
        <v>301</v>
      </c>
    </row>
    <row r="240" spans="1:12" ht="29" x14ac:dyDescent="0.35">
      <c r="A240" s="135">
        <v>2026</v>
      </c>
      <c r="B240" s="136">
        <v>6</v>
      </c>
      <c r="C240" s="133" t="s">
        <v>7</v>
      </c>
      <c r="D240" s="133" t="s">
        <v>21</v>
      </c>
      <c r="E240" s="133" t="s">
        <v>302</v>
      </c>
      <c r="F240" s="139">
        <v>182</v>
      </c>
      <c r="G240" s="139">
        <v>182</v>
      </c>
      <c r="H240" s="139">
        <f t="shared" si="9"/>
        <v>15</v>
      </c>
      <c r="I240" s="139">
        <v>2</v>
      </c>
      <c r="J240" s="141">
        <f t="shared" si="10"/>
        <v>0.13333333333333333</v>
      </c>
      <c r="K240" s="136" t="str">
        <f t="shared" si="11"/>
        <v>Belum Tercapai</v>
      </c>
      <c r="L240" s="143" t="s">
        <v>301</v>
      </c>
    </row>
    <row r="241" spans="1:12" x14ac:dyDescent="0.35">
      <c r="A241" s="135">
        <v>2026</v>
      </c>
      <c r="B241" s="136">
        <v>6</v>
      </c>
      <c r="C241" s="133" t="s">
        <v>7</v>
      </c>
      <c r="D241" s="133" t="s">
        <v>21</v>
      </c>
      <c r="E241" s="133" t="s">
        <v>92</v>
      </c>
      <c r="F241" s="139">
        <v>368</v>
      </c>
      <c r="G241" s="139">
        <v>368</v>
      </c>
      <c r="H241" s="139">
        <f t="shared" si="9"/>
        <v>31</v>
      </c>
      <c r="I241" s="139">
        <v>0</v>
      </c>
      <c r="J241" s="141">
        <f t="shared" si="10"/>
        <v>0</v>
      </c>
      <c r="K241" s="136" t="str">
        <f t="shared" si="11"/>
        <v>Belum Tercapai</v>
      </c>
      <c r="L241" s="143" t="s">
        <v>303</v>
      </c>
    </row>
    <row r="242" spans="1:12" ht="29" x14ac:dyDescent="0.35">
      <c r="A242" s="135">
        <v>2026</v>
      </c>
      <c r="B242" s="136">
        <v>1</v>
      </c>
      <c r="C242" s="133" t="s">
        <v>1</v>
      </c>
      <c r="D242" s="133" t="s">
        <v>22</v>
      </c>
      <c r="E242" s="133" t="s">
        <v>299</v>
      </c>
      <c r="F242" s="139">
        <v>6154</v>
      </c>
      <c r="G242" s="139">
        <v>6154</v>
      </c>
      <c r="H242" s="139">
        <f t="shared" si="9"/>
        <v>513</v>
      </c>
      <c r="I242" s="139">
        <v>302</v>
      </c>
      <c r="J242" s="141">
        <f t="shared" si="10"/>
        <v>0.58869395711500971</v>
      </c>
      <c r="K242" s="136" t="str">
        <f t="shared" si="11"/>
        <v>Belum Tercapai</v>
      </c>
      <c r="L242" s="143" t="s">
        <v>300</v>
      </c>
    </row>
    <row r="243" spans="1:12" ht="29" x14ac:dyDescent="0.35">
      <c r="A243" s="135">
        <v>2026</v>
      </c>
      <c r="B243" s="136">
        <v>1</v>
      </c>
      <c r="C243" s="133" t="s">
        <v>1</v>
      </c>
      <c r="D243" s="133" t="s">
        <v>22</v>
      </c>
      <c r="E243" s="133" t="s">
        <v>201</v>
      </c>
      <c r="F243" s="139">
        <v>282</v>
      </c>
      <c r="G243" s="139">
        <v>282</v>
      </c>
      <c r="H243" s="139">
        <f t="shared" si="9"/>
        <v>24</v>
      </c>
      <c r="I243" s="139">
        <v>38</v>
      </c>
      <c r="J243" s="141">
        <f t="shared" si="10"/>
        <v>1.5833333333333333</v>
      </c>
      <c r="K243" s="136" t="str">
        <f t="shared" si="11"/>
        <v>Tercapai</v>
      </c>
      <c r="L243" s="143" t="s">
        <v>301</v>
      </c>
    </row>
    <row r="244" spans="1:12" ht="29" x14ac:dyDescent="0.35">
      <c r="A244" s="135">
        <v>2026</v>
      </c>
      <c r="B244" s="136">
        <v>1</v>
      </c>
      <c r="C244" s="133" t="s">
        <v>1</v>
      </c>
      <c r="D244" s="133" t="s">
        <v>22</v>
      </c>
      <c r="E244" s="133" t="s">
        <v>302</v>
      </c>
      <c r="F244" s="139">
        <v>70</v>
      </c>
      <c r="G244" s="139">
        <v>70</v>
      </c>
      <c r="H244" s="139">
        <f t="shared" si="9"/>
        <v>6</v>
      </c>
      <c r="I244" s="139">
        <v>9</v>
      </c>
      <c r="J244" s="141">
        <f t="shared" si="10"/>
        <v>1.5</v>
      </c>
      <c r="K244" s="136" t="str">
        <f t="shared" si="11"/>
        <v>Tercapai</v>
      </c>
      <c r="L244" s="143" t="s">
        <v>301</v>
      </c>
    </row>
    <row r="245" spans="1:12" x14ac:dyDescent="0.35">
      <c r="A245" s="135">
        <v>2026</v>
      </c>
      <c r="B245" s="136">
        <v>1</v>
      </c>
      <c r="C245" s="133" t="s">
        <v>1</v>
      </c>
      <c r="D245" s="133" t="s">
        <v>22</v>
      </c>
      <c r="E245" s="133" t="s">
        <v>92</v>
      </c>
      <c r="F245" s="139">
        <v>157</v>
      </c>
      <c r="G245" s="139">
        <v>157</v>
      </c>
      <c r="H245" s="139">
        <f t="shared" si="9"/>
        <v>14</v>
      </c>
      <c r="I245" s="139">
        <v>0</v>
      </c>
      <c r="J245" s="141">
        <f t="shared" si="10"/>
        <v>0</v>
      </c>
      <c r="K245" s="136" t="str">
        <f t="shared" si="11"/>
        <v>Belum Tercapai</v>
      </c>
      <c r="L245" s="143" t="s">
        <v>303</v>
      </c>
    </row>
    <row r="246" spans="1:12" ht="29" x14ac:dyDescent="0.35">
      <c r="A246" s="135">
        <v>2026</v>
      </c>
      <c r="B246" s="136">
        <v>2</v>
      </c>
      <c r="C246" s="133" t="s">
        <v>2</v>
      </c>
      <c r="D246" s="133" t="s">
        <v>22</v>
      </c>
      <c r="E246" s="133" t="s">
        <v>299</v>
      </c>
      <c r="F246" s="139">
        <v>6154</v>
      </c>
      <c r="G246" s="139">
        <v>6154</v>
      </c>
      <c r="H246" s="139">
        <f t="shared" si="9"/>
        <v>513</v>
      </c>
      <c r="I246" s="139">
        <v>273</v>
      </c>
      <c r="J246" s="141">
        <f t="shared" si="10"/>
        <v>0.53216374269005851</v>
      </c>
      <c r="K246" s="136" t="str">
        <f t="shared" si="11"/>
        <v>Belum Tercapai</v>
      </c>
      <c r="L246" s="143" t="s">
        <v>300</v>
      </c>
    </row>
    <row r="247" spans="1:12" ht="29" x14ac:dyDescent="0.35">
      <c r="A247" s="135">
        <v>2026</v>
      </c>
      <c r="B247" s="136">
        <v>2</v>
      </c>
      <c r="C247" s="133" t="s">
        <v>2</v>
      </c>
      <c r="D247" s="133" t="s">
        <v>22</v>
      </c>
      <c r="E247" s="133" t="s">
        <v>201</v>
      </c>
      <c r="F247" s="139">
        <v>282</v>
      </c>
      <c r="G247" s="139">
        <v>282</v>
      </c>
      <c r="H247" s="139">
        <f t="shared" si="9"/>
        <v>24</v>
      </c>
      <c r="I247" s="139">
        <v>48</v>
      </c>
      <c r="J247" s="141">
        <f t="shared" si="10"/>
        <v>2</v>
      </c>
      <c r="K247" s="136" t="str">
        <f t="shared" si="11"/>
        <v>Tercapai</v>
      </c>
      <c r="L247" s="143" t="s">
        <v>301</v>
      </c>
    </row>
    <row r="248" spans="1:12" ht="29" x14ac:dyDescent="0.35">
      <c r="A248" s="135">
        <v>2026</v>
      </c>
      <c r="B248" s="136">
        <v>2</v>
      </c>
      <c r="C248" s="133" t="s">
        <v>2</v>
      </c>
      <c r="D248" s="133" t="s">
        <v>22</v>
      </c>
      <c r="E248" s="133" t="s">
        <v>302</v>
      </c>
      <c r="F248" s="139">
        <v>70</v>
      </c>
      <c r="G248" s="139">
        <v>70</v>
      </c>
      <c r="H248" s="139">
        <f t="shared" si="9"/>
        <v>6</v>
      </c>
      <c r="I248" s="139">
        <v>9</v>
      </c>
      <c r="J248" s="141">
        <f t="shared" si="10"/>
        <v>1.5</v>
      </c>
      <c r="K248" s="136" t="str">
        <f t="shared" si="11"/>
        <v>Tercapai</v>
      </c>
      <c r="L248" s="143" t="s">
        <v>301</v>
      </c>
    </row>
    <row r="249" spans="1:12" x14ac:dyDescent="0.35">
      <c r="A249" s="135">
        <v>2026</v>
      </c>
      <c r="B249" s="136">
        <v>2</v>
      </c>
      <c r="C249" s="133" t="s">
        <v>2</v>
      </c>
      <c r="D249" s="133" t="s">
        <v>22</v>
      </c>
      <c r="E249" s="133" t="s">
        <v>92</v>
      </c>
      <c r="F249" s="139">
        <v>157</v>
      </c>
      <c r="G249" s="139">
        <v>157</v>
      </c>
      <c r="H249" s="139">
        <f t="shared" si="9"/>
        <v>13</v>
      </c>
      <c r="I249" s="139">
        <v>0</v>
      </c>
      <c r="J249" s="141">
        <f t="shared" si="10"/>
        <v>0</v>
      </c>
      <c r="K249" s="136" t="str">
        <f t="shared" si="11"/>
        <v>Belum Tercapai</v>
      </c>
      <c r="L249" s="143" t="s">
        <v>303</v>
      </c>
    </row>
    <row r="250" spans="1:12" ht="29" x14ac:dyDescent="0.35">
      <c r="A250" s="135">
        <v>2026</v>
      </c>
      <c r="B250" s="136">
        <v>3</v>
      </c>
      <c r="C250" s="133" t="s">
        <v>3</v>
      </c>
      <c r="D250" s="133" t="s">
        <v>22</v>
      </c>
      <c r="E250" s="133" t="s">
        <v>299</v>
      </c>
      <c r="F250" s="139">
        <v>6154</v>
      </c>
      <c r="G250" s="139">
        <v>6154</v>
      </c>
      <c r="H250" s="139">
        <f t="shared" si="9"/>
        <v>513</v>
      </c>
      <c r="I250" s="139">
        <v>373</v>
      </c>
      <c r="J250" s="141">
        <f t="shared" si="10"/>
        <v>0.72709551656920079</v>
      </c>
      <c r="K250" s="136" t="str">
        <f t="shared" si="11"/>
        <v>Belum Tercapai</v>
      </c>
      <c r="L250" s="143" t="s">
        <v>300</v>
      </c>
    </row>
    <row r="251" spans="1:12" ht="29" x14ac:dyDescent="0.35">
      <c r="A251" s="135">
        <v>2026</v>
      </c>
      <c r="B251" s="136">
        <v>3</v>
      </c>
      <c r="C251" s="133" t="s">
        <v>3</v>
      </c>
      <c r="D251" s="133" t="s">
        <v>22</v>
      </c>
      <c r="E251" s="133" t="s">
        <v>201</v>
      </c>
      <c r="F251" s="139">
        <v>282</v>
      </c>
      <c r="G251" s="139">
        <v>282</v>
      </c>
      <c r="H251" s="139">
        <f t="shared" si="9"/>
        <v>24</v>
      </c>
      <c r="I251" s="139">
        <v>32</v>
      </c>
      <c r="J251" s="141">
        <f t="shared" si="10"/>
        <v>1.3333333333333333</v>
      </c>
      <c r="K251" s="136" t="str">
        <f t="shared" si="11"/>
        <v>Tercapai</v>
      </c>
      <c r="L251" s="143" t="s">
        <v>301</v>
      </c>
    </row>
    <row r="252" spans="1:12" ht="29" x14ac:dyDescent="0.35">
      <c r="A252" s="135">
        <v>2026</v>
      </c>
      <c r="B252" s="136">
        <v>3</v>
      </c>
      <c r="C252" s="133" t="s">
        <v>3</v>
      </c>
      <c r="D252" s="133" t="s">
        <v>22</v>
      </c>
      <c r="E252" s="133" t="s">
        <v>302</v>
      </c>
      <c r="F252" s="139">
        <v>70</v>
      </c>
      <c r="G252" s="139">
        <v>70</v>
      </c>
      <c r="H252" s="139">
        <f t="shared" si="9"/>
        <v>6</v>
      </c>
      <c r="I252" s="139">
        <v>3</v>
      </c>
      <c r="J252" s="141">
        <f t="shared" si="10"/>
        <v>0.5</v>
      </c>
      <c r="K252" s="136" t="str">
        <f t="shared" si="11"/>
        <v>Belum Tercapai</v>
      </c>
      <c r="L252" s="143" t="s">
        <v>301</v>
      </c>
    </row>
    <row r="253" spans="1:12" x14ac:dyDescent="0.35">
      <c r="A253" s="135">
        <v>2026</v>
      </c>
      <c r="B253" s="136">
        <v>3</v>
      </c>
      <c r="C253" s="133" t="s">
        <v>3</v>
      </c>
      <c r="D253" s="133" t="s">
        <v>22</v>
      </c>
      <c r="E253" s="133" t="s">
        <v>92</v>
      </c>
      <c r="F253" s="139">
        <v>157</v>
      </c>
      <c r="G253" s="139">
        <v>157</v>
      </c>
      <c r="H253" s="139">
        <f t="shared" si="9"/>
        <v>13</v>
      </c>
      <c r="I253" s="139">
        <v>20</v>
      </c>
      <c r="J253" s="141">
        <f t="shared" si="10"/>
        <v>1.5384615384615385</v>
      </c>
      <c r="K253" s="136" t="str">
        <f t="shared" si="11"/>
        <v>Tercapai</v>
      </c>
      <c r="L253" s="143" t="s">
        <v>303</v>
      </c>
    </row>
    <row r="254" spans="1:12" ht="29" x14ac:dyDescent="0.35">
      <c r="A254" s="135">
        <v>2026</v>
      </c>
      <c r="B254" s="136">
        <v>4</v>
      </c>
      <c r="C254" s="133" t="s">
        <v>5</v>
      </c>
      <c r="D254" s="133" t="s">
        <v>22</v>
      </c>
      <c r="E254" s="133" t="s">
        <v>299</v>
      </c>
      <c r="F254" s="139">
        <v>6154</v>
      </c>
      <c r="G254" s="139">
        <v>6154</v>
      </c>
      <c r="H254" s="139">
        <f t="shared" si="9"/>
        <v>513</v>
      </c>
      <c r="I254" s="139">
        <v>261</v>
      </c>
      <c r="J254" s="141">
        <f t="shared" si="10"/>
        <v>0.50877192982456143</v>
      </c>
      <c r="K254" s="136" t="str">
        <f t="shared" si="11"/>
        <v>Belum Tercapai</v>
      </c>
      <c r="L254" s="143" t="s">
        <v>300</v>
      </c>
    </row>
    <row r="255" spans="1:12" ht="29" x14ac:dyDescent="0.35">
      <c r="A255" s="135">
        <v>2026</v>
      </c>
      <c r="B255" s="136">
        <v>4</v>
      </c>
      <c r="C255" s="133" t="s">
        <v>5</v>
      </c>
      <c r="D255" s="133" t="s">
        <v>22</v>
      </c>
      <c r="E255" s="133" t="s">
        <v>201</v>
      </c>
      <c r="F255" s="139">
        <v>282</v>
      </c>
      <c r="G255" s="139">
        <v>282</v>
      </c>
      <c r="H255" s="139">
        <f t="shared" si="9"/>
        <v>24</v>
      </c>
      <c r="I255" s="139">
        <v>19</v>
      </c>
      <c r="J255" s="141">
        <f t="shared" si="10"/>
        <v>0.79166666666666663</v>
      </c>
      <c r="K255" s="136" t="str">
        <f t="shared" si="11"/>
        <v>Belum Tercapai</v>
      </c>
      <c r="L255" s="143" t="s">
        <v>301</v>
      </c>
    </row>
    <row r="256" spans="1:12" ht="29" x14ac:dyDescent="0.35">
      <c r="A256" s="135">
        <v>2026</v>
      </c>
      <c r="B256" s="136">
        <v>4</v>
      </c>
      <c r="C256" s="133" t="s">
        <v>5</v>
      </c>
      <c r="D256" s="133" t="s">
        <v>22</v>
      </c>
      <c r="E256" s="133" t="s">
        <v>302</v>
      </c>
      <c r="F256" s="139">
        <v>70</v>
      </c>
      <c r="G256" s="139">
        <v>70</v>
      </c>
      <c r="H256" s="139">
        <f t="shared" si="9"/>
        <v>6</v>
      </c>
      <c r="I256" s="139">
        <v>3</v>
      </c>
      <c r="J256" s="141">
        <f t="shared" si="10"/>
        <v>0.5</v>
      </c>
      <c r="K256" s="136" t="str">
        <f t="shared" si="11"/>
        <v>Belum Tercapai</v>
      </c>
      <c r="L256" s="143" t="s">
        <v>301</v>
      </c>
    </row>
    <row r="257" spans="1:12" x14ac:dyDescent="0.35">
      <c r="A257" s="135">
        <v>2026</v>
      </c>
      <c r="B257" s="136">
        <v>4</v>
      </c>
      <c r="C257" s="133" t="s">
        <v>5</v>
      </c>
      <c r="D257" s="133" t="s">
        <v>22</v>
      </c>
      <c r="E257" s="133" t="s">
        <v>92</v>
      </c>
      <c r="F257" s="139">
        <v>157</v>
      </c>
      <c r="G257" s="139">
        <v>157</v>
      </c>
      <c r="H257" s="139">
        <f t="shared" si="9"/>
        <v>13</v>
      </c>
      <c r="I257" s="139">
        <v>0</v>
      </c>
      <c r="J257" s="141">
        <f t="shared" si="10"/>
        <v>0</v>
      </c>
      <c r="K257" s="136" t="str">
        <f t="shared" si="11"/>
        <v>Belum Tercapai</v>
      </c>
      <c r="L257" s="143" t="s">
        <v>303</v>
      </c>
    </row>
    <row r="258" spans="1:12" ht="29" x14ac:dyDescent="0.35">
      <c r="A258" s="135">
        <v>2026</v>
      </c>
      <c r="B258" s="136">
        <v>5</v>
      </c>
      <c r="C258" s="133" t="s">
        <v>6</v>
      </c>
      <c r="D258" s="133" t="s">
        <v>22</v>
      </c>
      <c r="E258" s="133" t="s">
        <v>299</v>
      </c>
      <c r="F258" s="139">
        <v>6154</v>
      </c>
      <c r="G258" s="139">
        <v>6154</v>
      </c>
      <c r="H258" s="139">
        <f t="shared" ref="H258:H321" si="12">QUOTIENT(G258,12)+IF(B258&lt;=MOD(G258,12),1,0)</f>
        <v>513</v>
      </c>
      <c r="I258" s="139">
        <v>172</v>
      </c>
      <c r="J258" s="141">
        <f t="shared" ref="J258:J321" si="13">IF(H258=0,"",I258/H258)</f>
        <v>0.33528265107212474</v>
      </c>
      <c r="K258" s="136" t="str">
        <f t="shared" ref="K258:K289" si="14">IF(H258=0,"",IF(I258&gt;=H258,"Tercapai","Belum Tercapai"))</f>
        <v>Belum Tercapai</v>
      </c>
      <c r="L258" s="143" t="s">
        <v>300</v>
      </c>
    </row>
    <row r="259" spans="1:12" ht="29" x14ac:dyDescent="0.35">
      <c r="A259" s="135">
        <v>2026</v>
      </c>
      <c r="B259" s="136">
        <v>5</v>
      </c>
      <c r="C259" s="133" t="s">
        <v>6</v>
      </c>
      <c r="D259" s="133" t="s">
        <v>22</v>
      </c>
      <c r="E259" s="133" t="s">
        <v>201</v>
      </c>
      <c r="F259" s="139">
        <v>282</v>
      </c>
      <c r="G259" s="139">
        <v>282</v>
      </c>
      <c r="H259" s="139">
        <f t="shared" si="12"/>
        <v>24</v>
      </c>
      <c r="I259" s="139">
        <v>27</v>
      </c>
      <c r="J259" s="141">
        <f t="shared" si="13"/>
        <v>1.125</v>
      </c>
      <c r="K259" s="136" t="str">
        <f t="shared" si="14"/>
        <v>Tercapai</v>
      </c>
      <c r="L259" s="143" t="s">
        <v>301</v>
      </c>
    </row>
    <row r="260" spans="1:12" ht="29" x14ac:dyDescent="0.35">
      <c r="A260" s="135">
        <v>2026</v>
      </c>
      <c r="B260" s="136">
        <v>5</v>
      </c>
      <c r="C260" s="133" t="s">
        <v>6</v>
      </c>
      <c r="D260" s="133" t="s">
        <v>22</v>
      </c>
      <c r="E260" s="133" t="s">
        <v>302</v>
      </c>
      <c r="F260" s="139">
        <v>70</v>
      </c>
      <c r="G260" s="139">
        <v>70</v>
      </c>
      <c r="H260" s="139">
        <f t="shared" si="12"/>
        <v>6</v>
      </c>
      <c r="I260" s="139">
        <v>5</v>
      </c>
      <c r="J260" s="141">
        <f t="shared" si="13"/>
        <v>0.83333333333333337</v>
      </c>
      <c r="K260" s="136" t="str">
        <f t="shared" si="14"/>
        <v>Belum Tercapai</v>
      </c>
      <c r="L260" s="143" t="s">
        <v>301</v>
      </c>
    </row>
    <row r="261" spans="1:12" x14ac:dyDescent="0.35">
      <c r="A261" s="135">
        <v>2026</v>
      </c>
      <c r="B261" s="136">
        <v>5</v>
      </c>
      <c r="C261" s="133" t="s">
        <v>6</v>
      </c>
      <c r="D261" s="133" t="s">
        <v>22</v>
      </c>
      <c r="E261" s="133" t="s">
        <v>92</v>
      </c>
      <c r="F261" s="139">
        <v>157</v>
      </c>
      <c r="G261" s="139">
        <v>157</v>
      </c>
      <c r="H261" s="139">
        <f t="shared" si="12"/>
        <v>13</v>
      </c>
      <c r="I261" s="139">
        <v>0</v>
      </c>
      <c r="J261" s="141">
        <f t="shared" si="13"/>
        <v>0</v>
      </c>
      <c r="K261" s="136" t="str">
        <f t="shared" si="14"/>
        <v>Belum Tercapai</v>
      </c>
      <c r="L261" s="143" t="s">
        <v>303</v>
      </c>
    </row>
    <row r="262" spans="1:12" ht="29" x14ac:dyDescent="0.35">
      <c r="A262" s="135">
        <v>2026</v>
      </c>
      <c r="B262" s="136">
        <v>6</v>
      </c>
      <c r="C262" s="133" t="s">
        <v>7</v>
      </c>
      <c r="D262" s="133" t="s">
        <v>22</v>
      </c>
      <c r="E262" s="133" t="s">
        <v>299</v>
      </c>
      <c r="F262" s="139">
        <v>6154</v>
      </c>
      <c r="G262" s="139">
        <v>6154</v>
      </c>
      <c r="H262" s="139">
        <f t="shared" si="12"/>
        <v>513</v>
      </c>
      <c r="I262" s="139">
        <v>157</v>
      </c>
      <c r="J262" s="141">
        <f t="shared" si="13"/>
        <v>0.30604288499025339</v>
      </c>
      <c r="K262" s="136" t="str">
        <f t="shared" si="14"/>
        <v>Belum Tercapai</v>
      </c>
      <c r="L262" s="143" t="s">
        <v>300</v>
      </c>
    </row>
    <row r="263" spans="1:12" ht="29" x14ac:dyDescent="0.35">
      <c r="A263" s="135">
        <v>2026</v>
      </c>
      <c r="B263" s="136">
        <v>6</v>
      </c>
      <c r="C263" s="133" t="s">
        <v>7</v>
      </c>
      <c r="D263" s="133" t="s">
        <v>22</v>
      </c>
      <c r="E263" s="133" t="s">
        <v>201</v>
      </c>
      <c r="F263" s="139">
        <v>282</v>
      </c>
      <c r="G263" s="139">
        <v>282</v>
      </c>
      <c r="H263" s="139">
        <f t="shared" si="12"/>
        <v>24</v>
      </c>
      <c r="I263" s="139">
        <v>25</v>
      </c>
      <c r="J263" s="141">
        <f t="shared" si="13"/>
        <v>1.0416666666666667</v>
      </c>
      <c r="K263" s="136" t="str">
        <f t="shared" si="14"/>
        <v>Tercapai</v>
      </c>
      <c r="L263" s="143" t="s">
        <v>301</v>
      </c>
    </row>
    <row r="264" spans="1:12" ht="29" x14ac:dyDescent="0.35">
      <c r="A264" s="135">
        <v>2026</v>
      </c>
      <c r="B264" s="136">
        <v>6</v>
      </c>
      <c r="C264" s="133" t="s">
        <v>7</v>
      </c>
      <c r="D264" s="133" t="s">
        <v>22</v>
      </c>
      <c r="E264" s="133" t="s">
        <v>302</v>
      </c>
      <c r="F264" s="139">
        <v>70</v>
      </c>
      <c r="G264" s="139">
        <v>70</v>
      </c>
      <c r="H264" s="139">
        <f t="shared" si="12"/>
        <v>6</v>
      </c>
      <c r="I264" s="139">
        <v>4</v>
      </c>
      <c r="J264" s="141">
        <f t="shared" si="13"/>
        <v>0.66666666666666663</v>
      </c>
      <c r="K264" s="136" t="str">
        <f t="shared" si="14"/>
        <v>Belum Tercapai</v>
      </c>
      <c r="L264" s="143" t="s">
        <v>301</v>
      </c>
    </row>
    <row r="265" spans="1:12" x14ac:dyDescent="0.35">
      <c r="A265" s="135">
        <v>2026</v>
      </c>
      <c r="B265" s="136">
        <v>6</v>
      </c>
      <c r="C265" s="133" t="s">
        <v>7</v>
      </c>
      <c r="D265" s="133" t="s">
        <v>22</v>
      </c>
      <c r="E265" s="133" t="s">
        <v>92</v>
      </c>
      <c r="F265" s="139">
        <v>157</v>
      </c>
      <c r="G265" s="139">
        <v>157</v>
      </c>
      <c r="H265" s="139">
        <f t="shared" si="12"/>
        <v>13</v>
      </c>
      <c r="I265" s="139">
        <v>21</v>
      </c>
      <c r="J265" s="141">
        <f t="shared" si="13"/>
        <v>1.6153846153846154</v>
      </c>
      <c r="K265" s="136" t="str">
        <f t="shared" si="14"/>
        <v>Tercapai</v>
      </c>
      <c r="L265" s="143" t="s">
        <v>303</v>
      </c>
    </row>
    <row r="266" spans="1:12" ht="29" x14ac:dyDescent="0.35">
      <c r="A266" s="135">
        <v>2026</v>
      </c>
      <c r="B266" s="136">
        <v>1</v>
      </c>
      <c r="C266" s="133" t="s">
        <v>1</v>
      </c>
      <c r="D266" s="133" t="s">
        <v>23</v>
      </c>
      <c r="E266" s="133" t="s">
        <v>299</v>
      </c>
      <c r="F266" s="139">
        <v>2274</v>
      </c>
      <c r="G266" s="139">
        <v>2274</v>
      </c>
      <c r="H266" s="139">
        <f t="shared" si="12"/>
        <v>190</v>
      </c>
      <c r="I266" s="139">
        <v>66</v>
      </c>
      <c r="J266" s="141">
        <f t="shared" si="13"/>
        <v>0.3473684210526316</v>
      </c>
      <c r="K266" s="136" t="str">
        <f t="shared" si="14"/>
        <v>Belum Tercapai</v>
      </c>
      <c r="L266" s="143" t="s">
        <v>300</v>
      </c>
    </row>
    <row r="267" spans="1:12" ht="29" x14ac:dyDescent="0.35">
      <c r="A267" s="135">
        <v>2026</v>
      </c>
      <c r="B267" s="136">
        <v>1</v>
      </c>
      <c r="C267" s="133" t="s">
        <v>1</v>
      </c>
      <c r="D267" s="133" t="s">
        <v>23</v>
      </c>
      <c r="E267" s="133" t="s">
        <v>201</v>
      </c>
      <c r="F267" s="139">
        <v>112</v>
      </c>
      <c r="G267" s="139">
        <v>112</v>
      </c>
      <c r="H267" s="139">
        <f t="shared" si="12"/>
        <v>10</v>
      </c>
      <c r="I267" s="139">
        <v>3</v>
      </c>
      <c r="J267" s="141">
        <f t="shared" si="13"/>
        <v>0.3</v>
      </c>
      <c r="K267" s="136" t="str">
        <f t="shared" si="14"/>
        <v>Belum Tercapai</v>
      </c>
      <c r="L267" s="143" t="s">
        <v>301</v>
      </c>
    </row>
    <row r="268" spans="1:12" ht="29" x14ac:dyDescent="0.35">
      <c r="A268" s="135">
        <v>2026</v>
      </c>
      <c r="B268" s="136">
        <v>1</v>
      </c>
      <c r="C268" s="133" t="s">
        <v>1</v>
      </c>
      <c r="D268" s="133" t="s">
        <v>23</v>
      </c>
      <c r="E268" s="133" t="s">
        <v>302</v>
      </c>
      <c r="F268" s="139">
        <v>28</v>
      </c>
      <c r="G268" s="139">
        <v>28</v>
      </c>
      <c r="H268" s="139">
        <f t="shared" si="12"/>
        <v>3</v>
      </c>
      <c r="I268" s="139">
        <v>2</v>
      </c>
      <c r="J268" s="141">
        <f t="shared" si="13"/>
        <v>0.66666666666666663</v>
      </c>
      <c r="K268" s="136" t="str">
        <f t="shared" si="14"/>
        <v>Belum Tercapai</v>
      </c>
      <c r="L268" s="143" t="s">
        <v>301</v>
      </c>
    </row>
    <row r="269" spans="1:12" x14ac:dyDescent="0.35">
      <c r="A269" s="135">
        <v>2026</v>
      </c>
      <c r="B269" s="136">
        <v>1</v>
      </c>
      <c r="C269" s="133" t="s">
        <v>1</v>
      </c>
      <c r="D269" s="133" t="s">
        <v>23</v>
      </c>
      <c r="E269" s="133" t="s">
        <v>92</v>
      </c>
      <c r="F269" s="139">
        <v>64</v>
      </c>
      <c r="G269" s="139">
        <v>64</v>
      </c>
      <c r="H269" s="139">
        <f t="shared" si="12"/>
        <v>6</v>
      </c>
      <c r="I269" s="139">
        <v>0</v>
      </c>
      <c r="J269" s="141">
        <f t="shared" si="13"/>
        <v>0</v>
      </c>
      <c r="K269" s="136" t="str">
        <f t="shared" si="14"/>
        <v>Belum Tercapai</v>
      </c>
      <c r="L269" s="143" t="s">
        <v>303</v>
      </c>
    </row>
    <row r="270" spans="1:12" ht="29" x14ac:dyDescent="0.35">
      <c r="A270" s="135">
        <v>2026</v>
      </c>
      <c r="B270" s="136">
        <v>2</v>
      </c>
      <c r="C270" s="133" t="s">
        <v>2</v>
      </c>
      <c r="D270" s="133" t="s">
        <v>23</v>
      </c>
      <c r="E270" s="133" t="s">
        <v>299</v>
      </c>
      <c r="F270" s="139">
        <v>2274</v>
      </c>
      <c r="G270" s="139">
        <v>2274</v>
      </c>
      <c r="H270" s="139">
        <f t="shared" si="12"/>
        <v>190</v>
      </c>
      <c r="I270" s="139">
        <v>15</v>
      </c>
      <c r="J270" s="141">
        <f t="shared" si="13"/>
        <v>7.8947368421052627E-2</v>
      </c>
      <c r="K270" s="136" t="str">
        <f t="shared" si="14"/>
        <v>Belum Tercapai</v>
      </c>
      <c r="L270" s="143" t="s">
        <v>300</v>
      </c>
    </row>
    <row r="271" spans="1:12" ht="29" x14ac:dyDescent="0.35">
      <c r="A271" s="135">
        <v>2026</v>
      </c>
      <c r="B271" s="136">
        <v>2</v>
      </c>
      <c r="C271" s="133" t="s">
        <v>2</v>
      </c>
      <c r="D271" s="133" t="s">
        <v>23</v>
      </c>
      <c r="E271" s="133" t="s">
        <v>201</v>
      </c>
      <c r="F271" s="139">
        <v>112</v>
      </c>
      <c r="G271" s="139">
        <v>112</v>
      </c>
      <c r="H271" s="139">
        <f t="shared" si="12"/>
        <v>10</v>
      </c>
      <c r="I271" s="139">
        <v>4</v>
      </c>
      <c r="J271" s="141">
        <f t="shared" si="13"/>
        <v>0.4</v>
      </c>
      <c r="K271" s="136" t="str">
        <f t="shared" si="14"/>
        <v>Belum Tercapai</v>
      </c>
      <c r="L271" s="143" t="s">
        <v>301</v>
      </c>
    </row>
    <row r="272" spans="1:12" ht="29" x14ac:dyDescent="0.35">
      <c r="A272" s="135">
        <v>2026</v>
      </c>
      <c r="B272" s="136">
        <v>2</v>
      </c>
      <c r="C272" s="133" t="s">
        <v>2</v>
      </c>
      <c r="D272" s="133" t="s">
        <v>23</v>
      </c>
      <c r="E272" s="133" t="s">
        <v>302</v>
      </c>
      <c r="F272" s="139">
        <v>28</v>
      </c>
      <c r="G272" s="139">
        <v>28</v>
      </c>
      <c r="H272" s="139">
        <f t="shared" si="12"/>
        <v>3</v>
      </c>
      <c r="I272" s="139">
        <v>0</v>
      </c>
      <c r="J272" s="141">
        <f t="shared" si="13"/>
        <v>0</v>
      </c>
      <c r="K272" s="136" t="str">
        <f t="shared" si="14"/>
        <v>Belum Tercapai</v>
      </c>
      <c r="L272" s="143" t="s">
        <v>301</v>
      </c>
    </row>
    <row r="273" spans="1:12" x14ac:dyDescent="0.35">
      <c r="A273" s="135">
        <v>2026</v>
      </c>
      <c r="B273" s="136">
        <v>2</v>
      </c>
      <c r="C273" s="133" t="s">
        <v>2</v>
      </c>
      <c r="D273" s="133" t="s">
        <v>23</v>
      </c>
      <c r="E273" s="133" t="s">
        <v>92</v>
      </c>
      <c r="F273" s="139">
        <v>64</v>
      </c>
      <c r="G273" s="139">
        <v>64</v>
      </c>
      <c r="H273" s="139">
        <f t="shared" si="12"/>
        <v>6</v>
      </c>
      <c r="I273" s="139">
        <v>0</v>
      </c>
      <c r="J273" s="141">
        <f t="shared" si="13"/>
        <v>0</v>
      </c>
      <c r="K273" s="136" t="str">
        <f t="shared" si="14"/>
        <v>Belum Tercapai</v>
      </c>
      <c r="L273" s="143" t="s">
        <v>303</v>
      </c>
    </row>
    <row r="274" spans="1:12" ht="29" x14ac:dyDescent="0.35">
      <c r="A274" s="135">
        <v>2026</v>
      </c>
      <c r="B274" s="136">
        <v>3</v>
      </c>
      <c r="C274" s="133" t="s">
        <v>3</v>
      </c>
      <c r="D274" s="133" t="s">
        <v>23</v>
      </c>
      <c r="E274" s="133" t="s">
        <v>299</v>
      </c>
      <c r="F274" s="139">
        <v>2274</v>
      </c>
      <c r="G274" s="139">
        <v>2274</v>
      </c>
      <c r="H274" s="139">
        <f t="shared" si="12"/>
        <v>190</v>
      </c>
      <c r="I274" s="139">
        <v>22</v>
      </c>
      <c r="J274" s="141">
        <f t="shared" si="13"/>
        <v>0.11578947368421053</v>
      </c>
      <c r="K274" s="136" t="str">
        <f t="shared" si="14"/>
        <v>Belum Tercapai</v>
      </c>
      <c r="L274" s="143" t="s">
        <v>300</v>
      </c>
    </row>
    <row r="275" spans="1:12" ht="29" x14ac:dyDescent="0.35">
      <c r="A275" s="135">
        <v>2026</v>
      </c>
      <c r="B275" s="136">
        <v>3</v>
      </c>
      <c r="C275" s="133" t="s">
        <v>3</v>
      </c>
      <c r="D275" s="133" t="s">
        <v>23</v>
      </c>
      <c r="E275" s="133" t="s">
        <v>201</v>
      </c>
      <c r="F275" s="139">
        <v>112</v>
      </c>
      <c r="G275" s="139">
        <v>112</v>
      </c>
      <c r="H275" s="139">
        <f t="shared" si="12"/>
        <v>10</v>
      </c>
      <c r="I275" s="139">
        <v>5</v>
      </c>
      <c r="J275" s="141">
        <f t="shared" si="13"/>
        <v>0.5</v>
      </c>
      <c r="K275" s="136" t="str">
        <f t="shared" si="14"/>
        <v>Belum Tercapai</v>
      </c>
      <c r="L275" s="143" t="s">
        <v>301</v>
      </c>
    </row>
    <row r="276" spans="1:12" ht="29" x14ac:dyDescent="0.35">
      <c r="A276" s="135">
        <v>2026</v>
      </c>
      <c r="B276" s="136">
        <v>3</v>
      </c>
      <c r="C276" s="133" t="s">
        <v>3</v>
      </c>
      <c r="D276" s="133" t="s">
        <v>23</v>
      </c>
      <c r="E276" s="133" t="s">
        <v>302</v>
      </c>
      <c r="F276" s="139">
        <v>28</v>
      </c>
      <c r="G276" s="139">
        <v>28</v>
      </c>
      <c r="H276" s="139">
        <f t="shared" si="12"/>
        <v>3</v>
      </c>
      <c r="I276" s="139">
        <v>0</v>
      </c>
      <c r="J276" s="141">
        <f t="shared" si="13"/>
        <v>0</v>
      </c>
      <c r="K276" s="136" t="str">
        <f t="shared" si="14"/>
        <v>Belum Tercapai</v>
      </c>
      <c r="L276" s="143" t="s">
        <v>301</v>
      </c>
    </row>
    <row r="277" spans="1:12" x14ac:dyDescent="0.35">
      <c r="A277" s="135">
        <v>2026</v>
      </c>
      <c r="B277" s="136">
        <v>3</v>
      </c>
      <c r="C277" s="133" t="s">
        <v>3</v>
      </c>
      <c r="D277" s="133" t="s">
        <v>23</v>
      </c>
      <c r="E277" s="133" t="s">
        <v>92</v>
      </c>
      <c r="F277" s="139">
        <v>64</v>
      </c>
      <c r="G277" s="139">
        <v>64</v>
      </c>
      <c r="H277" s="139">
        <f t="shared" si="12"/>
        <v>6</v>
      </c>
      <c r="I277" s="139">
        <v>0</v>
      </c>
      <c r="J277" s="141">
        <f t="shared" si="13"/>
        <v>0</v>
      </c>
      <c r="K277" s="136" t="str">
        <f t="shared" si="14"/>
        <v>Belum Tercapai</v>
      </c>
      <c r="L277" s="143" t="s">
        <v>303</v>
      </c>
    </row>
    <row r="278" spans="1:12" ht="29" x14ac:dyDescent="0.35">
      <c r="A278" s="135">
        <v>2026</v>
      </c>
      <c r="B278" s="136">
        <v>4</v>
      </c>
      <c r="C278" s="133" t="s">
        <v>5</v>
      </c>
      <c r="D278" s="133" t="s">
        <v>23</v>
      </c>
      <c r="E278" s="133" t="s">
        <v>299</v>
      </c>
      <c r="F278" s="139">
        <v>2274</v>
      </c>
      <c r="G278" s="139">
        <v>2274</v>
      </c>
      <c r="H278" s="139">
        <f t="shared" si="12"/>
        <v>190</v>
      </c>
      <c r="I278" s="139">
        <v>25</v>
      </c>
      <c r="J278" s="141">
        <f t="shared" si="13"/>
        <v>0.13157894736842105</v>
      </c>
      <c r="K278" s="136" t="str">
        <f t="shared" si="14"/>
        <v>Belum Tercapai</v>
      </c>
      <c r="L278" s="143" t="s">
        <v>300</v>
      </c>
    </row>
    <row r="279" spans="1:12" ht="29" x14ac:dyDescent="0.35">
      <c r="A279" s="135">
        <v>2026</v>
      </c>
      <c r="B279" s="136">
        <v>4</v>
      </c>
      <c r="C279" s="133" t="s">
        <v>5</v>
      </c>
      <c r="D279" s="133" t="s">
        <v>23</v>
      </c>
      <c r="E279" s="133" t="s">
        <v>201</v>
      </c>
      <c r="F279" s="139">
        <v>112</v>
      </c>
      <c r="G279" s="139">
        <v>112</v>
      </c>
      <c r="H279" s="139">
        <f t="shared" si="12"/>
        <v>10</v>
      </c>
      <c r="I279" s="139">
        <v>1</v>
      </c>
      <c r="J279" s="141">
        <f t="shared" si="13"/>
        <v>0.1</v>
      </c>
      <c r="K279" s="136" t="str">
        <f t="shared" si="14"/>
        <v>Belum Tercapai</v>
      </c>
      <c r="L279" s="143" t="s">
        <v>301</v>
      </c>
    </row>
    <row r="280" spans="1:12" ht="29" x14ac:dyDescent="0.35">
      <c r="A280" s="135">
        <v>2026</v>
      </c>
      <c r="B280" s="136">
        <v>4</v>
      </c>
      <c r="C280" s="133" t="s">
        <v>5</v>
      </c>
      <c r="D280" s="133" t="s">
        <v>23</v>
      </c>
      <c r="E280" s="133" t="s">
        <v>302</v>
      </c>
      <c r="F280" s="139">
        <v>28</v>
      </c>
      <c r="G280" s="139">
        <v>28</v>
      </c>
      <c r="H280" s="139">
        <f t="shared" si="12"/>
        <v>3</v>
      </c>
      <c r="I280" s="139">
        <v>0</v>
      </c>
      <c r="J280" s="141">
        <f t="shared" si="13"/>
        <v>0</v>
      </c>
      <c r="K280" s="136" t="str">
        <f t="shared" si="14"/>
        <v>Belum Tercapai</v>
      </c>
      <c r="L280" s="143" t="s">
        <v>301</v>
      </c>
    </row>
    <row r="281" spans="1:12" x14ac:dyDescent="0.35">
      <c r="A281" s="135">
        <v>2026</v>
      </c>
      <c r="B281" s="136">
        <v>4</v>
      </c>
      <c r="C281" s="133" t="s">
        <v>5</v>
      </c>
      <c r="D281" s="133" t="s">
        <v>23</v>
      </c>
      <c r="E281" s="133" t="s">
        <v>92</v>
      </c>
      <c r="F281" s="139">
        <v>64</v>
      </c>
      <c r="G281" s="139">
        <v>64</v>
      </c>
      <c r="H281" s="139">
        <f t="shared" si="12"/>
        <v>6</v>
      </c>
      <c r="I281" s="139">
        <v>0</v>
      </c>
      <c r="J281" s="141">
        <f t="shared" si="13"/>
        <v>0</v>
      </c>
      <c r="K281" s="136" t="str">
        <f t="shared" si="14"/>
        <v>Belum Tercapai</v>
      </c>
      <c r="L281" s="143" t="s">
        <v>303</v>
      </c>
    </row>
    <row r="282" spans="1:12" ht="29" x14ac:dyDescent="0.35">
      <c r="A282" s="135">
        <v>2026</v>
      </c>
      <c r="B282" s="136">
        <v>5</v>
      </c>
      <c r="C282" s="133" t="s">
        <v>6</v>
      </c>
      <c r="D282" s="133" t="s">
        <v>23</v>
      </c>
      <c r="E282" s="133" t="s">
        <v>299</v>
      </c>
      <c r="F282" s="139">
        <v>2274</v>
      </c>
      <c r="G282" s="139">
        <v>2274</v>
      </c>
      <c r="H282" s="139">
        <f t="shared" si="12"/>
        <v>190</v>
      </c>
      <c r="I282" s="139">
        <v>22</v>
      </c>
      <c r="J282" s="141">
        <f t="shared" si="13"/>
        <v>0.11578947368421053</v>
      </c>
      <c r="K282" s="136" t="str">
        <f t="shared" si="14"/>
        <v>Belum Tercapai</v>
      </c>
      <c r="L282" s="143" t="s">
        <v>300</v>
      </c>
    </row>
    <row r="283" spans="1:12" ht="29" x14ac:dyDescent="0.35">
      <c r="A283" s="135">
        <v>2026</v>
      </c>
      <c r="B283" s="136">
        <v>5</v>
      </c>
      <c r="C283" s="133" t="s">
        <v>6</v>
      </c>
      <c r="D283" s="133" t="s">
        <v>23</v>
      </c>
      <c r="E283" s="133" t="s">
        <v>201</v>
      </c>
      <c r="F283" s="139">
        <v>112</v>
      </c>
      <c r="G283" s="139">
        <v>112</v>
      </c>
      <c r="H283" s="139">
        <f t="shared" si="12"/>
        <v>9</v>
      </c>
      <c r="I283" s="139">
        <v>1</v>
      </c>
      <c r="J283" s="141">
        <f t="shared" si="13"/>
        <v>0.1111111111111111</v>
      </c>
      <c r="K283" s="136" t="str">
        <f t="shared" si="14"/>
        <v>Belum Tercapai</v>
      </c>
      <c r="L283" s="143" t="s">
        <v>301</v>
      </c>
    </row>
    <row r="284" spans="1:12" ht="29" x14ac:dyDescent="0.35">
      <c r="A284" s="135">
        <v>2026</v>
      </c>
      <c r="B284" s="136">
        <v>5</v>
      </c>
      <c r="C284" s="133" t="s">
        <v>6</v>
      </c>
      <c r="D284" s="133" t="s">
        <v>23</v>
      </c>
      <c r="E284" s="133" t="s">
        <v>302</v>
      </c>
      <c r="F284" s="139">
        <v>28</v>
      </c>
      <c r="G284" s="139">
        <v>28</v>
      </c>
      <c r="H284" s="139">
        <f t="shared" si="12"/>
        <v>2</v>
      </c>
      <c r="I284" s="139">
        <v>1</v>
      </c>
      <c r="J284" s="141">
        <f t="shared" si="13"/>
        <v>0.5</v>
      </c>
      <c r="K284" s="136" t="str">
        <f t="shared" si="14"/>
        <v>Belum Tercapai</v>
      </c>
      <c r="L284" s="143" t="s">
        <v>301</v>
      </c>
    </row>
    <row r="285" spans="1:12" x14ac:dyDescent="0.35">
      <c r="A285" s="135">
        <v>2026</v>
      </c>
      <c r="B285" s="136">
        <v>5</v>
      </c>
      <c r="C285" s="133" t="s">
        <v>6</v>
      </c>
      <c r="D285" s="133" t="s">
        <v>23</v>
      </c>
      <c r="E285" s="133" t="s">
        <v>92</v>
      </c>
      <c r="F285" s="139">
        <v>64</v>
      </c>
      <c r="G285" s="139">
        <v>64</v>
      </c>
      <c r="H285" s="139">
        <f t="shared" si="12"/>
        <v>5</v>
      </c>
      <c r="I285" s="139">
        <v>0</v>
      </c>
      <c r="J285" s="141">
        <f t="shared" si="13"/>
        <v>0</v>
      </c>
      <c r="K285" s="136" t="str">
        <f t="shared" si="14"/>
        <v>Belum Tercapai</v>
      </c>
      <c r="L285" s="143" t="s">
        <v>303</v>
      </c>
    </row>
    <row r="286" spans="1:12" ht="29" x14ac:dyDescent="0.35">
      <c r="A286" s="135">
        <v>2026</v>
      </c>
      <c r="B286" s="136">
        <v>6</v>
      </c>
      <c r="C286" s="133" t="s">
        <v>7</v>
      </c>
      <c r="D286" s="133" t="s">
        <v>23</v>
      </c>
      <c r="E286" s="133" t="s">
        <v>299</v>
      </c>
      <c r="F286" s="139">
        <v>2274</v>
      </c>
      <c r="G286" s="139">
        <v>2274</v>
      </c>
      <c r="H286" s="139">
        <f t="shared" si="12"/>
        <v>190</v>
      </c>
      <c r="I286" s="139">
        <v>20</v>
      </c>
      <c r="J286" s="141">
        <f t="shared" si="13"/>
        <v>0.10526315789473684</v>
      </c>
      <c r="K286" s="136" t="str">
        <f t="shared" si="14"/>
        <v>Belum Tercapai</v>
      </c>
      <c r="L286" s="143" t="s">
        <v>300</v>
      </c>
    </row>
    <row r="287" spans="1:12" ht="29" x14ac:dyDescent="0.35">
      <c r="A287" s="135">
        <v>2026</v>
      </c>
      <c r="B287" s="136">
        <v>6</v>
      </c>
      <c r="C287" s="133" t="s">
        <v>7</v>
      </c>
      <c r="D287" s="133" t="s">
        <v>23</v>
      </c>
      <c r="E287" s="133" t="s">
        <v>201</v>
      </c>
      <c r="F287" s="139">
        <v>112</v>
      </c>
      <c r="G287" s="139">
        <v>112</v>
      </c>
      <c r="H287" s="139">
        <f t="shared" si="12"/>
        <v>9</v>
      </c>
      <c r="I287" s="139">
        <v>5</v>
      </c>
      <c r="J287" s="141">
        <f t="shared" si="13"/>
        <v>0.55555555555555558</v>
      </c>
      <c r="K287" s="136" t="str">
        <f t="shared" si="14"/>
        <v>Belum Tercapai</v>
      </c>
      <c r="L287" s="143" t="s">
        <v>301</v>
      </c>
    </row>
    <row r="288" spans="1:12" ht="29" x14ac:dyDescent="0.35">
      <c r="A288" s="135">
        <v>2026</v>
      </c>
      <c r="B288" s="136">
        <v>6</v>
      </c>
      <c r="C288" s="133" t="s">
        <v>7</v>
      </c>
      <c r="D288" s="133" t="s">
        <v>23</v>
      </c>
      <c r="E288" s="133" t="s">
        <v>302</v>
      </c>
      <c r="F288" s="139">
        <v>28</v>
      </c>
      <c r="G288" s="139">
        <v>28</v>
      </c>
      <c r="H288" s="139">
        <f t="shared" si="12"/>
        <v>2</v>
      </c>
      <c r="I288" s="139">
        <v>0</v>
      </c>
      <c r="J288" s="141">
        <f t="shared" si="13"/>
        <v>0</v>
      </c>
      <c r="K288" s="136" t="str">
        <f t="shared" si="14"/>
        <v>Belum Tercapai</v>
      </c>
      <c r="L288" s="143" t="s">
        <v>301</v>
      </c>
    </row>
    <row r="289" spans="1:12" x14ac:dyDescent="0.35">
      <c r="A289" s="137">
        <v>2026</v>
      </c>
      <c r="B289" s="138">
        <v>6</v>
      </c>
      <c r="C289" s="134" t="s">
        <v>7</v>
      </c>
      <c r="D289" s="134" t="s">
        <v>23</v>
      </c>
      <c r="E289" s="134" t="s">
        <v>92</v>
      </c>
      <c r="F289" s="140">
        <v>64</v>
      </c>
      <c r="G289" s="140">
        <v>64</v>
      </c>
      <c r="H289" s="140">
        <f t="shared" si="12"/>
        <v>5</v>
      </c>
      <c r="I289" s="140">
        <v>0</v>
      </c>
      <c r="J289" s="142">
        <f t="shared" si="13"/>
        <v>0</v>
      </c>
      <c r="K289" s="138" t="str">
        <f t="shared" si="14"/>
        <v>Belum Tercapai</v>
      </c>
      <c r="L289" s="144" t="s">
        <v>303</v>
      </c>
    </row>
  </sheetData>
  <conditionalFormatting sqref="K2:K289">
    <cfRule type="expression" dxfId="1" priority="1">
      <formula>K2="Tercapai"</formula>
    </cfRule>
    <cfRule type="expression" dxfId="0" priority="2">
      <formula>K2="Belum Tercapai"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4.5" x14ac:dyDescent="0.35"/>
  <cols>
    <col min="1" max="1" width="22" customWidth="1"/>
    <col min="2" max="2" width="85" customWidth="1"/>
  </cols>
  <sheetData>
    <row r="1" spans="1:2" x14ac:dyDescent="0.35">
      <c r="A1" s="129" t="s">
        <v>96</v>
      </c>
      <c r="B1" s="129" t="s">
        <v>304</v>
      </c>
    </row>
    <row r="2" spans="1:2" x14ac:dyDescent="0.35">
      <c r="A2" s="145" t="s">
        <v>305</v>
      </c>
      <c r="B2" s="145" t="s">
        <v>306</v>
      </c>
    </row>
    <row r="3" spans="1:2" x14ac:dyDescent="0.35">
      <c r="A3" s="145" t="s">
        <v>307</v>
      </c>
      <c r="B3" s="145" t="s">
        <v>308</v>
      </c>
    </row>
    <row r="4" spans="1:2" x14ac:dyDescent="0.35">
      <c r="A4" s="145" t="s">
        <v>309</v>
      </c>
      <c r="B4" s="145" t="s">
        <v>310</v>
      </c>
    </row>
    <row r="5" spans="1:2" ht="29" x14ac:dyDescent="0.35">
      <c r="A5" s="145" t="s">
        <v>311</v>
      </c>
      <c r="B5" s="145" t="s">
        <v>312</v>
      </c>
    </row>
    <row r="6" spans="1:2" x14ac:dyDescent="0.35">
      <c r="A6" s="145" t="s">
        <v>121</v>
      </c>
      <c r="B6" s="145" t="s">
        <v>313</v>
      </c>
    </row>
    <row r="7" spans="1:2" x14ac:dyDescent="0.35">
      <c r="A7" s="145" t="s">
        <v>314</v>
      </c>
      <c r="B7" s="145" t="s">
        <v>315</v>
      </c>
    </row>
    <row r="8" spans="1:2" x14ac:dyDescent="0.35">
      <c r="A8" s="145" t="s">
        <v>123</v>
      </c>
      <c r="B8" s="14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Capaian Skrining PTM Per Bulan</vt:lpstr>
      <vt:lpstr>TW 2 SPM</vt:lpstr>
      <vt:lpstr>Semester 1 (PTM)</vt:lpstr>
      <vt:lpstr>HPV DNA</vt:lpstr>
      <vt:lpstr>HPV DNA 2</vt:lpstr>
      <vt:lpstr>Sheet3</vt:lpstr>
      <vt:lpstr>Sheet1</vt:lpstr>
      <vt:lpstr>Tarikan ASIK</vt:lpstr>
      <vt:lpstr>DATABASE SIPANDA</vt:lpstr>
      <vt:lpstr>PETUNJUK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2026-07-30T06:45:59Z</dcterms:modified>
</cp:coreProperties>
</file>